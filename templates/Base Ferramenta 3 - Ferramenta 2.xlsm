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7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13_ncr:1_{982D843D-64AE-4A40-83AD-388829DCCCFF}" xr6:coauthVersionLast="47" xr6:coauthVersionMax="47" xr10:uidLastSave="{00000000-0000-0000-0000-000000000000}"/>
  <bookViews>
    <workbookView xWindow="28680" yWindow="-120" windowWidth="29040" windowHeight="15840" tabRatio="949" firstSheet="3" activeTab="10" xr2:uid="{00000000-000D-0000-FFFF-FFFF00000000}"/>
  </bookViews>
  <sheets>
    <sheet name="Gráf RESUMO CIRSOP" sheetId="94" r:id="rId1"/>
    <sheet name="ANÁLISE DE SITES MULTICRITÉRIO" sheetId="18" r:id="rId2"/>
    <sheet name="Planilha1" sheetId="101" r:id="rId3"/>
    <sheet name="Demanda Preço &amp; Quantidade" sheetId="50" r:id="rId4"/>
    <sheet name="RESUMO GERAL Valoriz. RT´s" sheetId="43" r:id="rId5"/>
    <sheet name="RESUMO GERAL RT´s Capex &amp; Opex" sheetId="83" r:id="rId6"/>
    <sheet name="Gráf RESUMO GERAL RT´s" sheetId="79" r:id="rId7"/>
    <sheet name="Gráf EFICIÊNCIA VALORIZ. RT´s" sheetId="81" r:id="rId8"/>
    <sheet name="Gráf DISTR. Tarifa incl Mov" sheetId="80" r:id="rId9"/>
    <sheet name="Gráf DISTR. Tarifa sem Mov" sheetId="91" r:id="rId10"/>
    <sheet name="C-Dados RT1 Simplif." sheetId="23" r:id="rId11"/>
    <sheet name="RT1A)BIODIG Energia Elétrica" sheetId="45" r:id="rId12"/>
    <sheet name="RT1A)Gráf" sheetId="46" r:id="rId13"/>
    <sheet name="RT1A)Calc Tarifa incl Mov" sheetId="64" r:id="rId14"/>
    <sheet name="RT1A)Calc Tarifa sem Mov" sheetId="85" r:id="rId15"/>
    <sheet name="RT1A) Custos Valoriz E.Elétrica" sheetId="56" r:id="rId16"/>
    <sheet name="RT1B)BIODIG Descarb Biomet" sheetId="53" r:id="rId17"/>
    <sheet name="RT1B)Gráf" sheetId="54" r:id="rId18"/>
    <sheet name="RT1B)Calc Tarifa incl Mov" sheetId="65" r:id="rId19"/>
    <sheet name="RT1B)Calc Tarifa sem Mov" sheetId="86" r:id="rId20"/>
    <sheet name="RT1B) Descarb AutoCons" sheetId="26" r:id="rId21"/>
    <sheet name="RT1B) Descarb Util Públ" sheetId="58" r:id="rId22"/>
    <sheet name="RT1B) Comercializ Gás Biome" sheetId="63" r:id="rId23"/>
    <sheet name="RT1C)BIODIG Gas Natural" sheetId="51" r:id="rId24"/>
    <sheet name="RT1C)Gráf" sheetId="52" r:id="rId25"/>
    <sheet name="RT1C)Calc Tarifa incl Mov" sheetId="66" r:id="rId26"/>
    <sheet name="RT1C)Calc Tarifa sem Mov" sheetId="87" r:id="rId27"/>
    <sheet name="RT1C) Comercializ Gás Biomet" sheetId="59" r:id="rId28"/>
    <sheet name="C-Dados RT2 Simplif." sheetId="29" r:id="rId29"/>
    <sheet name="2)Compostagem CDR Comp Org" sheetId="37" r:id="rId30"/>
    <sheet name="RT2)Gráf" sheetId="38" r:id="rId31"/>
    <sheet name="RT2)Calc Tarifa incl Mov" sheetId="67" r:id="rId32"/>
    <sheet name="RT2)Calc Tarifa sem Mov" sheetId="88" r:id="rId33"/>
    <sheet name="C-Dados RT3 Simplif." sheetId="31" r:id="rId34"/>
    <sheet name="3)Biosecagem Prod BioCDR" sheetId="39" r:id="rId35"/>
    <sheet name="RT3)Gráf" sheetId="40" r:id="rId36"/>
    <sheet name="RT3)Calc Tarifa incl Mov" sheetId="68" r:id="rId37"/>
    <sheet name="RT3)Calc Tarifa sem Mov" sheetId="89" r:id="rId38"/>
    <sheet name="C-Dados RT4 Simplif." sheetId="33" r:id="rId39"/>
    <sheet name="4)Incineração - E Elétrica" sheetId="41" r:id="rId40"/>
    <sheet name="RT4)Gráf" sheetId="42" r:id="rId41"/>
    <sheet name="RT4)Calc Tarifa incl Mov" sheetId="69" r:id="rId42"/>
    <sheet name="RT4)Calc Tarifa sem Mov" sheetId="90" r:id="rId43"/>
    <sheet name="RT4)Custos Valoriz E.Elétrica" sheetId="82" r:id="rId44"/>
    <sheet name="C-Dados RT5 Simplif." sheetId="95" r:id="rId45"/>
    <sheet name="5)Incineração - E Elétrica" sheetId="96" r:id="rId46"/>
    <sheet name="RT5)Gráf" sheetId="98" r:id="rId47"/>
    <sheet name="RT5)Calc Tarifa incl Mov" sheetId="99" r:id="rId48"/>
    <sheet name="RT5)Calc Tarifa sem Mov" sheetId="100" r:id="rId49"/>
    <sheet name="RT5)Custos Valoriz E.Elétrica" sheetId="97" r:id="rId50"/>
    <sheet name="Draft para Graf RESUMO" sheetId="60" r:id="rId51"/>
    <sheet name="Drafts Instruções" sheetId="55" r:id="rId52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18" l="1"/>
  <c r="H47" i="18"/>
  <c r="I60" i="43" l="1"/>
  <c r="I58" i="43"/>
  <c r="I61" i="43"/>
  <c r="I59" i="43"/>
  <c r="I56" i="43"/>
  <c r="I55" i="43"/>
  <c r="I54" i="43"/>
  <c r="I53" i="43"/>
  <c r="I52" i="43" s="1"/>
  <c r="I51" i="43"/>
  <c r="I49" i="43"/>
  <c r="I46" i="43"/>
  <c r="I43" i="43"/>
  <c r="I29" i="43"/>
  <c r="I39" i="43"/>
  <c r="I38" i="43"/>
  <c r="I37" i="43"/>
  <c r="I36" i="43"/>
  <c r="I35" i="43"/>
  <c r="I34" i="43"/>
  <c r="I33" i="43"/>
  <c r="I32" i="43"/>
  <c r="I31" i="43"/>
  <c r="I21" i="43"/>
  <c r="I20" i="43"/>
  <c r="I19" i="43"/>
  <c r="I18" i="43"/>
  <c r="I17" i="43"/>
  <c r="I16" i="43"/>
  <c r="I15" i="43"/>
  <c r="I14" i="43"/>
  <c r="I13" i="43"/>
  <c r="I12" i="43"/>
  <c r="I11" i="43"/>
  <c r="I50" i="43"/>
  <c r="I48" i="43"/>
  <c r="I27" i="43"/>
  <c r="I26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28" i="97"/>
  <c r="C27" i="97"/>
  <c r="C23" i="97"/>
  <c r="C18" i="97"/>
  <c r="C14" i="97"/>
  <c r="C7" i="97"/>
  <c r="C12" i="97" s="1"/>
  <c r="C6" i="97"/>
  <c r="C5" i="97"/>
  <c r="C10" i="97" s="1"/>
  <c r="C15" i="97" s="1"/>
  <c r="C4" i="97"/>
  <c r="C22" i="97"/>
  <c r="C17" i="97"/>
  <c r="J42" i="96"/>
  <c r="J41" i="96"/>
  <c r="J40" i="96"/>
  <c r="J37" i="96"/>
  <c r="J34" i="96"/>
  <c r="M12" i="96" s="1"/>
  <c r="U12" i="96" s="1"/>
  <c r="F33" i="96"/>
  <c r="H19" i="96"/>
  <c r="F9" i="96"/>
  <c r="F25" i="96"/>
  <c r="F21" i="96"/>
  <c r="C53" i="96"/>
  <c r="M20" i="96"/>
  <c r="H42" i="96"/>
  <c r="F42" i="96"/>
  <c r="H41" i="96"/>
  <c r="F41" i="96"/>
  <c r="M19" i="96" s="1"/>
  <c r="H40" i="96"/>
  <c r="F40" i="96"/>
  <c r="H37" i="96"/>
  <c r="F37" i="96"/>
  <c r="M15" i="96" s="1"/>
  <c r="H34" i="96"/>
  <c r="F34" i="96"/>
  <c r="F19" i="96"/>
  <c r="H15" i="96"/>
  <c r="H39" i="96" s="1"/>
  <c r="H12" i="96"/>
  <c r="H36" i="96" s="1"/>
  <c r="F12" i="96"/>
  <c r="F36" i="96" s="1"/>
  <c r="H9" i="96"/>
  <c r="H33" i="96" s="1"/>
  <c r="M8" i="96"/>
  <c r="R9" i="96" s="1"/>
  <c r="C138" i="95"/>
  <c r="C139" i="95" s="1"/>
  <c r="C135" i="95"/>
  <c r="C132" i="95"/>
  <c r="C106" i="95"/>
  <c r="C129" i="95" s="1"/>
  <c r="C104" i="95"/>
  <c r="H99" i="95"/>
  <c r="C97" i="95"/>
  <c r="C96" i="95"/>
  <c r="C95" i="95"/>
  <c r="C94" i="95"/>
  <c r="H92" i="95"/>
  <c r="H88" i="95"/>
  <c r="C88" i="95"/>
  <c r="H81" i="95"/>
  <c r="C81" i="95"/>
  <c r="H79" i="95"/>
  <c r="H78" i="95"/>
  <c r="H61" i="95"/>
  <c r="C61" i="95"/>
  <c r="H57" i="95"/>
  <c r="C57" i="95"/>
  <c r="AK40" i="95"/>
  <c r="AJ40" i="95"/>
  <c r="AI40" i="95"/>
  <c r="AH40" i="95"/>
  <c r="AG40" i="95"/>
  <c r="AF40" i="95"/>
  <c r="AE40" i="95"/>
  <c r="AD40" i="95"/>
  <c r="AC40" i="95"/>
  <c r="AB40" i="95"/>
  <c r="AA40" i="95"/>
  <c r="Z40" i="95"/>
  <c r="Y40" i="95"/>
  <c r="X40" i="95"/>
  <c r="W40" i="95"/>
  <c r="V40" i="95"/>
  <c r="U40" i="95"/>
  <c r="T40" i="95"/>
  <c r="S40" i="95"/>
  <c r="R40" i="95"/>
  <c r="Q40" i="95"/>
  <c r="P40" i="95"/>
  <c r="O40" i="95"/>
  <c r="N40" i="95"/>
  <c r="M40" i="95"/>
  <c r="L40" i="95"/>
  <c r="K40" i="95"/>
  <c r="J40" i="95"/>
  <c r="I40" i="95"/>
  <c r="H40" i="95"/>
  <c r="G40" i="95"/>
  <c r="F40" i="95"/>
  <c r="E40" i="95"/>
  <c r="D40" i="95"/>
  <c r="C39" i="95"/>
  <c r="P37" i="95"/>
  <c r="BH36" i="95"/>
  <c r="BG36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AM36" i="95"/>
  <c r="AL36" i="95"/>
  <c r="AK36" i="95"/>
  <c r="AJ36" i="95"/>
  <c r="AJ37" i="95" s="1"/>
  <c r="AI36" i="95"/>
  <c r="AI37" i="95" s="1"/>
  <c r="AH36" i="95"/>
  <c r="AH37" i="95" s="1"/>
  <c r="AG36" i="95"/>
  <c r="AG37" i="95" s="1"/>
  <c r="AF36" i="95"/>
  <c r="AF37" i="95" s="1"/>
  <c r="AE36" i="95"/>
  <c r="AE37" i="95" s="1"/>
  <c r="AD36" i="95"/>
  <c r="AD37" i="95" s="1"/>
  <c r="AC36" i="95"/>
  <c r="AC37" i="95" s="1"/>
  <c r="AB36" i="95"/>
  <c r="AB37" i="95" s="1"/>
  <c r="AA36" i="95"/>
  <c r="AA37" i="95" s="1"/>
  <c r="Z36" i="95"/>
  <c r="Z37" i="95" s="1"/>
  <c r="Y36" i="95"/>
  <c r="Y37" i="95" s="1"/>
  <c r="X36" i="95"/>
  <c r="X37" i="95" s="1"/>
  <c r="W36" i="95"/>
  <c r="W37" i="95" s="1"/>
  <c r="V36" i="95"/>
  <c r="V37" i="95" s="1"/>
  <c r="U36" i="95"/>
  <c r="U37" i="95" s="1"/>
  <c r="T36" i="95"/>
  <c r="T37" i="95" s="1"/>
  <c r="S36" i="95"/>
  <c r="S37" i="95" s="1"/>
  <c r="R36" i="95"/>
  <c r="R37" i="95" s="1"/>
  <c r="Q36" i="95"/>
  <c r="Q37" i="95" s="1"/>
  <c r="P36" i="95"/>
  <c r="O36" i="95"/>
  <c r="O37" i="95" s="1"/>
  <c r="N36" i="95"/>
  <c r="N37" i="95" s="1"/>
  <c r="M36" i="95"/>
  <c r="M37" i="95" s="1"/>
  <c r="L36" i="95"/>
  <c r="L37" i="95" s="1"/>
  <c r="K36" i="95"/>
  <c r="K37" i="95" s="1"/>
  <c r="J36" i="95"/>
  <c r="J37" i="95" s="1"/>
  <c r="I36" i="95"/>
  <c r="I37" i="95" s="1"/>
  <c r="H36" i="95"/>
  <c r="H37" i="95" s="1"/>
  <c r="G36" i="95"/>
  <c r="F36" i="95"/>
  <c r="F37" i="95" s="1"/>
  <c r="E36" i="95"/>
  <c r="E37" i="95" s="1"/>
  <c r="D36" i="95"/>
  <c r="D37" i="95" s="1"/>
  <c r="AJ34" i="95"/>
  <c r="AI34" i="95"/>
  <c r="AH34" i="95"/>
  <c r="AG34" i="95"/>
  <c r="AF34" i="95"/>
  <c r="AE34" i="95"/>
  <c r="AD34" i="95"/>
  <c r="AC34" i="95"/>
  <c r="AB34" i="95"/>
  <c r="AA34" i="95"/>
  <c r="Z34" i="95"/>
  <c r="Y34" i="95"/>
  <c r="X34" i="95"/>
  <c r="W34" i="95"/>
  <c r="V34" i="95"/>
  <c r="U34" i="95"/>
  <c r="T34" i="95"/>
  <c r="S34" i="95"/>
  <c r="R34" i="95"/>
  <c r="Q34" i="95"/>
  <c r="P34" i="95"/>
  <c r="O34" i="95"/>
  <c r="N34" i="95"/>
  <c r="M34" i="95"/>
  <c r="L34" i="95"/>
  <c r="K34" i="95"/>
  <c r="J34" i="95"/>
  <c r="I34" i="95"/>
  <c r="H34" i="95"/>
  <c r="G34" i="95"/>
  <c r="F34" i="95"/>
  <c r="E34" i="95"/>
  <c r="D34" i="95"/>
  <c r="C33" i="95"/>
  <c r="AJ31" i="95"/>
  <c r="AI31" i="95"/>
  <c r="AH31" i="95"/>
  <c r="AG31" i="95"/>
  <c r="AF31" i="95"/>
  <c r="AE31" i="95"/>
  <c r="AD31" i="95"/>
  <c r="AC31" i="95"/>
  <c r="AB31" i="95"/>
  <c r="AA31" i="95"/>
  <c r="Z31" i="95"/>
  <c r="Y31" i="95"/>
  <c r="X31" i="95"/>
  <c r="W31" i="95"/>
  <c r="V31" i="95"/>
  <c r="U31" i="95"/>
  <c r="T31" i="95"/>
  <c r="S31" i="95"/>
  <c r="R31" i="95"/>
  <c r="Q31" i="95"/>
  <c r="P31" i="95"/>
  <c r="O31" i="95"/>
  <c r="N31" i="95"/>
  <c r="M31" i="95"/>
  <c r="L31" i="95"/>
  <c r="K31" i="95"/>
  <c r="J31" i="95"/>
  <c r="I31" i="95"/>
  <c r="H31" i="95"/>
  <c r="G31" i="95"/>
  <c r="F31" i="95"/>
  <c r="E31" i="95"/>
  <c r="D31" i="95"/>
  <c r="C30" i="95"/>
  <c r="AJ28" i="95"/>
  <c r="AI28" i="95"/>
  <c r="AH28" i="95"/>
  <c r="AG28" i="95"/>
  <c r="AF28" i="95"/>
  <c r="AE28" i="95"/>
  <c r="AD28" i="95"/>
  <c r="AC28" i="95"/>
  <c r="AB28" i="95"/>
  <c r="AA28" i="95"/>
  <c r="Z28" i="95"/>
  <c r="Y28" i="95"/>
  <c r="X28" i="95"/>
  <c r="W28" i="95"/>
  <c r="V28" i="95"/>
  <c r="U28" i="95"/>
  <c r="T28" i="95"/>
  <c r="S28" i="95"/>
  <c r="R28" i="95"/>
  <c r="Q28" i="95"/>
  <c r="P28" i="95"/>
  <c r="O28" i="95"/>
  <c r="N28" i="95"/>
  <c r="M28" i="95"/>
  <c r="L28" i="95"/>
  <c r="K28" i="95"/>
  <c r="J28" i="95"/>
  <c r="I28" i="95"/>
  <c r="H28" i="95"/>
  <c r="G28" i="95"/>
  <c r="F28" i="95"/>
  <c r="E28" i="95"/>
  <c r="D28" i="95"/>
  <c r="C27" i="95"/>
  <c r="AJ25" i="95"/>
  <c r="AI25" i="95"/>
  <c r="AH25" i="95"/>
  <c r="AG25" i="95"/>
  <c r="AF25" i="95"/>
  <c r="AE25" i="95"/>
  <c r="AD25" i="95"/>
  <c r="AC25" i="95"/>
  <c r="AB25" i="95"/>
  <c r="AA25" i="95"/>
  <c r="Z25" i="95"/>
  <c r="Y25" i="95"/>
  <c r="X25" i="95"/>
  <c r="W25" i="95"/>
  <c r="V25" i="95"/>
  <c r="U25" i="95"/>
  <c r="T25" i="95"/>
  <c r="S25" i="95"/>
  <c r="R25" i="95"/>
  <c r="Q25" i="95"/>
  <c r="P25" i="95"/>
  <c r="O25" i="95"/>
  <c r="N25" i="95"/>
  <c r="M25" i="95"/>
  <c r="L25" i="95"/>
  <c r="K25" i="95"/>
  <c r="J25" i="95"/>
  <c r="I25" i="95"/>
  <c r="H25" i="95"/>
  <c r="G25" i="95"/>
  <c r="F25" i="95"/>
  <c r="E25" i="95"/>
  <c r="D25" i="95"/>
  <c r="C24" i="95"/>
  <c r="AJ22" i="95"/>
  <c r="AI22" i="95"/>
  <c r="AH22" i="95"/>
  <c r="AG22" i="95"/>
  <c r="AF22" i="95"/>
  <c r="AE22" i="95"/>
  <c r="AD22" i="95"/>
  <c r="AC22" i="95"/>
  <c r="AB22" i="95"/>
  <c r="AA22" i="95"/>
  <c r="Z22" i="95"/>
  <c r="Y22" i="95"/>
  <c r="X22" i="95"/>
  <c r="W22" i="95"/>
  <c r="V22" i="95"/>
  <c r="U22" i="95"/>
  <c r="T22" i="95"/>
  <c r="S22" i="95"/>
  <c r="R22" i="95"/>
  <c r="Q22" i="95"/>
  <c r="P22" i="95"/>
  <c r="O22" i="95"/>
  <c r="N22" i="95"/>
  <c r="M22" i="95"/>
  <c r="L22" i="95"/>
  <c r="K22" i="95"/>
  <c r="J22" i="95"/>
  <c r="I22" i="95"/>
  <c r="H22" i="95"/>
  <c r="G22" i="95"/>
  <c r="F22" i="95"/>
  <c r="E22" i="95"/>
  <c r="D22" i="95"/>
  <c r="C21" i="95"/>
  <c r="C23" i="95" s="1"/>
  <c r="AJ19" i="95"/>
  <c r="AI19" i="95"/>
  <c r="AH19" i="95"/>
  <c r="AG19" i="95"/>
  <c r="AF19" i="95"/>
  <c r="AE19" i="95"/>
  <c r="AD19" i="95"/>
  <c r="AC19" i="95"/>
  <c r="AB19" i="95"/>
  <c r="AA19" i="95"/>
  <c r="Z19" i="95"/>
  <c r="Y19" i="95"/>
  <c r="X19" i="95"/>
  <c r="W19" i="95"/>
  <c r="V19" i="95"/>
  <c r="U19" i="95"/>
  <c r="T19" i="95"/>
  <c r="S19" i="95"/>
  <c r="R19" i="95"/>
  <c r="Q19" i="95"/>
  <c r="P19" i="95"/>
  <c r="O19" i="95"/>
  <c r="N19" i="95"/>
  <c r="M19" i="95"/>
  <c r="L19" i="95"/>
  <c r="K19" i="95"/>
  <c r="J19" i="95"/>
  <c r="I19" i="95"/>
  <c r="H19" i="95"/>
  <c r="G19" i="95"/>
  <c r="F19" i="95"/>
  <c r="E19" i="95"/>
  <c r="D19" i="95"/>
  <c r="C18" i="95"/>
  <c r="A18" i="95" s="1"/>
  <c r="C16" i="95"/>
  <c r="D4" i="95"/>
  <c r="C4" i="95"/>
  <c r="B4" i="95"/>
  <c r="C106" i="33"/>
  <c r="C104" i="33"/>
  <c r="C4" i="33" s="1"/>
  <c r="C97" i="33"/>
  <c r="C96" i="33"/>
  <c r="C95" i="33"/>
  <c r="C94" i="33"/>
  <c r="C57" i="33"/>
  <c r="AI40" i="33"/>
  <c r="BH36" i="33"/>
  <c r="BC36" i="33"/>
  <c r="AZ36" i="33"/>
  <c r="AU36" i="33"/>
  <c r="AR36" i="33"/>
  <c r="AM36" i="33"/>
  <c r="AJ36" i="33"/>
  <c r="AE36" i="33"/>
  <c r="AB36" i="33"/>
  <c r="W36" i="33"/>
  <c r="T36" i="33"/>
  <c r="O36" i="33"/>
  <c r="L36" i="33"/>
  <c r="G36" i="33"/>
  <c r="D36" i="33"/>
  <c r="O34" i="33"/>
  <c r="BG36" i="33"/>
  <c r="BF36" i="33"/>
  <c r="BE36" i="33"/>
  <c r="BD36" i="33"/>
  <c r="BB36" i="33"/>
  <c r="BA36" i="33"/>
  <c r="AY36" i="33"/>
  <c r="AX36" i="33"/>
  <c r="AW36" i="33"/>
  <c r="AV36" i="33"/>
  <c r="AT36" i="33"/>
  <c r="AS36" i="33"/>
  <c r="AQ36" i="33"/>
  <c r="AP36" i="33"/>
  <c r="AO36" i="33"/>
  <c r="AN36" i="33"/>
  <c r="AL36" i="33"/>
  <c r="AK36" i="33"/>
  <c r="AI36" i="33"/>
  <c r="AH36" i="33"/>
  <c r="AG36" i="33"/>
  <c r="AF36" i="33"/>
  <c r="AD36" i="33"/>
  <c r="AC36" i="33"/>
  <c r="AA36" i="33"/>
  <c r="Z36" i="33"/>
  <c r="Y36" i="33"/>
  <c r="X36" i="33"/>
  <c r="V36" i="33"/>
  <c r="U36" i="33"/>
  <c r="S36" i="33"/>
  <c r="R36" i="33"/>
  <c r="Q36" i="33"/>
  <c r="P36" i="33"/>
  <c r="N36" i="33"/>
  <c r="M36" i="33"/>
  <c r="K36" i="33"/>
  <c r="J36" i="33"/>
  <c r="I36" i="33"/>
  <c r="H36" i="33"/>
  <c r="F36" i="33"/>
  <c r="E36" i="33"/>
  <c r="U31" i="33"/>
  <c r="AI25" i="33"/>
  <c r="J22" i="33"/>
  <c r="Z19" i="33"/>
  <c r="AH40" i="33"/>
  <c r="D4" i="33"/>
  <c r="B4" i="33"/>
  <c r="C106" i="31"/>
  <c r="C104" i="31"/>
  <c r="C88" i="31"/>
  <c r="C96" i="31"/>
  <c r="C95" i="31"/>
  <c r="C94" i="31"/>
  <c r="AI40" i="31"/>
  <c r="S40" i="31"/>
  <c r="BD36" i="31"/>
  <c r="BB36" i="31"/>
  <c r="AV36" i="31"/>
  <c r="AN36" i="31"/>
  <c r="AL36" i="31"/>
  <c r="AF36" i="31"/>
  <c r="X36" i="31"/>
  <c r="V36" i="31"/>
  <c r="P36" i="31"/>
  <c r="H36" i="31"/>
  <c r="F36" i="31"/>
  <c r="Y34" i="31"/>
  <c r="I34" i="31"/>
  <c r="BH36" i="31"/>
  <c r="BG36" i="31"/>
  <c r="BF36" i="31"/>
  <c r="BE36" i="31"/>
  <c r="BC36" i="31"/>
  <c r="BA36" i="31"/>
  <c r="AZ36" i="31"/>
  <c r="AY36" i="31"/>
  <c r="AX36" i="31"/>
  <c r="AW36" i="31"/>
  <c r="AU36" i="31"/>
  <c r="AT36" i="31"/>
  <c r="AS36" i="31"/>
  <c r="AR36" i="31"/>
  <c r="AQ36" i="31"/>
  <c r="AP36" i="31"/>
  <c r="AO36" i="31"/>
  <c r="AM36" i="31"/>
  <c r="AK36" i="31"/>
  <c r="AJ36" i="31"/>
  <c r="AI36" i="31"/>
  <c r="AH36" i="31"/>
  <c r="AG36" i="31"/>
  <c r="AE36" i="31"/>
  <c r="AD36" i="31"/>
  <c r="AC36" i="31"/>
  <c r="AB36" i="31"/>
  <c r="AA36" i="31"/>
  <c r="Z36" i="31"/>
  <c r="Y36" i="31"/>
  <c r="W36" i="31"/>
  <c r="U36" i="31"/>
  <c r="T36" i="31"/>
  <c r="S36" i="31"/>
  <c r="R36" i="31"/>
  <c r="Q36" i="31"/>
  <c r="O36" i="31"/>
  <c r="N36" i="31"/>
  <c r="M36" i="31"/>
  <c r="L36" i="31"/>
  <c r="K36" i="31"/>
  <c r="K37" i="31" s="1"/>
  <c r="J36" i="31"/>
  <c r="I36" i="31"/>
  <c r="G36" i="31"/>
  <c r="E36" i="31"/>
  <c r="D36" i="31"/>
  <c r="AC31" i="31"/>
  <c r="M31" i="31"/>
  <c r="F28" i="31"/>
  <c r="U25" i="31"/>
  <c r="E25" i="31"/>
  <c r="AB22" i="31"/>
  <c r="L22" i="31"/>
  <c r="AB19" i="31"/>
  <c r="Z19" i="31"/>
  <c r="L19" i="31"/>
  <c r="J19" i="31"/>
  <c r="AH40" i="31"/>
  <c r="D4" i="31"/>
  <c r="C4" i="31"/>
  <c r="B4" i="31"/>
  <c r="C119" i="29"/>
  <c r="C106" i="29"/>
  <c r="C104" i="29"/>
  <c r="C96" i="29"/>
  <c r="C95" i="29"/>
  <c r="C97" i="29"/>
  <c r="C94" i="29"/>
  <c r="C61" i="29"/>
  <c r="C57" i="29"/>
  <c r="S40" i="29"/>
  <c r="BH36" i="29"/>
  <c r="BG36" i="29"/>
  <c r="AY36" i="29"/>
  <c r="AV36" i="29"/>
  <c r="AN36" i="29"/>
  <c r="AJ36" i="29"/>
  <c r="AB36" i="29"/>
  <c r="AA36" i="29"/>
  <c r="S36" i="29"/>
  <c r="P36" i="29"/>
  <c r="H36" i="29"/>
  <c r="D36" i="29"/>
  <c r="G34" i="29"/>
  <c r="BF36" i="29"/>
  <c r="BE36" i="29"/>
  <c r="BD36" i="29"/>
  <c r="BC36" i="29"/>
  <c r="BB36" i="29"/>
  <c r="BA36" i="29"/>
  <c r="AZ36" i="29"/>
  <c r="AX36" i="29"/>
  <c r="AW36" i="29"/>
  <c r="AU36" i="29"/>
  <c r="AT36" i="29"/>
  <c r="AS36" i="29"/>
  <c r="AR36" i="29"/>
  <c r="AQ36" i="29"/>
  <c r="AP36" i="29"/>
  <c r="AO36" i="29"/>
  <c r="AM36" i="29"/>
  <c r="AL36" i="29"/>
  <c r="AK36" i="29"/>
  <c r="AI36" i="29"/>
  <c r="AH36" i="29"/>
  <c r="AG36" i="29"/>
  <c r="AG37" i="29" s="1"/>
  <c r="AF36" i="29"/>
  <c r="AE36" i="29"/>
  <c r="AD36" i="29"/>
  <c r="AC36" i="29"/>
  <c r="Z36" i="29"/>
  <c r="Y36" i="29"/>
  <c r="Y37" i="29" s="1"/>
  <c r="X36" i="29"/>
  <c r="W36" i="29"/>
  <c r="V36" i="29"/>
  <c r="U36" i="29"/>
  <c r="T36" i="29"/>
  <c r="R36" i="29"/>
  <c r="Q36" i="29"/>
  <c r="Q37" i="29" s="1"/>
  <c r="O36" i="29"/>
  <c r="N36" i="29"/>
  <c r="M36" i="29"/>
  <c r="L36" i="29"/>
  <c r="K36" i="29"/>
  <c r="J36" i="29"/>
  <c r="I36" i="29"/>
  <c r="I37" i="29" s="1"/>
  <c r="G36" i="29"/>
  <c r="F36" i="29"/>
  <c r="E36" i="29"/>
  <c r="U31" i="29"/>
  <c r="M31" i="29"/>
  <c r="AB28" i="29"/>
  <c r="D28" i="29"/>
  <c r="AI25" i="29"/>
  <c r="K25" i="29"/>
  <c r="R22" i="29"/>
  <c r="J22" i="29"/>
  <c r="AH19" i="29"/>
  <c r="Z19" i="29"/>
  <c r="AA40" i="29"/>
  <c r="D4" i="29"/>
  <c r="C4" i="29"/>
  <c r="B4" i="29"/>
  <c r="C135" i="23"/>
  <c r="C106" i="23"/>
  <c r="C104" i="23"/>
  <c r="C4" i="23" s="1"/>
  <c r="C97" i="23"/>
  <c r="C96" i="23"/>
  <c r="C95" i="23"/>
  <c r="C94" i="23"/>
  <c r="C61" i="23"/>
  <c r="C57" i="23"/>
  <c r="S40" i="23"/>
  <c r="BG36" i="23"/>
  <c r="BC36" i="23"/>
  <c r="AU36" i="23"/>
  <c r="AJ36" i="23"/>
  <c r="AI36" i="23"/>
  <c r="AA36" i="23"/>
  <c r="W36" i="23"/>
  <c r="O36" i="23"/>
  <c r="D36" i="23"/>
  <c r="G34" i="23"/>
  <c r="BH36" i="23"/>
  <c r="BF36" i="23"/>
  <c r="BE36" i="23"/>
  <c r="BD36" i="23"/>
  <c r="BB36" i="23"/>
  <c r="BA36" i="23"/>
  <c r="AZ36" i="23"/>
  <c r="AY36" i="23"/>
  <c r="AX36" i="23"/>
  <c r="AW36" i="23"/>
  <c r="AV36" i="23"/>
  <c r="AT36" i="23"/>
  <c r="AS36" i="23"/>
  <c r="AR36" i="23"/>
  <c r="AQ36" i="23"/>
  <c r="AP36" i="23"/>
  <c r="AO36" i="23"/>
  <c r="AN36" i="23"/>
  <c r="AM36" i="23"/>
  <c r="AL36" i="23"/>
  <c r="AK36" i="23"/>
  <c r="AH36" i="23"/>
  <c r="AG36" i="23"/>
  <c r="AG37" i="23" s="1"/>
  <c r="AF36" i="23"/>
  <c r="AE36" i="23"/>
  <c r="AD36" i="23"/>
  <c r="AC36" i="23"/>
  <c r="AB36" i="23"/>
  <c r="Z36" i="23"/>
  <c r="Y36" i="23"/>
  <c r="Y37" i="23" s="1"/>
  <c r="X36" i="23"/>
  <c r="V36" i="23"/>
  <c r="U36" i="23"/>
  <c r="T36" i="23"/>
  <c r="S36" i="23"/>
  <c r="R36" i="23"/>
  <c r="Q36" i="23"/>
  <c r="Q37" i="23" s="1"/>
  <c r="P36" i="23"/>
  <c r="N36" i="23"/>
  <c r="M36" i="23"/>
  <c r="L36" i="23"/>
  <c r="K36" i="23"/>
  <c r="J36" i="23"/>
  <c r="I36" i="23"/>
  <c r="I37" i="23" s="1"/>
  <c r="H36" i="23"/>
  <c r="G36" i="23"/>
  <c r="F36" i="23"/>
  <c r="E36" i="23"/>
  <c r="M31" i="23"/>
  <c r="AA25" i="23"/>
  <c r="AH22" i="23"/>
  <c r="R22" i="23"/>
  <c r="Z19" i="23"/>
  <c r="J19" i="23"/>
  <c r="AI40" i="23"/>
  <c r="D4" i="23"/>
  <c r="B4" i="23"/>
  <c r="B10" i="43"/>
  <c r="B9" i="43"/>
  <c r="U8" i="96" l="1"/>
  <c r="T8" i="96"/>
  <c r="V8" i="96" s="1"/>
  <c r="I42" i="43"/>
  <c r="I57" i="43"/>
  <c r="I47" i="43" s="1"/>
  <c r="G11" i="100"/>
  <c r="O48" i="100"/>
  <c r="H7" i="100"/>
  <c r="W10" i="100"/>
  <c r="D11" i="100"/>
  <c r="H7" i="99"/>
  <c r="W10" i="99"/>
  <c r="D11" i="99"/>
  <c r="G11" i="99"/>
  <c r="M18" i="96"/>
  <c r="T18" i="96"/>
  <c r="R19" i="96"/>
  <c r="U18" i="96"/>
  <c r="R20" i="96"/>
  <c r="T19" i="96"/>
  <c r="U19" i="96"/>
  <c r="R16" i="96"/>
  <c r="U15" i="96"/>
  <c r="T15" i="96"/>
  <c r="H43" i="96"/>
  <c r="J43" i="96" s="1"/>
  <c r="F43" i="96"/>
  <c r="T20" i="96"/>
  <c r="R21" i="96"/>
  <c r="U20" i="96"/>
  <c r="R13" i="96"/>
  <c r="T12" i="96"/>
  <c r="V12" i="96" s="1"/>
  <c r="F15" i="96"/>
  <c r="F39" i="96" s="1"/>
  <c r="A24" i="95"/>
  <c r="C34" i="95"/>
  <c r="A34" i="95" s="1"/>
  <c r="C22" i="95"/>
  <c r="A22" i="95" s="1"/>
  <c r="C31" i="95"/>
  <c r="A31" i="95" s="1"/>
  <c r="C99" i="95"/>
  <c r="A27" i="95"/>
  <c r="F46" i="95" s="1"/>
  <c r="C40" i="95"/>
  <c r="A40" i="95" s="1"/>
  <c r="C126" i="95"/>
  <c r="C36" i="95"/>
  <c r="A36" i="95" s="1"/>
  <c r="F51" i="95" s="1"/>
  <c r="C51" i="95" s="1"/>
  <c r="C28" i="95"/>
  <c r="A28" i="95" s="1"/>
  <c r="A30" i="95"/>
  <c r="F48" i="95" s="1"/>
  <c r="C48" i="95" s="1"/>
  <c r="C19" i="95"/>
  <c r="A19" i="95" s="1"/>
  <c r="C20" i="95"/>
  <c r="C25" i="95"/>
  <c r="A25" i="95" s="1"/>
  <c r="A33" i="95"/>
  <c r="A39" i="95"/>
  <c r="F47" i="95"/>
  <c r="C47" i="95" s="1"/>
  <c r="C37" i="95"/>
  <c r="A37" i="95" s="1"/>
  <c r="C46" i="95"/>
  <c r="A21" i="95"/>
  <c r="A43" i="95" s="1"/>
  <c r="C131" i="95"/>
  <c r="G37" i="95"/>
  <c r="C113" i="95"/>
  <c r="C134" i="95"/>
  <c r="C116" i="95"/>
  <c r="C119" i="95"/>
  <c r="C137" i="95"/>
  <c r="C123" i="95"/>
  <c r="Q19" i="23"/>
  <c r="AG19" i="23"/>
  <c r="I22" i="23"/>
  <c r="Y22" i="23"/>
  <c r="AI25" i="23"/>
  <c r="U31" i="23"/>
  <c r="O34" i="23"/>
  <c r="AA40" i="23"/>
  <c r="C137" i="23"/>
  <c r="C138" i="23"/>
  <c r="C139" i="23" s="1"/>
  <c r="C131" i="33"/>
  <c r="C132" i="33"/>
  <c r="C131" i="29"/>
  <c r="C132" i="29"/>
  <c r="C36" i="23"/>
  <c r="D19" i="23"/>
  <c r="H19" i="23"/>
  <c r="L19" i="23"/>
  <c r="P19" i="23"/>
  <c r="T19" i="23"/>
  <c r="X19" i="23"/>
  <c r="AB19" i="23"/>
  <c r="AF19" i="23"/>
  <c r="AJ19" i="23"/>
  <c r="R19" i="23"/>
  <c r="AH19" i="23"/>
  <c r="J22" i="23"/>
  <c r="Z22" i="23"/>
  <c r="K25" i="23"/>
  <c r="D28" i="23"/>
  <c r="L28" i="23"/>
  <c r="T28" i="23"/>
  <c r="AB28" i="23"/>
  <c r="AJ28" i="23"/>
  <c r="AC31" i="23"/>
  <c r="W34" i="23"/>
  <c r="C88" i="23"/>
  <c r="C131" i="23"/>
  <c r="C132" i="23"/>
  <c r="C123" i="31"/>
  <c r="C132" i="31"/>
  <c r="AH40" i="23"/>
  <c r="E19" i="23"/>
  <c r="M19" i="23"/>
  <c r="U19" i="23"/>
  <c r="AC19" i="23"/>
  <c r="I19" i="23"/>
  <c r="Y19" i="23"/>
  <c r="Q22" i="23"/>
  <c r="AG22" i="23"/>
  <c r="S25" i="23"/>
  <c r="E31" i="23"/>
  <c r="AE34" i="23"/>
  <c r="K40" i="23"/>
  <c r="O34" i="29"/>
  <c r="C123" i="29"/>
  <c r="R22" i="31"/>
  <c r="AH22" i="31"/>
  <c r="K25" i="31"/>
  <c r="AA25" i="31"/>
  <c r="N28" i="31"/>
  <c r="D28" i="31"/>
  <c r="L28" i="31"/>
  <c r="T28" i="31"/>
  <c r="AB28" i="31"/>
  <c r="AJ28" i="31"/>
  <c r="O31" i="31"/>
  <c r="AE31" i="31"/>
  <c r="O34" i="31"/>
  <c r="AE34" i="31"/>
  <c r="S37" i="31"/>
  <c r="E40" i="31"/>
  <c r="U40" i="31"/>
  <c r="AK40" i="31"/>
  <c r="C57" i="31"/>
  <c r="C113" i="31"/>
  <c r="C126" i="31"/>
  <c r="C135" i="31"/>
  <c r="AH19" i="33"/>
  <c r="R22" i="33"/>
  <c r="K25" i="33"/>
  <c r="D28" i="33"/>
  <c r="L28" i="33"/>
  <c r="T28" i="33"/>
  <c r="AB28" i="33"/>
  <c r="AJ28" i="33"/>
  <c r="AC31" i="33"/>
  <c r="W34" i="33"/>
  <c r="K40" i="33"/>
  <c r="AH40" i="29"/>
  <c r="J19" i="29"/>
  <c r="Z22" i="29"/>
  <c r="S25" i="29"/>
  <c r="L28" i="29"/>
  <c r="AJ28" i="29"/>
  <c r="AC31" i="29"/>
  <c r="W34" i="29"/>
  <c r="AI40" i="29"/>
  <c r="C113" i="29"/>
  <c r="C126" i="29"/>
  <c r="C135" i="29"/>
  <c r="C36" i="31"/>
  <c r="R19" i="31"/>
  <c r="AH19" i="31"/>
  <c r="D22" i="31"/>
  <c r="T22" i="31"/>
  <c r="AJ22" i="31"/>
  <c r="M25" i="31"/>
  <c r="AC25" i="31"/>
  <c r="V28" i="31"/>
  <c r="E31" i="31"/>
  <c r="U31" i="31"/>
  <c r="Q34" i="31"/>
  <c r="AG34" i="31"/>
  <c r="AA37" i="31"/>
  <c r="K40" i="31"/>
  <c r="AA40" i="31"/>
  <c r="C81" i="31"/>
  <c r="C116" i="31"/>
  <c r="C129" i="31"/>
  <c r="C134" i="31"/>
  <c r="J19" i="33"/>
  <c r="Z22" i="33"/>
  <c r="S25" i="33"/>
  <c r="E31" i="33"/>
  <c r="AE34" i="33"/>
  <c r="S40" i="33"/>
  <c r="C61" i="33"/>
  <c r="C126" i="33"/>
  <c r="C135" i="33"/>
  <c r="C134" i="23"/>
  <c r="R19" i="29"/>
  <c r="AH22" i="29"/>
  <c r="AA25" i="29"/>
  <c r="T28" i="29"/>
  <c r="E31" i="29"/>
  <c r="AE34" i="29"/>
  <c r="K40" i="29"/>
  <c r="C116" i="29"/>
  <c r="C129" i="29"/>
  <c r="C138" i="29"/>
  <c r="C139" i="29" s="1"/>
  <c r="D19" i="31"/>
  <c r="T19" i="31"/>
  <c r="AJ19" i="31"/>
  <c r="J22" i="31"/>
  <c r="Z22" i="31"/>
  <c r="S25" i="31"/>
  <c r="AI25" i="31"/>
  <c r="AD28" i="31"/>
  <c r="G31" i="31"/>
  <c r="W31" i="31"/>
  <c r="I37" i="31"/>
  <c r="Q37" i="31"/>
  <c r="Y37" i="31"/>
  <c r="AG37" i="31"/>
  <c r="G34" i="31"/>
  <c r="W34" i="31"/>
  <c r="AI37" i="31"/>
  <c r="M40" i="31"/>
  <c r="AC40" i="31"/>
  <c r="C61" i="31"/>
  <c r="C119" i="31"/>
  <c r="C131" i="31"/>
  <c r="C138" i="31"/>
  <c r="C139" i="31" s="1"/>
  <c r="R19" i="33"/>
  <c r="AH22" i="33"/>
  <c r="AA25" i="33"/>
  <c r="M31" i="33"/>
  <c r="I37" i="33"/>
  <c r="Q37" i="33"/>
  <c r="Y37" i="33"/>
  <c r="AG37" i="33"/>
  <c r="G34" i="33"/>
  <c r="AA40" i="33"/>
  <c r="C129" i="33"/>
  <c r="C138" i="33"/>
  <c r="C139" i="33" s="1"/>
  <c r="C119" i="33"/>
  <c r="C123" i="33"/>
  <c r="C36" i="33"/>
  <c r="C113" i="33"/>
  <c r="C116" i="33"/>
  <c r="K19" i="33"/>
  <c r="S19" i="33"/>
  <c r="AA19" i="33"/>
  <c r="AI19" i="33"/>
  <c r="K22" i="33"/>
  <c r="S22" i="33"/>
  <c r="AA22" i="33"/>
  <c r="AI22" i="33"/>
  <c r="D25" i="33"/>
  <c r="L25" i="33"/>
  <c r="T25" i="33"/>
  <c r="AB25" i="33"/>
  <c r="AJ25" i="33"/>
  <c r="E28" i="33"/>
  <c r="M28" i="33"/>
  <c r="U28" i="33"/>
  <c r="AC28" i="33"/>
  <c r="F31" i="33"/>
  <c r="N31" i="33"/>
  <c r="V31" i="33"/>
  <c r="AD31" i="33"/>
  <c r="C33" i="33"/>
  <c r="A33" i="33" s="1"/>
  <c r="H34" i="33"/>
  <c r="P34" i="33"/>
  <c r="X34" i="33"/>
  <c r="AF34" i="33"/>
  <c r="J37" i="33"/>
  <c r="R37" i="33"/>
  <c r="Z37" i="33"/>
  <c r="AH37" i="33"/>
  <c r="D40" i="33"/>
  <c r="L40" i="33"/>
  <c r="T40" i="33"/>
  <c r="AB40" i="33"/>
  <c r="AJ40" i="33"/>
  <c r="C16" i="33"/>
  <c r="D19" i="33"/>
  <c r="L19" i="33"/>
  <c r="T19" i="33"/>
  <c r="AB19" i="33"/>
  <c r="AJ19" i="33"/>
  <c r="D22" i="33"/>
  <c r="L22" i="33"/>
  <c r="T22" i="33"/>
  <c r="AB22" i="33"/>
  <c r="AJ22" i="33"/>
  <c r="E25" i="33"/>
  <c r="M25" i="33"/>
  <c r="U25" i="33"/>
  <c r="AC25" i="33"/>
  <c r="F28" i="33"/>
  <c r="N28" i="33"/>
  <c r="V28" i="33"/>
  <c r="AD28" i="33"/>
  <c r="G31" i="33"/>
  <c r="O31" i="33"/>
  <c r="W31" i="33"/>
  <c r="AE31" i="33"/>
  <c r="I34" i="33"/>
  <c r="Q34" i="33"/>
  <c r="Y34" i="33"/>
  <c r="AG34" i="33"/>
  <c r="K37" i="33"/>
  <c r="S37" i="33"/>
  <c r="AA37" i="33"/>
  <c r="AI37" i="33"/>
  <c r="E40" i="33"/>
  <c r="M40" i="33"/>
  <c r="U40" i="33"/>
  <c r="AC40" i="33"/>
  <c r="AK40" i="33"/>
  <c r="C81" i="33"/>
  <c r="C88" i="33"/>
  <c r="C134" i="33"/>
  <c r="E19" i="33"/>
  <c r="M19" i="33"/>
  <c r="U19" i="33"/>
  <c r="AC19" i="33"/>
  <c r="E22" i="33"/>
  <c r="M22" i="33"/>
  <c r="U22" i="33"/>
  <c r="AC22" i="33"/>
  <c r="F25" i="33"/>
  <c r="N25" i="33"/>
  <c r="V25" i="33"/>
  <c r="AD25" i="33"/>
  <c r="G28" i="33"/>
  <c r="O28" i="33"/>
  <c r="W28" i="33"/>
  <c r="AE28" i="33"/>
  <c r="C30" i="33"/>
  <c r="A30" i="33" s="1"/>
  <c r="F48" i="33" s="1"/>
  <c r="C48" i="33" s="1"/>
  <c r="H31" i="33"/>
  <c r="P31" i="33"/>
  <c r="X31" i="33"/>
  <c r="AF31" i="33"/>
  <c r="J34" i="33"/>
  <c r="R34" i="33"/>
  <c r="Z34" i="33"/>
  <c r="AH34" i="33"/>
  <c r="D37" i="33"/>
  <c r="L37" i="33"/>
  <c r="T37" i="33"/>
  <c r="AB37" i="33"/>
  <c r="AJ37" i="33"/>
  <c r="F40" i="33"/>
  <c r="N40" i="33"/>
  <c r="V40" i="33"/>
  <c r="AD40" i="33"/>
  <c r="F19" i="33"/>
  <c r="N19" i="33"/>
  <c r="V19" i="33"/>
  <c r="AD19" i="33"/>
  <c r="F22" i="33"/>
  <c r="N22" i="33"/>
  <c r="V22" i="33"/>
  <c r="AD22" i="33"/>
  <c r="G25" i="33"/>
  <c r="O25" i="33"/>
  <c r="W25" i="33"/>
  <c r="AE25" i="33"/>
  <c r="C27" i="33"/>
  <c r="A27" i="33" s="1"/>
  <c r="F46" i="33" s="1"/>
  <c r="H28" i="33"/>
  <c r="P28" i="33"/>
  <c r="X28" i="33"/>
  <c r="AF28" i="33"/>
  <c r="I31" i="33"/>
  <c r="Q31" i="33"/>
  <c r="Y31" i="33"/>
  <c r="AG31" i="33"/>
  <c r="K34" i="33"/>
  <c r="S34" i="33"/>
  <c r="AA34" i="33"/>
  <c r="AI34" i="33"/>
  <c r="E37" i="33"/>
  <c r="M37" i="33"/>
  <c r="U37" i="33"/>
  <c r="AC37" i="33"/>
  <c r="G40" i="33"/>
  <c r="O40" i="33"/>
  <c r="W40" i="33"/>
  <c r="AE40" i="33"/>
  <c r="G19" i="33"/>
  <c r="O19" i="33"/>
  <c r="W19" i="33"/>
  <c r="AE19" i="33"/>
  <c r="G22" i="33"/>
  <c r="O22" i="33"/>
  <c r="W22" i="33"/>
  <c r="AE22" i="33"/>
  <c r="C24" i="33"/>
  <c r="A24" i="33" s="1"/>
  <c r="H25" i="33"/>
  <c r="P25" i="33"/>
  <c r="X25" i="33"/>
  <c r="AF25" i="33"/>
  <c r="I28" i="33"/>
  <c r="Q28" i="33"/>
  <c r="Y28" i="33"/>
  <c r="AG28" i="33"/>
  <c r="J31" i="33"/>
  <c r="R31" i="33"/>
  <c r="Z31" i="33"/>
  <c r="AH31" i="33"/>
  <c r="D34" i="33"/>
  <c r="L34" i="33"/>
  <c r="T34" i="33"/>
  <c r="AB34" i="33"/>
  <c r="AJ34" i="33"/>
  <c r="F37" i="33"/>
  <c r="N37" i="33"/>
  <c r="V37" i="33"/>
  <c r="AD37" i="33"/>
  <c r="C39" i="33"/>
  <c r="A39" i="33" s="1"/>
  <c r="H40" i="33"/>
  <c r="P40" i="33"/>
  <c r="X40" i="33"/>
  <c r="AF40" i="33"/>
  <c r="C137" i="33"/>
  <c r="C18" i="33"/>
  <c r="H19" i="33"/>
  <c r="P19" i="33"/>
  <c r="X19" i="33"/>
  <c r="AF19" i="33"/>
  <c r="C21" i="33"/>
  <c r="H22" i="33"/>
  <c r="P22" i="33"/>
  <c r="X22" i="33"/>
  <c r="AF22" i="33"/>
  <c r="I25" i="33"/>
  <c r="Q25" i="33"/>
  <c r="Y25" i="33"/>
  <c r="AG25" i="33"/>
  <c r="J28" i="33"/>
  <c r="R28" i="33"/>
  <c r="Z28" i="33"/>
  <c r="AH28" i="33"/>
  <c r="K31" i="33"/>
  <c r="S31" i="33"/>
  <c r="AA31" i="33"/>
  <c r="AI31" i="33"/>
  <c r="E34" i="33"/>
  <c r="M34" i="33"/>
  <c r="U34" i="33"/>
  <c r="AC34" i="33"/>
  <c r="G37" i="33"/>
  <c r="O37" i="33"/>
  <c r="W37" i="33"/>
  <c r="AE37" i="33"/>
  <c r="I40" i="33"/>
  <c r="Q40" i="33"/>
  <c r="Y40" i="33"/>
  <c r="AG40" i="33"/>
  <c r="I19" i="33"/>
  <c r="Q19" i="33"/>
  <c r="Y19" i="33"/>
  <c r="AG19" i="33"/>
  <c r="I22" i="33"/>
  <c r="Q22" i="33"/>
  <c r="Y22" i="33"/>
  <c r="AG22" i="33"/>
  <c r="J25" i="33"/>
  <c r="R25" i="33"/>
  <c r="Z25" i="33"/>
  <c r="AH25" i="33"/>
  <c r="K28" i="33"/>
  <c r="S28" i="33"/>
  <c r="AA28" i="33"/>
  <c r="AI28" i="33"/>
  <c r="D31" i="33"/>
  <c r="L31" i="33"/>
  <c r="T31" i="33"/>
  <c r="AB31" i="33"/>
  <c r="AJ31" i="33"/>
  <c r="F34" i="33"/>
  <c r="N34" i="33"/>
  <c r="V34" i="33"/>
  <c r="AD34" i="33"/>
  <c r="H37" i="33"/>
  <c r="P37" i="33"/>
  <c r="X37" i="33"/>
  <c r="AF37" i="33"/>
  <c r="J40" i="33"/>
  <c r="R40" i="33"/>
  <c r="Z40" i="33"/>
  <c r="K19" i="31"/>
  <c r="S19" i="31"/>
  <c r="AA19" i="31"/>
  <c r="AI19" i="31"/>
  <c r="K22" i="31"/>
  <c r="S22" i="31"/>
  <c r="AA22" i="31"/>
  <c r="AI22" i="31"/>
  <c r="D25" i="31"/>
  <c r="L25" i="31"/>
  <c r="T25" i="31"/>
  <c r="AB25" i="31"/>
  <c r="AJ25" i="31"/>
  <c r="E28" i="31"/>
  <c r="M28" i="31"/>
  <c r="U28" i="31"/>
  <c r="AC28" i="31"/>
  <c r="F31" i="31"/>
  <c r="N31" i="31"/>
  <c r="V31" i="31"/>
  <c r="AD31" i="31"/>
  <c r="C33" i="31"/>
  <c r="A33" i="31" s="1"/>
  <c r="H34" i="31"/>
  <c r="P34" i="31"/>
  <c r="X34" i="31"/>
  <c r="AF34" i="31"/>
  <c r="J37" i="31"/>
  <c r="R37" i="31"/>
  <c r="Z37" i="31"/>
  <c r="AH37" i="31"/>
  <c r="D40" i="31"/>
  <c r="L40" i="31"/>
  <c r="T40" i="31"/>
  <c r="AB40" i="31"/>
  <c r="AJ40" i="31"/>
  <c r="C16" i="31"/>
  <c r="A36" i="31" s="1"/>
  <c r="F51" i="31" s="1"/>
  <c r="C51" i="31" s="1"/>
  <c r="E19" i="31"/>
  <c r="M19" i="31"/>
  <c r="U19" i="31"/>
  <c r="AC19" i="31"/>
  <c r="E22" i="31"/>
  <c r="M22" i="31"/>
  <c r="U22" i="31"/>
  <c r="AC22" i="31"/>
  <c r="F25" i="31"/>
  <c r="N25" i="31"/>
  <c r="V25" i="31"/>
  <c r="AD25" i="31"/>
  <c r="G28" i="31"/>
  <c r="O28" i="31"/>
  <c r="W28" i="31"/>
  <c r="AE28" i="31"/>
  <c r="C30" i="31"/>
  <c r="A30" i="31" s="1"/>
  <c r="F48" i="31" s="1"/>
  <c r="C48" i="31" s="1"/>
  <c r="H31" i="31"/>
  <c r="P31" i="31"/>
  <c r="X31" i="31"/>
  <c r="AF31" i="31"/>
  <c r="J34" i="31"/>
  <c r="R34" i="31"/>
  <c r="Z34" i="31"/>
  <c r="AH34" i="31"/>
  <c r="D37" i="31"/>
  <c r="L37" i="31"/>
  <c r="T37" i="31"/>
  <c r="AB37" i="31"/>
  <c r="AJ37" i="31"/>
  <c r="F40" i="31"/>
  <c r="N40" i="31"/>
  <c r="V40" i="31"/>
  <c r="AD40" i="31"/>
  <c r="F19" i="31"/>
  <c r="N19" i="31"/>
  <c r="V19" i="31"/>
  <c r="AD19" i="31"/>
  <c r="F22" i="31"/>
  <c r="N22" i="31"/>
  <c r="V22" i="31"/>
  <c r="AD22" i="31"/>
  <c r="G25" i="31"/>
  <c r="O25" i="31"/>
  <c r="W25" i="31"/>
  <c r="AE25" i="31"/>
  <c r="C27" i="31"/>
  <c r="A27" i="31" s="1"/>
  <c r="F46" i="31" s="1"/>
  <c r="H28" i="31"/>
  <c r="P28" i="31"/>
  <c r="X28" i="31"/>
  <c r="AF28" i="31"/>
  <c r="I31" i="31"/>
  <c r="Q31" i="31"/>
  <c r="Y31" i="31"/>
  <c r="AG31" i="31"/>
  <c r="K34" i="31"/>
  <c r="S34" i="31"/>
  <c r="AA34" i="31"/>
  <c r="AI34" i="31"/>
  <c r="E37" i="31"/>
  <c r="M37" i="31"/>
  <c r="U37" i="31"/>
  <c r="AC37" i="31"/>
  <c r="G40" i="31"/>
  <c r="O40" i="31"/>
  <c r="W40" i="31"/>
  <c r="AE40" i="31"/>
  <c r="G19" i="31"/>
  <c r="O19" i="31"/>
  <c r="W19" i="31"/>
  <c r="AE19" i="31"/>
  <c r="G22" i="31"/>
  <c r="O22" i="31"/>
  <c r="W22" i="31"/>
  <c r="AE22" i="31"/>
  <c r="C24" i="31"/>
  <c r="A24" i="31" s="1"/>
  <c r="H25" i="31"/>
  <c r="P25" i="31"/>
  <c r="X25" i="31"/>
  <c r="AF25" i="31"/>
  <c r="I28" i="31"/>
  <c r="Q28" i="31"/>
  <c r="Y28" i="31"/>
  <c r="AG28" i="31"/>
  <c r="J31" i="31"/>
  <c r="R31" i="31"/>
  <c r="Z31" i="31"/>
  <c r="AH31" i="31"/>
  <c r="D34" i="31"/>
  <c r="L34" i="31"/>
  <c r="T34" i="31"/>
  <c r="AB34" i="31"/>
  <c r="AJ34" i="31"/>
  <c r="F37" i="31"/>
  <c r="N37" i="31"/>
  <c r="V37" i="31"/>
  <c r="AD37" i="31"/>
  <c r="C39" i="31"/>
  <c r="A39" i="31" s="1"/>
  <c r="H40" i="31"/>
  <c r="P40" i="31"/>
  <c r="X40" i="31"/>
  <c r="AF40" i="31"/>
  <c r="C137" i="31"/>
  <c r="C18" i="31"/>
  <c r="H19" i="31"/>
  <c r="P19" i="31"/>
  <c r="X19" i="31"/>
  <c r="AF19" i="31"/>
  <c r="C21" i="31"/>
  <c r="H22" i="31"/>
  <c r="P22" i="31"/>
  <c r="X22" i="31"/>
  <c r="AF22" i="31"/>
  <c r="I25" i="31"/>
  <c r="Q25" i="31"/>
  <c r="Y25" i="31"/>
  <c r="AG25" i="31"/>
  <c r="J28" i="31"/>
  <c r="R28" i="31"/>
  <c r="Z28" i="31"/>
  <c r="AH28" i="31"/>
  <c r="K31" i="31"/>
  <c r="S31" i="31"/>
  <c r="AA31" i="31"/>
  <c r="AI31" i="31"/>
  <c r="E34" i="31"/>
  <c r="M34" i="31"/>
  <c r="U34" i="31"/>
  <c r="AC34" i="31"/>
  <c r="G37" i="31"/>
  <c r="O37" i="31"/>
  <c r="W37" i="31"/>
  <c r="AE37" i="31"/>
  <c r="I40" i="31"/>
  <c r="Q40" i="31"/>
  <c r="Y40" i="31"/>
  <c r="AG40" i="31"/>
  <c r="C97" i="31"/>
  <c r="I19" i="31"/>
  <c r="Q19" i="31"/>
  <c r="Y19" i="31"/>
  <c r="AG19" i="31"/>
  <c r="I22" i="31"/>
  <c r="Q22" i="31"/>
  <c r="Y22" i="31"/>
  <c r="AG22" i="31"/>
  <c r="J25" i="31"/>
  <c r="R25" i="31"/>
  <c r="Z25" i="31"/>
  <c r="AH25" i="31"/>
  <c r="K28" i="31"/>
  <c r="S28" i="31"/>
  <c r="AA28" i="31"/>
  <c r="AI28" i="31"/>
  <c r="D31" i="31"/>
  <c r="L31" i="31"/>
  <c r="T31" i="31"/>
  <c r="AB31" i="31"/>
  <c r="AJ31" i="31"/>
  <c r="F34" i="31"/>
  <c r="N34" i="31"/>
  <c r="V34" i="31"/>
  <c r="AD34" i="31"/>
  <c r="H37" i="31"/>
  <c r="P37" i="31"/>
  <c r="X37" i="31"/>
  <c r="AF37" i="31"/>
  <c r="J40" i="31"/>
  <c r="R40" i="31"/>
  <c r="Z40" i="31"/>
  <c r="C36" i="29"/>
  <c r="K19" i="29"/>
  <c r="S19" i="29"/>
  <c r="AA19" i="29"/>
  <c r="AI19" i="29"/>
  <c r="K22" i="29"/>
  <c r="S22" i="29"/>
  <c r="AA22" i="29"/>
  <c r="AI22" i="29"/>
  <c r="D25" i="29"/>
  <c r="L25" i="29"/>
  <c r="T25" i="29"/>
  <c r="AB25" i="29"/>
  <c r="AJ25" i="29"/>
  <c r="E28" i="29"/>
  <c r="M28" i="29"/>
  <c r="U28" i="29"/>
  <c r="AC28" i="29"/>
  <c r="F31" i="29"/>
  <c r="N31" i="29"/>
  <c r="V31" i="29"/>
  <c r="AD31" i="29"/>
  <c r="C33" i="29"/>
  <c r="A33" i="29" s="1"/>
  <c r="H34" i="29"/>
  <c r="P34" i="29"/>
  <c r="X34" i="29"/>
  <c r="AF34" i="29"/>
  <c r="J37" i="29"/>
  <c r="R37" i="29"/>
  <c r="Z37" i="29"/>
  <c r="AH37" i="29"/>
  <c r="D40" i="29"/>
  <c r="L40" i="29"/>
  <c r="T40" i="29"/>
  <c r="AB40" i="29"/>
  <c r="AJ40" i="29"/>
  <c r="C16" i="29"/>
  <c r="D19" i="29"/>
  <c r="L19" i="29"/>
  <c r="T19" i="29"/>
  <c r="AB19" i="29"/>
  <c r="AJ19" i="29"/>
  <c r="D22" i="29"/>
  <c r="L22" i="29"/>
  <c r="T22" i="29"/>
  <c r="AB22" i="29"/>
  <c r="AJ22" i="29"/>
  <c r="E25" i="29"/>
  <c r="M25" i="29"/>
  <c r="U25" i="29"/>
  <c r="AC25" i="29"/>
  <c r="F28" i="29"/>
  <c r="N28" i="29"/>
  <c r="V28" i="29"/>
  <c r="AD28" i="29"/>
  <c r="G31" i="29"/>
  <c r="O31" i="29"/>
  <c r="W31" i="29"/>
  <c r="AE31" i="29"/>
  <c r="I34" i="29"/>
  <c r="Q34" i="29"/>
  <c r="Y34" i="29"/>
  <c r="AG34" i="29"/>
  <c r="K37" i="29"/>
  <c r="S37" i="29"/>
  <c r="AA37" i="29"/>
  <c r="AI37" i="29"/>
  <c r="E40" i="29"/>
  <c r="M40" i="29"/>
  <c r="U40" i="29"/>
  <c r="AC40" i="29"/>
  <c r="AK40" i="29"/>
  <c r="C81" i="29"/>
  <c r="C88" i="29"/>
  <c r="C134" i="29"/>
  <c r="E19" i="29"/>
  <c r="M19" i="29"/>
  <c r="U19" i="29"/>
  <c r="AC19" i="29"/>
  <c r="E22" i="29"/>
  <c r="M22" i="29"/>
  <c r="U22" i="29"/>
  <c r="AC22" i="29"/>
  <c r="F25" i="29"/>
  <c r="N25" i="29"/>
  <c r="V25" i="29"/>
  <c r="AD25" i="29"/>
  <c r="G28" i="29"/>
  <c r="O28" i="29"/>
  <c r="W28" i="29"/>
  <c r="AE28" i="29"/>
  <c r="C30" i="29"/>
  <c r="A30" i="29" s="1"/>
  <c r="F48" i="29" s="1"/>
  <c r="C48" i="29" s="1"/>
  <c r="H31" i="29"/>
  <c r="P31" i="29"/>
  <c r="X31" i="29"/>
  <c r="AF31" i="29"/>
  <c r="J34" i="29"/>
  <c r="R34" i="29"/>
  <c r="Z34" i="29"/>
  <c r="AH34" i="29"/>
  <c r="D37" i="29"/>
  <c r="L37" i="29"/>
  <c r="T37" i="29"/>
  <c r="AB37" i="29"/>
  <c r="AJ37" i="29"/>
  <c r="F40" i="29"/>
  <c r="N40" i="29"/>
  <c r="V40" i="29"/>
  <c r="AD40" i="29"/>
  <c r="F19" i="29"/>
  <c r="N19" i="29"/>
  <c r="V19" i="29"/>
  <c r="AD19" i="29"/>
  <c r="F22" i="29"/>
  <c r="N22" i="29"/>
  <c r="V22" i="29"/>
  <c r="AD22" i="29"/>
  <c r="G25" i="29"/>
  <c r="O25" i="29"/>
  <c r="W25" i="29"/>
  <c r="AE25" i="29"/>
  <c r="C27" i="29"/>
  <c r="A27" i="29" s="1"/>
  <c r="F46" i="29" s="1"/>
  <c r="H28" i="29"/>
  <c r="P28" i="29"/>
  <c r="X28" i="29"/>
  <c r="AF28" i="29"/>
  <c r="I31" i="29"/>
  <c r="Q31" i="29"/>
  <c r="Y31" i="29"/>
  <c r="AG31" i="29"/>
  <c r="K34" i="29"/>
  <c r="S34" i="29"/>
  <c r="AA34" i="29"/>
  <c r="AI34" i="29"/>
  <c r="E37" i="29"/>
  <c r="M37" i="29"/>
  <c r="U37" i="29"/>
  <c r="AC37" i="29"/>
  <c r="G40" i="29"/>
  <c r="O40" i="29"/>
  <c r="W40" i="29"/>
  <c r="AE40" i="29"/>
  <c r="G19" i="29"/>
  <c r="O19" i="29"/>
  <c r="W19" i="29"/>
  <c r="AE19" i="29"/>
  <c r="G22" i="29"/>
  <c r="O22" i="29"/>
  <c r="W22" i="29"/>
  <c r="AE22" i="29"/>
  <c r="C24" i="29"/>
  <c r="A24" i="29" s="1"/>
  <c r="H25" i="29"/>
  <c r="P25" i="29"/>
  <c r="X25" i="29"/>
  <c r="AF25" i="29"/>
  <c r="I28" i="29"/>
  <c r="Q28" i="29"/>
  <c r="Y28" i="29"/>
  <c r="AG28" i="29"/>
  <c r="J31" i="29"/>
  <c r="R31" i="29"/>
  <c r="Z31" i="29"/>
  <c r="AH31" i="29"/>
  <c r="D34" i="29"/>
  <c r="L34" i="29"/>
  <c r="T34" i="29"/>
  <c r="AB34" i="29"/>
  <c r="AJ34" i="29"/>
  <c r="F37" i="29"/>
  <c r="N37" i="29"/>
  <c r="V37" i="29"/>
  <c r="AD37" i="29"/>
  <c r="C39" i="29"/>
  <c r="A39" i="29" s="1"/>
  <c r="H40" i="29"/>
  <c r="P40" i="29"/>
  <c r="X40" i="29"/>
  <c r="AF40" i="29"/>
  <c r="C137" i="29"/>
  <c r="C18" i="29"/>
  <c r="H19" i="29"/>
  <c r="P19" i="29"/>
  <c r="X19" i="29"/>
  <c r="AF19" i="29"/>
  <c r="C21" i="29"/>
  <c r="H22" i="29"/>
  <c r="P22" i="29"/>
  <c r="X22" i="29"/>
  <c r="AF22" i="29"/>
  <c r="I25" i="29"/>
  <c r="Q25" i="29"/>
  <c r="Y25" i="29"/>
  <c r="AG25" i="29"/>
  <c r="J28" i="29"/>
  <c r="R28" i="29"/>
  <c r="Z28" i="29"/>
  <c r="AH28" i="29"/>
  <c r="K31" i="29"/>
  <c r="S31" i="29"/>
  <c r="AA31" i="29"/>
  <c r="AI31" i="29"/>
  <c r="E34" i="29"/>
  <c r="M34" i="29"/>
  <c r="U34" i="29"/>
  <c r="AC34" i="29"/>
  <c r="G37" i="29"/>
  <c r="O37" i="29"/>
  <c r="W37" i="29"/>
  <c r="AE37" i="29"/>
  <c r="I40" i="29"/>
  <c r="Q40" i="29"/>
  <c r="Y40" i="29"/>
  <c r="AG40" i="29"/>
  <c r="I19" i="29"/>
  <c r="Q19" i="29"/>
  <c r="Y19" i="29"/>
  <c r="AG19" i="29"/>
  <c r="I22" i="29"/>
  <c r="Q22" i="29"/>
  <c r="Y22" i="29"/>
  <c r="AG22" i="29"/>
  <c r="J25" i="29"/>
  <c r="R25" i="29"/>
  <c r="Z25" i="29"/>
  <c r="AH25" i="29"/>
  <c r="K28" i="29"/>
  <c r="S28" i="29"/>
  <c r="AA28" i="29"/>
  <c r="AI28" i="29"/>
  <c r="D31" i="29"/>
  <c r="L31" i="29"/>
  <c r="T31" i="29"/>
  <c r="AB31" i="29"/>
  <c r="AJ31" i="29"/>
  <c r="F34" i="29"/>
  <c r="N34" i="29"/>
  <c r="V34" i="29"/>
  <c r="AD34" i="29"/>
  <c r="H37" i="29"/>
  <c r="P37" i="29"/>
  <c r="X37" i="29"/>
  <c r="AF37" i="29"/>
  <c r="J40" i="29"/>
  <c r="R40" i="29"/>
  <c r="Z40" i="29"/>
  <c r="C126" i="23"/>
  <c r="C129" i="23"/>
  <c r="C116" i="23"/>
  <c r="C119" i="23"/>
  <c r="C123" i="23"/>
  <c r="K19" i="23"/>
  <c r="S19" i="23"/>
  <c r="AA19" i="23"/>
  <c r="AI19" i="23"/>
  <c r="K22" i="23"/>
  <c r="S22" i="23"/>
  <c r="AA22" i="23"/>
  <c r="AI22" i="23"/>
  <c r="D25" i="23"/>
  <c r="L25" i="23"/>
  <c r="T25" i="23"/>
  <c r="AB25" i="23"/>
  <c r="AJ25" i="23"/>
  <c r="E28" i="23"/>
  <c r="M28" i="23"/>
  <c r="U28" i="23"/>
  <c r="AC28" i="23"/>
  <c r="F31" i="23"/>
  <c r="N31" i="23"/>
  <c r="V31" i="23"/>
  <c r="AD31" i="23"/>
  <c r="C33" i="23"/>
  <c r="H34" i="23"/>
  <c r="P34" i="23"/>
  <c r="X34" i="23"/>
  <c r="AF34" i="23"/>
  <c r="J37" i="23"/>
  <c r="R37" i="23"/>
  <c r="Z37" i="23"/>
  <c r="AH37" i="23"/>
  <c r="D40" i="23"/>
  <c r="L40" i="23"/>
  <c r="T40" i="23"/>
  <c r="AB40" i="23"/>
  <c r="AJ40" i="23"/>
  <c r="C16" i="23"/>
  <c r="D22" i="23"/>
  <c r="L22" i="23"/>
  <c r="T22" i="23"/>
  <c r="AB22" i="23"/>
  <c r="AJ22" i="23"/>
  <c r="E25" i="23"/>
  <c r="M25" i="23"/>
  <c r="U25" i="23"/>
  <c r="AC25" i="23"/>
  <c r="F28" i="23"/>
  <c r="N28" i="23"/>
  <c r="V28" i="23"/>
  <c r="AD28" i="23"/>
  <c r="G31" i="23"/>
  <c r="O31" i="23"/>
  <c r="W31" i="23"/>
  <c r="AE31" i="23"/>
  <c r="I34" i="23"/>
  <c r="Q34" i="23"/>
  <c r="Y34" i="23"/>
  <c r="AG34" i="23"/>
  <c r="K37" i="23"/>
  <c r="S37" i="23"/>
  <c r="AA37" i="23"/>
  <c r="AI37" i="23"/>
  <c r="E40" i="23"/>
  <c r="M40" i="23"/>
  <c r="U40" i="23"/>
  <c r="AC40" i="23"/>
  <c r="AK40" i="23"/>
  <c r="C81" i="23"/>
  <c r="E22" i="23"/>
  <c r="M22" i="23"/>
  <c r="U22" i="23"/>
  <c r="AC22" i="23"/>
  <c r="F25" i="23"/>
  <c r="N25" i="23"/>
  <c r="V25" i="23"/>
  <c r="AD25" i="23"/>
  <c r="G28" i="23"/>
  <c r="O28" i="23"/>
  <c r="W28" i="23"/>
  <c r="AE28" i="23"/>
  <c r="C30" i="23"/>
  <c r="A30" i="23" s="1"/>
  <c r="F48" i="23" s="1"/>
  <c r="C48" i="23" s="1"/>
  <c r="H31" i="23"/>
  <c r="P31" i="23"/>
  <c r="X31" i="23"/>
  <c r="AF31" i="23"/>
  <c r="J34" i="23"/>
  <c r="R34" i="23"/>
  <c r="Z34" i="23"/>
  <c r="AH34" i="23"/>
  <c r="D37" i="23"/>
  <c r="L37" i="23"/>
  <c r="T37" i="23"/>
  <c r="AB37" i="23"/>
  <c r="AJ37" i="23"/>
  <c r="F40" i="23"/>
  <c r="N40" i="23"/>
  <c r="V40" i="23"/>
  <c r="AD40" i="23"/>
  <c r="C113" i="23"/>
  <c r="F19" i="23"/>
  <c r="N19" i="23"/>
  <c r="V19" i="23"/>
  <c r="AD19" i="23"/>
  <c r="F22" i="23"/>
  <c r="N22" i="23"/>
  <c r="V22" i="23"/>
  <c r="AD22" i="23"/>
  <c r="G25" i="23"/>
  <c r="O25" i="23"/>
  <c r="W25" i="23"/>
  <c r="AE25" i="23"/>
  <c r="C27" i="23"/>
  <c r="H28" i="23"/>
  <c r="P28" i="23"/>
  <c r="X28" i="23"/>
  <c r="AF28" i="23"/>
  <c r="I31" i="23"/>
  <c r="Q31" i="23"/>
  <c r="Y31" i="23"/>
  <c r="AG31" i="23"/>
  <c r="K34" i="23"/>
  <c r="S34" i="23"/>
  <c r="AA34" i="23"/>
  <c r="AI34" i="23"/>
  <c r="E37" i="23"/>
  <c r="M37" i="23"/>
  <c r="U37" i="23"/>
  <c r="AC37" i="23"/>
  <c r="G40" i="23"/>
  <c r="O40" i="23"/>
  <c r="W40" i="23"/>
  <c r="AE40" i="23"/>
  <c r="G19" i="23"/>
  <c r="O19" i="23"/>
  <c r="W19" i="23"/>
  <c r="AE19" i="23"/>
  <c r="G22" i="23"/>
  <c r="O22" i="23"/>
  <c r="W22" i="23"/>
  <c r="AE22" i="23"/>
  <c r="C24" i="23"/>
  <c r="A24" i="23" s="1"/>
  <c r="H25" i="23"/>
  <c r="P25" i="23"/>
  <c r="X25" i="23"/>
  <c r="AF25" i="23"/>
  <c r="I28" i="23"/>
  <c r="Q28" i="23"/>
  <c r="Y28" i="23"/>
  <c r="AG28" i="23"/>
  <c r="J31" i="23"/>
  <c r="R31" i="23"/>
  <c r="Z31" i="23"/>
  <c r="AH31" i="23"/>
  <c r="D34" i="23"/>
  <c r="L34" i="23"/>
  <c r="T34" i="23"/>
  <c r="AB34" i="23"/>
  <c r="AJ34" i="23"/>
  <c r="F37" i="23"/>
  <c r="N37" i="23"/>
  <c r="V37" i="23"/>
  <c r="AD37" i="23"/>
  <c r="C39" i="23"/>
  <c r="H40" i="23"/>
  <c r="P40" i="23"/>
  <c r="X40" i="23"/>
  <c r="AF40" i="23"/>
  <c r="C18" i="23"/>
  <c r="C21" i="23"/>
  <c r="H22" i="23"/>
  <c r="P22" i="23"/>
  <c r="X22" i="23"/>
  <c r="AF22" i="23"/>
  <c r="I25" i="23"/>
  <c r="Q25" i="23"/>
  <c r="Y25" i="23"/>
  <c r="AG25" i="23"/>
  <c r="J28" i="23"/>
  <c r="R28" i="23"/>
  <c r="Z28" i="23"/>
  <c r="AH28" i="23"/>
  <c r="K31" i="23"/>
  <c r="S31" i="23"/>
  <c r="AA31" i="23"/>
  <c r="AI31" i="23"/>
  <c r="E34" i="23"/>
  <c r="M34" i="23"/>
  <c r="U34" i="23"/>
  <c r="AC34" i="23"/>
  <c r="G37" i="23"/>
  <c r="O37" i="23"/>
  <c r="W37" i="23"/>
  <c r="AE37" i="23"/>
  <c r="I40" i="23"/>
  <c r="Q40" i="23"/>
  <c r="Y40" i="23"/>
  <c r="AG40" i="23"/>
  <c r="J25" i="23"/>
  <c r="R25" i="23"/>
  <c r="Z25" i="23"/>
  <c r="AH25" i="23"/>
  <c r="K28" i="23"/>
  <c r="S28" i="23"/>
  <c r="AA28" i="23"/>
  <c r="AI28" i="23"/>
  <c r="D31" i="23"/>
  <c r="L31" i="23"/>
  <c r="T31" i="23"/>
  <c r="AB31" i="23"/>
  <c r="AJ31" i="23"/>
  <c r="F34" i="23"/>
  <c r="N34" i="23"/>
  <c r="V34" i="23"/>
  <c r="AD34" i="23"/>
  <c r="H37" i="23"/>
  <c r="P37" i="23"/>
  <c r="X37" i="23"/>
  <c r="AF37" i="23"/>
  <c r="J40" i="23"/>
  <c r="R40" i="23"/>
  <c r="Z40" i="23"/>
  <c r="I62" i="43" l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30" i="97"/>
  <c r="J39" i="96" s="1"/>
  <c r="M17" i="96" s="1"/>
  <c r="C29" i="97"/>
  <c r="C25" i="97"/>
  <c r="J36" i="96" s="1"/>
  <c r="M14" i="96" s="1"/>
  <c r="C24" i="97"/>
  <c r="C20" i="97"/>
  <c r="J33" i="96" s="1"/>
  <c r="C19" i="97"/>
  <c r="V15" i="96"/>
  <c r="V20" i="96"/>
  <c r="V19" i="96"/>
  <c r="V18" i="96"/>
  <c r="A42" i="95"/>
  <c r="F49" i="95"/>
  <c r="C49" i="95"/>
  <c r="F50" i="95"/>
  <c r="C50" i="95" s="1"/>
  <c r="F53" i="95"/>
  <c r="C53" i="95"/>
  <c r="A44" i="95"/>
  <c r="C19" i="23"/>
  <c r="A19" i="23" s="1"/>
  <c r="A36" i="23"/>
  <c r="F51" i="23" s="1"/>
  <c r="C51" i="23" s="1"/>
  <c r="C34" i="23"/>
  <c r="A34" i="23" s="1"/>
  <c r="C28" i="23"/>
  <c r="A28" i="23" s="1"/>
  <c r="C22" i="31"/>
  <c r="A22" i="31" s="1"/>
  <c r="C28" i="33"/>
  <c r="A28" i="33" s="1"/>
  <c r="A27" i="23"/>
  <c r="F46" i="23" s="1"/>
  <c r="C40" i="23"/>
  <c r="A40" i="23" s="1"/>
  <c r="C31" i="29"/>
  <c r="A31" i="29" s="1"/>
  <c r="C40" i="33"/>
  <c r="A40" i="33" s="1"/>
  <c r="C19" i="33"/>
  <c r="A19" i="33" s="1"/>
  <c r="C25" i="33"/>
  <c r="A25" i="33" s="1"/>
  <c r="C25" i="29"/>
  <c r="A25" i="29" s="1"/>
  <c r="C34" i="31"/>
  <c r="A34" i="31" s="1"/>
  <c r="C25" i="31"/>
  <c r="A25" i="31" s="1"/>
  <c r="C19" i="31"/>
  <c r="A19" i="31" s="1"/>
  <c r="C37" i="33"/>
  <c r="A37" i="33" s="1"/>
  <c r="C22" i="33"/>
  <c r="A22" i="33" s="1"/>
  <c r="C31" i="33"/>
  <c r="A31" i="33" s="1"/>
  <c r="A39" i="23"/>
  <c r="C34" i="29"/>
  <c r="A34" i="29" s="1"/>
  <c r="C22" i="29"/>
  <c r="A22" i="29" s="1"/>
  <c r="C19" i="29"/>
  <c r="A19" i="29" s="1"/>
  <c r="C31" i="31"/>
  <c r="A31" i="31" s="1"/>
  <c r="C28" i="31"/>
  <c r="A28" i="31" s="1"/>
  <c r="C40" i="31"/>
  <c r="A40" i="31" s="1"/>
  <c r="C31" i="23"/>
  <c r="A31" i="23" s="1"/>
  <c r="C37" i="23"/>
  <c r="A37" i="23" s="1"/>
  <c r="C22" i="23"/>
  <c r="A22" i="23" s="1"/>
  <c r="C25" i="23"/>
  <c r="A25" i="23" s="1"/>
  <c r="C40" i="29"/>
  <c r="A40" i="29" s="1"/>
  <c r="C37" i="29"/>
  <c r="A37" i="29" s="1"/>
  <c r="C28" i="29"/>
  <c r="A28" i="29" s="1"/>
  <c r="C37" i="31"/>
  <c r="A37" i="31" s="1"/>
  <c r="C34" i="33"/>
  <c r="A34" i="33" s="1"/>
  <c r="A21" i="33"/>
  <c r="C23" i="33"/>
  <c r="F47" i="33"/>
  <c r="C47" i="33" s="1"/>
  <c r="A42" i="33"/>
  <c r="A36" i="33"/>
  <c r="F51" i="33" s="1"/>
  <c r="C51" i="33" s="1"/>
  <c r="A18" i="33"/>
  <c r="C20" i="33"/>
  <c r="C46" i="33"/>
  <c r="C49" i="33" s="1"/>
  <c r="C46" i="31"/>
  <c r="F47" i="31"/>
  <c r="C47" i="31" s="1"/>
  <c r="A42" i="31"/>
  <c r="A21" i="31"/>
  <c r="C23" i="31"/>
  <c r="A18" i="31"/>
  <c r="C20" i="31"/>
  <c r="C99" i="31"/>
  <c r="A18" i="29"/>
  <c r="C20" i="29"/>
  <c r="A21" i="29"/>
  <c r="C23" i="29"/>
  <c r="F49" i="29"/>
  <c r="C46" i="29"/>
  <c r="C49" i="29" s="1"/>
  <c r="F47" i="29"/>
  <c r="C47" i="29" s="1"/>
  <c r="A42" i="29"/>
  <c r="A36" i="29"/>
  <c r="F51" i="29" s="1"/>
  <c r="C51" i="29" s="1"/>
  <c r="A33" i="23"/>
  <c r="F47" i="23"/>
  <c r="C47" i="23" s="1"/>
  <c r="C99" i="23"/>
  <c r="A21" i="23"/>
  <c r="C23" i="23"/>
  <c r="A18" i="23"/>
  <c r="C20" i="23"/>
  <c r="M11" i="96" l="1"/>
  <c r="J51" i="96"/>
  <c r="M7" i="96" s="1"/>
  <c r="T14" i="96"/>
  <c r="R15" i="96"/>
  <c r="U14" i="96"/>
  <c r="R18" i="96"/>
  <c r="T17" i="96"/>
  <c r="U17" i="96"/>
  <c r="M21" i="96"/>
  <c r="J49" i="96"/>
  <c r="F49" i="23"/>
  <c r="C46" i="23"/>
  <c r="C49" i="23" s="1"/>
  <c r="C53" i="23" s="1"/>
  <c r="A42" i="23"/>
  <c r="F49" i="33"/>
  <c r="F53" i="33" s="1"/>
  <c r="A43" i="33"/>
  <c r="A44" i="33" s="1"/>
  <c r="F50" i="33"/>
  <c r="C50" i="33" s="1"/>
  <c r="C53" i="33" s="1"/>
  <c r="C99" i="33"/>
  <c r="H99" i="31"/>
  <c r="H78" i="31"/>
  <c r="H81" i="31"/>
  <c r="H88" i="31"/>
  <c r="H79" i="31"/>
  <c r="H61" i="31"/>
  <c r="H92" i="31"/>
  <c r="A44" i="31"/>
  <c r="C49" i="31"/>
  <c r="C53" i="31" s="1"/>
  <c r="A43" i="31"/>
  <c r="F50" i="31"/>
  <c r="C50" i="31" s="1"/>
  <c r="H57" i="31"/>
  <c r="F49" i="31"/>
  <c r="F53" i="31" s="1"/>
  <c r="C99" i="29"/>
  <c r="A43" i="29"/>
  <c r="A44" i="29" s="1"/>
  <c r="F50" i="29"/>
  <c r="C50" i="29" s="1"/>
  <c r="C53" i="29" s="1"/>
  <c r="H99" i="23"/>
  <c r="H78" i="23"/>
  <c r="H61" i="23"/>
  <c r="H79" i="23"/>
  <c r="H88" i="23"/>
  <c r="H57" i="23"/>
  <c r="F53" i="23"/>
  <c r="H81" i="23"/>
  <c r="A43" i="23"/>
  <c r="A44" i="23" s="1"/>
  <c r="F50" i="23"/>
  <c r="C50" i="23" s="1"/>
  <c r="H92" i="23"/>
  <c r="J55" i="96" l="1"/>
  <c r="V17" i="96"/>
  <c r="V14" i="96"/>
  <c r="O7" i="96"/>
  <c r="R8" i="96"/>
  <c r="S8" i="96" s="1"/>
  <c r="Q7" i="96"/>
  <c r="U11" i="96"/>
  <c r="R12" i="96"/>
  <c r="T11" i="96"/>
  <c r="T21" i="96"/>
  <c r="R22" i="96"/>
  <c r="U21" i="96"/>
  <c r="H99" i="33"/>
  <c r="H61" i="33"/>
  <c r="H78" i="33"/>
  <c r="H79" i="33"/>
  <c r="H88" i="33"/>
  <c r="H81" i="33"/>
  <c r="H57" i="33"/>
  <c r="H92" i="33"/>
  <c r="H99" i="29"/>
  <c r="H78" i="29"/>
  <c r="H79" i="29"/>
  <c r="H61" i="29"/>
  <c r="H57" i="29"/>
  <c r="H81" i="29"/>
  <c r="H88" i="29"/>
  <c r="F53" i="29"/>
  <c r="H92" i="29"/>
  <c r="H20" i="43"/>
  <c r="H19" i="43"/>
  <c r="H18" i="43"/>
  <c r="H17" i="43"/>
  <c r="H16" i="43"/>
  <c r="H15" i="43"/>
  <c r="H14" i="43"/>
  <c r="H13" i="43"/>
  <c r="H12" i="43"/>
  <c r="H11" i="43"/>
  <c r="G20" i="43"/>
  <c r="G19" i="43"/>
  <c r="G18" i="43"/>
  <c r="G17" i="43"/>
  <c r="G16" i="43"/>
  <c r="G15" i="43"/>
  <c r="G14" i="43"/>
  <c r="G13" i="43"/>
  <c r="G12" i="43"/>
  <c r="G11" i="43"/>
  <c r="F14" i="43"/>
  <c r="F13" i="43"/>
  <c r="F12" i="43"/>
  <c r="F11" i="43"/>
  <c r="E14" i="43"/>
  <c r="E13" i="43"/>
  <c r="E12" i="43"/>
  <c r="E11" i="43"/>
  <c r="D14" i="43"/>
  <c r="D13" i="43"/>
  <c r="D12" i="43"/>
  <c r="D11" i="43"/>
  <c r="C14" i="43"/>
  <c r="C11" i="43"/>
  <c r="Q8" i="96" l="1"/>
  <c r="V7" i="96"/>
  <c r="V11" i="96"/>
  <c r="V21" i="96"/>
  <c r="F18" i="43"/>
  <c r="F20" i="43"/>
  <c r="F19" i="43"/>
  <c r="F15" i="43"/>
  <c r="F16" i="43"/>
  <c r="F17" i="43"/>
  <c r="C65" i="18" l="1"/>
  <c r="C12" i="43"/>
  <c r="C16" i="43" l="1"/>
  <c r="E16" i="43"/>
  <c r="D16" i="43"/>
  <c r="E19" i="43"/>
  <c r="D19" i="43"/>
  <c r="C19" i="43"/>
  <c r="C17" i="43"/>
  <c r="E17" i="43"/>
  <c r="D17" i="43"/>
  <c r="E15" i="43"/>
  <c r="C15" i="43"/>
  <c r="D15" i="43"/>
  <c r="C13" i="43"/>
  <c r="E18" i="43" l="1"/>
  <c r="D18" i="43"/>
  <c r="C18" i="43"/>
  <c r="D20" i="43"/>
  <c r="C20" i="43"/>
  <c r="E20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4" i="43" s="1"/>
  <c r="F21" i="45"/>
  <c r="C22" i="43" s="1"/>
  <c r="F22" i="53"/>
  <c r="D23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0" i="43"/>
  <c r="G50" i="43"/>
  <c r="F50" i="43"/>
  <c r="E50" i="43"/>
  <c r="D50" i="43"/>
  <c r="C50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2" i="43"/>
  <c r="F42" i="43"/>
  <c r="H12" i="41"/>
  <c r="H12" i="45"/>
  <c r="F12" i="41"/>
  <c r="H9" i="41"/>
  <c r="H9" i="45"/>
  <c r="H9" i="51"/>
  <c r="H18" i="39"/>
  <c r="H17" i="39"/>
  <c r="H18" i="37"/>
  <c r="H17" i="37"/>
  <c r="C103" i="50"/>
  <c r="E42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2" i="56" l="1"/>
  <c r="C22" i="82"/>
  <c r="C23" i="82"/>
  <c r="C19" i="59"/>
  <c r="C88" i="50"/>
  <c r="C28" i="58"/>
  <c r="C72" i="50"/>
  <c r="F13" i="53" l="1"/>
  <c r="F10" i="53"/>
  <c r="C22" i="26"/>
  <c r="C24" i="50" l="1"/>
  <c r="C16" i="63" s="1"/>
  <c r="F39" i="51"/>
  <c r="F36" i="51"/>
  <c r="F37" i="51"/>
  <c r="F34" i="51"/>
  <c r="C26" i="50" l="1"/>
  <c r="C16" i="59"/>
  <c r="C25" i="59" s="1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C38" i="26" l="1"/>
  <c r="C32" i="26"/>
  <c r="C38" i="58"/>
  <c r="C24" i="59"/>
  <c r="C23" i="59"/>
  <c r="C71" i="50"/>
  <c r="D61" i="43"/>
  <c r="D56" i="43"/>
  <c r="D51" i="43"/>
  <c r="C61" i="43"/>
  <c r="C56" i="43"/>
  <c r="C51" i="43"/>
  <c r="F9" i="39"/>
  <c r="F9" i="37"/>
  <c r="F25" i="37"/>
  <c r="F19" i="37" s="1"/>
  <c r="H19" i="37" s="1"/>
  <c r="C26" i="59" l="1"/>
  <c r="J40" i="51" s="1"/>
  <c r="E18" i="60"/>
  <c r="E19" i="60" s="1"/>
  <c r="C4" i="58"/>
  <c r="C14" i="58" s="1"/>
  <c r="C4" i="26"/>
  <c r="D16" i="60" s="1"/>
  <c r="D17" i="60" s="1"/>
  <c r="E103" i="50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5" i="43"/>
  <c r="L6" i="60" s="1"/>
  <c r="D44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6" i="43"/>
  <c r="C40" i="58"/>
  <c r="C42" i="58" s="1"/>
  <c r="C43" i="43"/>
  <c r="K5" i="60" s="1"/>
  <c r="J33" i="45"/>
  <c r="M11" i="45" s="1"/>
  <c r="C31" i="43" s="1"/>
  <c r="J36" i="45"/>
  <c r="C46" i="43"/>
  <c r="K6" i="60" s="1"/>
  <c r="R12" i="45" l="1"/>
  <c r="T11" i="45"/>
  <c r="U11" i="45"/>
  <c r="C42" i="43"/>
  <c r="D55" i="43"/>
  <c r="C55" i="43"/>
  <c r="D54" i="43"/>
  <c r="C54" i="43"/>
  <c r="V11" i="45" l="1"/>
  <c r="F16" i="53"/>
  <c r="H22" i="53" l="1"/>
  <c r="D53" i="43"/>
  <c r="D52" i="43" s="1"/>
  <c r="L8" i="60" s="1"/>
  <c r="C53" i="43"/>
  <c r="C52" i="43" s="1"/>
  <c r="C59" i="43"/>
  <c r="D59" i="43"/>
  <c r="K8" i="60" l="1"/>
  <c r="D49" i="43"/>
  <c r="D48" i="43" s="1"/>
  <c r="L7" i="60" s="1"/>
  <c r="C49" i="43"/>
  <c r="C48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1" i="43"/>
  <c r="G61" i="43"/>
  <c r="F61" i="43"/>
  <c r="E61" i="43"/>
  <c r="H56" i="43"/>
  <c r="G56" i="43"/>
  <c r="F56" i="43"/>
  <c r="E56" i="43"/>
  <c r="H51" i="43"/>
  <c r="G51" i="43"/>
  <c r="F51" i="43"/>
  <c r="E51" i="43"/>
  <c r="G55" i="43"/>
  <c r="G54" i="43"/>
  <c r="J37" i="51" l="1"/>
  <c r="M15" i="51" s="1"/>
  <c r="E34" i="43" s="1"/>
  <c r="J34" i="51"/>
  <c r="M12" i="51" s="1"/>
  <c r="E32" i="43" s="1"/>
  <c r="D33" i="43"/>
  <c r="F34" i="53"/>
  <c r="J34" i="53" s="1"/>
  <c r="H39" i="51"/>
  <c r="J39" i="51" s="1"/>
  <c r="M17" i="51" s="1"/>
  <c r="E36" i="43" s="1"/>
  <c r="H39" i="53"/>
  <c r="J39" i="53" s="1"/>
  <c r="H41" i="51"/>
  <c r="H41" i="53"/>
  <c r="H36" i="51"/>
  <c r="J36" i="51" s="1"/>
  <c r="M14" i="51" s="1"/>
  <c r="E33" i="43" s="1"/>
  <c r="H36" i="53"/>
  <c r="J36" i="53" s="1"/>
  <c r="M14" i="53" s="1"/>
  <c r="D34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3" i="43"/>
  <c r="G52" i="43" s="1"/>
  <c r="O8" i="60" s="1"/>
  <c r="F40" i="41"/>
  <c r="G49" i="43"/>
  <c r="G48" i="43" s="1"/>
  <c r="O7" i="60" s="1"/>
  <c r="G59" i="43"/>
  <c r="M12" i="45" l="1"/>
  <c r="C32" i="43" s="1"/>
  <c r="M17" i="53"/>
  <c r="R18" i="53" s="1"/>
  <c r="R16" i="53"/>
  <c r="T15" i="53"/>
  <c r="U15" i="53"/>
  <c r="R15" i="51"/>
  <c r="U14" i="53"/>
  <c r="R15" i="53"/>
  <c r="T14" i="53"/>
  <c r="M14" i="45"/>
  <c r="C34" i="43" s="1"/>
  <c r="M15" i="45"/>
  <c r="C33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D36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39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5" i="43" l="1"/>
  <c r="F54" i="43"/>
  <c r="F33" i="37" l="1"/>
  <c r="F53" i="43"/>
  <c r="F52" i="43" s="1"/>
  <c r="N8" i="60" s="1"/>
  <c r="F49" i="43"/>
  <c r="F48" i="43" s="1"/>
  <c r="N7" i="60" s="1"/>
  <c r="F59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39" i="43" l="1"/>
  <c r="F38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5" i="43" l="1"/>
  <c r="E54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49" i="43"/>
  <c r="E48" i="43" s="1"/>
  <c r="M7" i="60" s="1"/>
  <c r="E53" i="43"/>
  <c r="E52" i="43" s="1"/>
  <c r="M8" i="60" s="1"/>
  <c r="E59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1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29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5" i="43" s="1"/>
  <c r="M20" i="53"/>
  <c r="D38" i="43" s="1"/>
  <c r="M20" i="51"/>
  <c r="E38" i="43" s="1"/>
  <c r="J43" i="51"/>
  <c r="J51" i="37"/>
  <c r="M7" i="37" s="1"/>
  <c r="M11" i="37"/>
  <c r="J51" i="39"/>
  <c r="M7" i="39" s="1"/>
  <c r="M11" i="39"/>
  <c r="G31" i="43" s="1"/>
  <c r="M11" i="51"/>
  <c r="E31" i="43" s="1"/>
  <c r="T11" i="53"/>
  <c r="U11" i="53"/>
  <c r="R12" i="53"/>
  <c r="J43" i="53"/>
  <c r="J43" i="45"/>
  <c r="C38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5" i="43" l="1"/>
  <c r="F58" i="43" s="1"/>
  <c r="F31" i="43"/>
  <c r="D4" i="60"/>
  <c r="M17" i="45"/>
  <c r="H27" i="43"/>
  <c r="O7" i="37"/>
  <c r="F29" i="43"/>
  <c r="R8" i="37"/>
  <c r="Q7" i="37"/>
  <c r="V7" i="37" s="1"/>
  <c r="O7" i="39"/>
  <c r="R8" i="39"/>
  <c r="G29" i="43"/>
  <c r="Q7" i="39"/>
  <c r="V7" i="39" s="1"/>
  <c r="O7" i="51"/>
  <c r="Q7" i="51"/>
  <c r="V7" i="51" s="1"/>
  <c r="E29" i="43"/>
  <c r="R8" i="51"/>
  <c r="O7" i="53"/>
  <c r="R8" i="53"/>
  <c r="Q7" i="53"/>
  <c r="J56" i="18"/>
  <c r="K56" i="18"/>
  <c r="I56" i="18"/>
  <c r="H40" i="18"/>
  <c r="F60" i="43"/>
  <c r="F57" i="43" s="1"/>
  <c r="J49" i="37"/>
  <c r="J55" i="37" s="1"/>
  <c r="K36" i="18"/>
  <c r="J35" i="18"/>
  <c r="G58" i="43"/>
  <c r="G60" i="43"/>
  <c r="T20" i="53"/>
  <c r="R21" i="51"/>
  <c r="U20" i="51"/>
  <c r="U20" i="53"/>
  <c r="T20" i="51"/>
  <c r="R21" i="53"/>
  <c r="M21" i="53"/>
  <c r="D35" i="43" s="1"/>
  <c r="M21" i="51"/>
  <c r="E35" i="43" s="1"/>
  <c r="M21" i="45"/>
  <c r="C35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I28" i="43" l="1"/>
  <c r="I25" i="43" s="1"/>
  <c r="M9" i="96"/>
  <c r="E4" i="60"/>
  <c r="F4" i="60"/>
  <c r="G4" i="60"/>
  <c r="F47" i="43"/>
  <c r="F62" i="43" s="1"/>
  <c r="N9" i="60"/>
  <c r="G27" i="43"/>
  <c r="E27" i="43"/>
  <c r="F27" i="43"/>
  <c r="D27" i="43"/>
  <c r="C27" i="43"/>
  <c r="C33" i="26"/>
  <c r="C34" i="26" s="1"/>
  <c r="C39" i="26" s="1"/>
  <c r="C15" i="26"/>
  <c r="G28" i="43"/>
  <c r="M9" i="39"/>
  <c r="F28" i="43"/>
  <c r="M9" i="37"/>
  <c r="C28" i="43"/>
  <c r="M9" i="53"/>
  <c r="M9" i="45"/>
  <c r="E28" i="43"/>
  <c r="D28" i="43"/>
  <c r="M9" i="51"/>
  <c r="H28" i="43"/>
  <c r="M9" i="41"/>
  <c r="I58" i="18"/>
  <c r="E26" i="43"/>
  <c r="F26" i="43"/>
  <c r="H26" i="43"/>
  <c r="D26" i="43"/>
  <c r="G26" i="43"/>
  <c r="C26" i="43"/>
  <c r="V7" i="53"/>
  <c r="V20" i="53"/>
  <c r="T21" i="53"/>
  <c r="K57" i="50"/>
  <c r="V20" i="51"/>
  <c r="R22" i="45"/>
  <c r="R22" i="53"/>
  <c r="U21" i="53"/>
  <c r="M19" i="51"/>
  <c r="E39" i="43" s="1"/>
  <c r="M19" i="45"/>
  <c r="C39" i="43" s="1"/>
  <c r="J49" i="45"/>
  <c r="K47" i="50"/>
  <c r="C29" i="43"/>
  <c r="U17" i="45"/>
  <c r="C36" i="43"/>
  <c r="D39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M10" i="96"/>
  <c r="Q9" i="96"/>
  <c r="S9" i="96"/>
  <c r="F25" i="43"/>
  <c r="F5" i="60" s="1"/>
  <c r="C4" i="60"/>
  <c r="F9" i="60"/>
  <c r="D25" i="43"/>
  <c r="D5" i="60" s="1"/>
  <c r="C41" i="26"/>
  <c r="K58" i="18"/>
  <c r="H58" i="18"/>
  <c r="J58" i="18"/>
  <c r="C25" i="43"/>
  <c r="C5" i="60" s="1"/>
  <c r="G25" i="43"/>
  <c r="G5" i="60" s="1"/>
  <c r="T9" i="41"/>
  <c r="U9" i="41"/>
  <c r="T9" i="51"/>
  <c r="U9" i="51"/>
  <c r="T9" i="39"/>
  <c r="U9" i="39"/>
  <c r="U9" i="37"/>
  <c r="T9" i="37"/>
  <c r="R10" i="45"/>
  <c r="U9" i="45"/>
  <c r="R13" i="45"/>
  <c r="T9" i="45"/>
  <c r="E25" i="43"/>
  <c r="E5" i="60" s="1"/>
  <c r="T9" i="53"/>
  <c r="U9" i="53"/>
  <c r="M8" i="41"/>
  <c r="M8" i="53"/>
  <c r="M8" i="39"/>
  <c r="M8" i="37"/>
  <c r="M8" i="51"/>
  <c r="M8" i="45"/>
  <c r="Q8" i="45" s="1"/>
  <c r="V7" i="45"/>
  <c r="J55" i="45"/>
  <c r="V21" i="53"/>
  <c r="T19" i="51"/>
  <c r="R20" i="51"/>
  <c r="U19" i="51"/>
  <c r="K46" i="50"/>
  <c r="K56" i="50"/>
  <c r="V17" i="45"/>
  <c r="T18" i="45"/>
  <c r="C37" i="43"/>
  <c r="C58" i="43" s="1"/>
  <c r="R20" i="53"/>
  <c r="U19" i="53"/>
  <c r="T19" i="53"/>
  <c r="R19" i="45"/>
  <c r="U18" i="45"/>
  <c r="V21" i="45"/>
  <c r="V21" i="51"/>
  <c r="V21" i="37"/>
  <c r="V11" i="39"/>
  <c r="R11" i="96" l="1"/>
  <c r="Q10" i="96"/>
  <c r="M13" i="96"/>
  <c r="O10" i="96"/>
  <c r="V9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0" i="43"/>
  <c r="V19" i="51"/>
  <c r="S8" i="45"/>
  <c r="V18" i="45"/>
  <c r="V19" i="53"/>
  <c r="R20" i="45"/>
  <c r="T19" i="45"/>
  <c r="U19" i="45"/>
  <c r="R14" i="96" l="1"/>
  <c r="O13" i="96"/>
  <c r="M16" i="96"/>
  <c r="U13" i="96"/>
  <c r="V10" i="96"/>
  <c r="Q11" i="96"/>
  <c r="Q12" i="96" s="1"/>
  <c r="Q13" i="96" s="1"/>
  <c r="S11" i="96"/>
  <c r="S12" i="96" s="1"/>
  <c r="C57" i="43"/>
  <c r="C47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U16" i="96" l="1"/>
  <c r="O16" i="96"/>
  <c r="M22" i="96"/>
  <c r="R17" i="96"/>
  <c r="V13" i="96"/>
  <c r="Q14" i="96"/>
  <c r="Q15" i="96" s="1"/>
  <c r="Q16" i="96" s="1"/>
  <c r="S14" i="96"/>
  <c r="S15" i="96" s="1"/>
  <c r="K9" i="60"/>
  <c r="C62" i="43"/>
  <c r="C9" i="60" s="1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2" i="43"/>
  <c r="I41" i="43" l="1"/>
  <c r="U22" i="96"/>
  <c r="O22" i="96"/>
  <c r="D7" i="99"/>
  <c r="D7" i="100"/>
  <c r="Q17" i="96"/>
  <c r="Q18" i="96" s="1"/>
  <c r="V16" i="96"/>
  <c r="Q13" i="39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V13" i="39"/>
  <c r="Q14" i="39"/>
  <c r="M22" i="37"/>
  <c r="U16" i="37"/>
  <c r="R17" i="37"/>
  <c r="O16" i="37"/>
  <c r="Q12" i="51"/>
  <c r="Q13" i="51" s="1"/>
  <c r="S12" i="51"/>
  <c r="S14" i="39"/>
  <c r="S12" i="39"/>
  <c r="Q12" i="45"/>
  <c r="Q13" i="45" s="1"/>
  <c r="S11" i="45"/>
  <c r="S12" i="45" s="1"/>
  <c r="D32" i="43"/>
  <c r="R13" i="53"/>
  <c r="U12" i="53"/>
  <c r="T12" i="53"/>
  <c r="M13" i="53"/>
  <c r="Q12" i="53"/>
  <c r="S12" i="53" s="1"/>
  <c r="Q19" i="96" l="1"/>
  <c r="S19" i="96"/>
  <c r="D6" i="100"/>
  <c r="D12" i="100"/>
  <c r="I9" i="43"/>
  <c r="I30" i="43"/>
  <c r="D12" i="99"/>
  <c r="D6" i="99"/>
  <c r="S17" i="96"/>
  <c r="S18" i="96" s="1"/>
  <c r="D7" i="67"/>
  <c r="D7" i="88"/>
  <c r="D6" i="85"/>
  <c r="D12" i="85"/>
  <c r="D6" i="67"/>
  <c r="D12" i="67"/>
  <c r="V13" i="37"/>
  <c r="Q14" i="37"/>
  <c r="S15" i="37" s="1"/>
  <c r="S14" i="51"/>
  <c r="V13" i="51"/>
  <c r="Q14" i="51"/>
  <c r="O22" i="37"/>
  <c r="F41" i="43"/>
  <c r="U22" i="37"/>
  <c r="Q15" i="39"/>
  <c r="Q16" i="39" s="1"/>
  <c r="S15" i="39"/>
  <c r="U22" i="45"/>
  <c r="D7" i="64"/>
  <c r="C41" i="43"/>
  <c r="C9" i="43" s="1"/>
  <c r="O22" i="45"/>
  <c r="Q14" i="45"/>
  <c r="V13" i="45"/>
  <c r="M16" i="53"/>
  <c r="R14" i="53"/>
  <c r="O13" i="53"/>
  <c r="Q13" i="53" s="1"/>
  <c r="U13" i="53"/>
  <c r="V12" i="53"/>
  <c r="S20" i="96" l="1"/>
  <c r="Q20" i="96"/>
  <c r="Q21" i="96" s="1"/>
  <c r="D20" i="100"/>
  <c r="D16" i="100"/>
  <c r="D16" i="99"/>
  <c r="D20" i="99"/>
  <c r="I40" i="43"/>
  <c r="I63" i="43"/>
  <c r="F8" i="60"/>
  <c r="F67" i="60" s="1"/>
  <c r="F73" i="60" s="1"/>
  <c r="F9" i="43"/>
  <c r="F7" i="60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C30" i="43"/>
  <c r="Q15" i="51"/>
  <c r="Q16" i="51" s="1"/>
  <c r="S15" i="51"/>
  <c r="D6" i="64"/>
  <c r="D12" i="64"/>
  <c r="F30" i="43"/>
  <c r="S14" i="45"/>
  <c r="S15" i="45" s="1"/>
  <c r="Q15" i="45"/>
  <c r="Q16" i="45" s="1"/>
  <c r="V13" i="53"/>
  <c r="Q14" i="53"/>
  <c r="S14" i="53"/>
  <c r="U16" i="53"/>
  <c r="O16" i="53"/>
  <c r="R17" i="53"/>
  <c r="F13" i="60" l="1"/>
  <c r="F68" i="60" s="1"/>
  <c r="F74" i="60" s="1"/>
  <c r="I65" i="43"/>
  <c r="I10" i="43" s="1"/>
  <c r="I64" i="43"/>
  <c r="D21" i="100"/>
  <c r="D25" i="100"/>
  <c r="D25" i="99"/>
  <c r="D21" i="99"/>
  <c r="Q22" i="96"/>
  <c r="V22" i="96" s="1"/>
  <c r="S21" i="96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F6" i="60"/>
  <c r="N4" i="60"/>
  <c r="K4" i="60"/>
  <c r="C6" i="60"/>
  <c r="D16" i="64"/>
  <c r="D20" i="64"/>
  <c r="C40" i="43"/>
  <c r="C63" i="43"/>
  <c r="F40" i="43"/>
  <c r="F63" i="43"/>
  <c r="V16" i="51"/>
  <c r="Q17" i="51"/>
  <c r="S17" i="51"/>
  <c r="Q17" i="45"/>
  <c r="Q18" i="45" s="1"/>
  <c r="S17" i="45"/>
  <c r="V16" i="45"/>
  <c r="Q15" i="53"/>
  <c r="Q16" i="53" s="1"/>
  <c r="S17" i="53" s="1"/>
  <c r="D26" i="99" l="1"/>
  <c r="H24" i="99" s="1"/>
  <c r="Q10" i="99"/>
  <c r="Q10" i="100"/>
  <c r="D26" i="100"/>
  <c r="H24" i="100" s="1"/>
  <c r="F64" i="43"/>
  <c r="F11" i="60" s="1"/>
  <c r="F70" i="60" s="1"/>
  <c r="F76" i="60" s="1"/>
  <c r="F65" i="43"/>
  <c r="F10" i="43" s="1"/>
  <c r="C64" i="43"/>
  <c r="C11" i="60" s="1"/>
  <c r="C70" i="60" s="1"/>
  <c r="C76" i="60" s="1"/>
  <c r="C65" i="43"/>
  <c r="C10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S19" i="37"/>
  <c r="D21" i="64"/>
  <c r="D25" i="64"/>
  <c r="S18" i="45"/>
  <c r="Q19" i="45"/>
  <c r="Q20" i="45" s="1"/>
  <c r="Q21" i="45" s="1"/>
  <c r="S19" i="45"/>
  <c r="S15" i="53"/>
  <c r="V16" i="53"/>
  <c r="Q17" i="53"/>
  <c r="H25" i="99" l="1"/>
  <c r="M32" i="99" s="1"/>
  <c r="L32" i="99"/>
  <c r="L32" i="100"/>
  <c r="H25" i="100"/>
  <c r="M32" i="100" s="1"/>
  <c r="K11" i="60"/>
  <c r="N11" i="60"/>
  <c r="Q10" i="88"/>
  <c r="D26" i="88"/>
  <c r="H24" i="88" s="1"/>
  <c r="L32" i="85"/>
  <c r="H25" i="85"/>
  <c r="M32" i="85" s="1"/>
  <c r="L32" i="67"/>
  <c r="H25" i="67"/>
  <c r="M32" i="67" s="1"/>
  <c r="S20" i="37"/>
  <c r="D26" i="64"/>
  <c r="H24" i="64" s="1"/>
  <c r="Q10" i="64"/>
  <c r="S21" i="37"/>
  <c r="Q22" i="37"/>
  <c r="V22" i="37" s="1"/>
  <c r="S20" i="45"/>
  <c r="Q22" i="45"/>
  <c r="V22" i="45" s="1"/>
  <c r="S21" i="45"/>
  <c r="K54" i="99" l="1"/>
  <c r="M54" i="99" s="1"/>
  <c r="Q54" i="99" s="1"/>
  <c r="S54" i="99" s="1"/>
  <c r="U54" i="99" s="1"/>
  <c r="W54" i="99" s="1"/>
  <c r="Y54" i="99" s="1"/>
  <c r="AA54" i="99" s="1"/>
  <c r="K81" i="99"/>
  <c r="M81" i="99" s="1"/>
  <c r="Q81" i="99" s="1"/>
  <c r="S81" i="99" s="1"/>
  <c r="U81" i="99" s="1"/>
  <c r="W81" i="99" s="1"/>
  <c r="Y81" i="99" s="1"/>
  <c r="AA81" i="99" s="1"/>
  <c r="K57" i="99"/>
  <c r="M57" i="99" s="1"/>
  <c r="Q57" i="99" s="1"/>
  <c r="S57" i="99" s="1"/>
  <c r="U57" i="99" s="1"/>
  <c r="K43" i="99"/>
  <c r="M43" i="99" s="1"/>
  <c r="Q43" i="99" s="1"/>
  <c r="S43" i="99" s="1"/>
  <c r="U43" i="99" s="1"/>
  <c r="W43" i="99" s="1"/>
  <c r="Y43" i="99" s="1"/>
  <c r="AA43" i="99" s="1"/>
  <c r="K96" i="99"/>
  <c r="M96" i="99" s="1"/>
  <c r="Q96" i="99" s="1"/>
  <c r="S96" i="99" s="1"/>
  <c r="U96" i="99" s="1"/>
  <c r="K70" i="99"/>
  <c r="M70" i="99" s="1"/>
  <c r="Q70" i="99" s="1"/>
  <c r="S70" i="99" s="1"/>
  <c r="U70" i="99" s="1"/>
  <c r="K71" i="99"/>
  <c r="M71" i="99" s="1"/>
  <c r="Q71" i="99" s="1"/>
  <c r="S71" i="99" s="1"/>
  <c r="U71" i="99" s="1"/>
  <c r="K55" i="99"/>
  <c r="M55" i="99" s="1"/>
  <c r="Q55" i="99" s="1"/>
  <c r="S55" i="99" s="1"/>
  <c r="U55" i="99" s="1"/>
  <c r="W55" i="99" s="1"/>
  <c r="Y55" i="99" s="1"/>
  <c r="AA55" i="99" s="1"/>
  <c r="K39" i="99"/>
  <c r="M39" i="99" s="1"/>
  <c r="Q39" i="99" s="1"/>
  <c r="K84" i="99"/>
  <c r="M84" i="99" s="1"/>
  <c r="Q84" i="99" s="1"/>
  <c r="S84" i="99" s="1"/>
  <c r="U84" i="99" s="1"/>
  <c r="K45" i="99"/>
  <c r="M45" i="99" s="1"/>
  <c r="Q45" i="99" s="1"/>
  <c r="S45" i="99" s="1"/>
  <c r="U45" i="99" s="1"/>
  <c r="K56" i="99"/>
  <c r="M56" i="99" s="1"/>
  <c r="Q56" i="99" s="1"/>
  <c r="S56" i="99" s="1"/>
  <c r="U56" i="99" s="1"/>
  <c r="W56" i="99" s="1"/>
  <c r="Y56" i="99" s="1"/>
  <c r="AA56" i="99" s="1"/>
  <c r="K68" i="99"/>
  <c r="M68" i="99" s="1"/>
  <c r="Q68" i="99" s="1"/>
  <c r="S68" i="99" s="1"/>
  <c r="U68" i="99" s="1"/>
  <c r="W68" i="99" s="1"/>
  <c r="K95" i="99"/>
  <c r="M95" i="99" s="1"/>
  <c r="Q95" i="99" s="1"/>
  <c r="S95" i="99" s="1"/>
  <c r="U95" i="99" s="1"/>
  <c r="K58" i="99"/>
  <c r="M58" i="99" s="1"/>
  <c r="Q58" i="99" s="1"/>
  <c r="S58" i="99" s="1"/>
  <c r="U58" i="99" s="1"/>
  <c r="K93" i="99"/>
  <c r="M93" i="99" s="1"/>
  <c r="Q93" i="99" s="1"/>
  <c r="S93" i="99" s="1"/>
  <c r="U93" i="99" s="1"/>
  <c r="W93" i="99" s="1"/>
  <c r="Y93" i="99" s="1"/>
  <c r="AA93" i="99" s="1"/>
  <c r="K82" i="99"/>
  <c r="M82" i="99" s="1"/>
  <c r="Q82" i="99" s="1"/>
  <c r="S82" i="99" s="1"/>
  <c r="U82" i="99" s="1"/>
  <c r="W82" i="99" s="1"/>
  <c r="Y82" i="99" s="1"/>
  <c r="AA82" i="99" s="1"/>
  <c r="K91" i="99"/>
  <c r="M91" i="99" s="1"/>
  <c r="Q91" i="99" s="1"/>
  <c r="K80" i="99"/>
  <c r="M80" i="99" s="1"/>
  <c r="Q80" i="99" s="1"/>
  <c r="S80" i="99" s="1"/>
  <c r="U80" i="99" s="1"/>
  <c r="W80" i="99" s="1"/>
  <c r="Y80" i="99" s="1"/>
  <c r="AA80" i="99" s="1"/>
  <c r="K67" i="99"/>
  <c r="M67" i="99" s="1"/>
  <c r="Q67" i="99" s="1"/>
  <c r="S67" i="99" s="1"/>
  <c r="U67" i="99" s="1"/>
  <c r="W67" i="99" s="1"/>
  <c r="K41" i="99"/>
  <c r="M41" i="99" s="1"/>
  <c r="Q41" i="99" s="1"/>
  <c r="S41" i="99" s="1"/>
  <c r="U41" i="99" s="1"/>
  <c r="W41" i="99" s="1"/>
  <c r="Y41" i="99" s="1"/>
  <c r="AA41" i="99" s="1"/>
  <c r="K69" i="99"/>
  <c r="M69" i="99" s="1"/>
  <c r="Q69" i="99" s="1"/>
  <c r="S69" i="99" s="1"/>
  <c r="U69" i="99" s="1"/>
  <c r="W69" i="99" s="1"/>
  <c r="K44" i="99"/>
  <c r="M44" i="99" s="1"/>
  <c r="Q44" i="99" s="1"/>
  <c r="S44" i="99" s="1"/>
  <c r="U44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94" i="99"/>
  <c r="M94" i="99" s="1"/>
  <c r="Q94" i="99" s="1"/>
  <c r="S94" i="99" s="1"/>
  <c r="U94" i="99" s="1"/>
  <c r="W94" i="99" s="1"/>
  <c r="Y94" i="99" s="1"/>
  <c r="AA94" i="99" s="1"/>
  <c r="K78" i="99"/>
  <c r="M78" i="99" s="1"/>
  <c r="Q78" i="99" s="1"/>
  <c r="K65" i="99"/>
  <c r="M65" i="99" s="1"/>
  <c r="Q65" i="99" s="1"/>
  <c r="K52" i="99"/>
  <c r="M52" i="99" s="1"/>
  <c r="Q52" i="99" s="1"/>
  <c r="K57" i="100"/>
  <c r="M57" i="100" s="1"/>
  <c r="Q57" i="100" s="1"/>
  <c r="S57" i="100" s="1"/>
  <c r="U57" i="100" s="1"/>
  <c r="K94" i="100"/>
  <c r="M94" i="100" s="1"/>
  <c r="Q94" i="100" s="1"/>
  <c r="S94" i="100" s="1"/>
  <c r="U94" i="100" s="1"/>
  <c r="W94" i="100" s="1"/>
  <c r="Y94" i="100" s="1"/>
  <c r="AA94" i="100" s="1"/>
  <c r="K41" i="100"/>
  <c r="M41" i="100" s="1"/>
  <c r="Q41" i="100" s="1"/>
  <c r="S41" i="100" s="1"/>
  <c r="U41" i="100" s="1"/>
  <c r="W41" i="100" s="1"/>
  <c r="Y41" i="100" s="1"/>
  <c r="AA41" i="100" s="1"/>
  <c r="K68" i="100"/>
  <c r="M68" i="100" s="1"/>
  <c r="Q68" i="100" s="1"/>
  <c r="S68" i="100" s="1"/>
  <c r="U68" i="100" s="1"/>
  <c r="W68" i="100" s="1"/>
  <c r="K95" i="100"/>
  <c r="M95" i="100" s="1"/>
  <c r="Q95" i="100" s="1"/>
  <c r="S95" i="100" s="1"/>
  <c r="U95" i="100" s="1"/>
  <c r="K54" i="100"/>
  <c r="M54" i="100" s="1"/>
  <c r="Q54" i="100" s="1"/>
  <c r="S54" i="100" s="1"/>
  <c r="U54" i="100" s="1"/>
  <c r="W54" i="100" s="1"/>
  <c r="Y54" i="100" s="1"/>
  <c r="AA54" i="100" s="1"/>
  <c r="K39" i="100"/>
  <c r="M39" i="100" s="1"/>
  <c r="Q39" i="100" s="1"/>
  <c r="K43" i="100"/>
  <c r="M43" i="100" s="1"/>
  <c r="Q43" i="100" s="1"/>
  <c r="S43" i="100" s="1"/>
  <c r="U43" i="100" s="1"/>
  <c r="W43" i="100" s="1"/>
  <c r="Y43" i="100" s="1"/>
  <c r="AA43" i="100" s="1"/>
  <c r="K65" i="100"/>
  <c r="M65" i="100" s="1"/>
  <c r="Q65" i="100" s="1"/>
  <c r="K84" i="100"/>
  <c r="M84" i="100" s="1"/>
  <c r="Q84" i="100" s="1"/>
  <c r="S84" i="100" s="1"/>
  <c r="U84" i="100" s="1"/>
  <c r="K80" i="100"/>
  <c r="M80" i="100" s="1"/>
  <c r="Q80" i="100" s="1"/>
  <c r="S80" i="100" s="1"/>
  <c r="U80" i="100" s="1"/>
  <c r="W80" i="100" s="1"/>
  <c r="Y80" i="100" s="1"/>
  <c r="AA80" i="100" s="1"/>
  <c r="K52" i="100"/>
  <c r="M52" i="100" s="1"/>
  <c r="Q52" i="100" s="1"/>
  <c r="K81" i="100"/>
  <c r="M81" i="100" s="1"/>
  <c r="Q81" i="100" s="1"/>
  <c r="S81" i="100" s="1"/>
  <c r="U81" i="100" s="1"/>
  <c r="W81" i="100" s="1"/>
  <c r="Y81" i="100" s="1"/>
  <c r="AA81" i="100" s="1"/>
  <c r="K91" i="100"/>
  <c r="M91" i="100" s="1"/>
  <c r="Q91" i="100" s="1"/>
  <c r="K45" i="100"/>
  <c r="M45" i="100" s="1"/>
  <c r="Q45" i="100" s="1"/>
  <c r="S45" i="100" s="1"/>
  <c r="U45" i="100" s="1"/>
  <c r="K56" i="100"/>
  <c r="M56" i="100" s="1"/>
  <c r="Q56" i="100" s="1"/>
  <c r="S56" i="100" s="1"/>
  <c r="U56" i="100" s="1"/>
  <c r="W56" i="100" s="1"/>
  <c r="Y56" i="100" s="1"/>
  <c r="AA56" i="100" s="1"/>
  <c r="K44" i="100"/>
  <c r="M44" i="100" s="1"/>
  <c r="Q44" i="100" s="1"/>
  <c r="S44" i="100" s="1"/>
  <c r="U44" i="100" s="1"/>
  <c r="K42" i="100"/>
  <c r="M42" i="100" s="1"/>
  <c r="Q42" i="100" s="1"/>
  <c r="S42" i="100" s="1"/>
  <c r="U42" i="100" s="1"/>
  <c r="W42" i="100" s="1"/>
  <c r="Y42" i="100" s="1"/>
  <c r="AA42" i="100" s="1"/>
  <c r="K96" i="100"/>
  <c r="M96" i="100" s="1"/>
  <c r="Q96" i="100" s="1"/>
  <c r="S96" i="100" s="1"/>
  <c r="U96" i="100" s="1"/>
  <c r="K55" i="100"/>
  <c r="M55" i="100" s="1"/>
  <c r="Q55" i="100" s="1"/>
  <c r="S55" i="100" s="1"/>
  <c r="U55" i="100" s="1"/>
  <c r="W55" i="100" s="1"/>
  <c r="Y55" i="100" s="1"/>
  <c r="AA55" i="100" s="1"/>
  <c r="K67" i="100"/>
  <c r="M67" i="100" s="1"/>
  <c r="Q67" i="100" s="1"/>
  <c r="S67" i="100" s="1"/>
  <c r="U67" i="100" s="1"/>
  <c r="W67" i="100" s="1"/>
  <c r="K93" i="100"/>
  <c r="M93" i="100" s="1"/>
  <c r="Q93" i="100" s="1"/>
  <c r="S93" i="100" s="1"/>
  <c r="U93" i="100" s="1"/>
  <c r="W93" i="100" s="1"/>
  <c r="Y93" i="100" s="1"/>
  <c r="AA93" i="100" s="1"/>
  <c r="K82" i="100"/>
  <c r="M82" i="100" s="1"/>
  <c r="Q82" i="100" s="1"/>
  <c r="S82" i="100" s="1"/>
  <c r="U82" i="100" s="1"/>
  <c r="W82" i="100" s="1"/>
  <c r="Y82" i="100" s="1"/>
  <c r="AA82" i="100" s="1"/>
  <c r="K71" i="100"/>
  <c r="M71" i="100" s="1"/>
  <c r="Q71" i="100" s="1"/>
  <c r="S71" i="100" s="1"/>
  <c r="U71" i="100" s="1"/>
  <c r="K69" i="100"/>
  <c r="M69" i="100" s="1"/>
  <c r="Q69" i="100" s="1"/>
  <c r="S69" i="100" s="1"/>
  <c r="U69" i="100" s="1"/>
  <c r="W69" i="100" s="1"/>
  <c r="K58" i="100"/>
  <c r="M58" i="100" s="1"/>
  <c r="Q58" i="100" s="1"/>
  <c r="S58" i="100" s="1"/>
  <c r="U58" i="100" s="1"/>
  <c r="K70" i="100"/>
  <c r="M70" i="100" s="1"/>
  <c r="Q70" i="100" s="1"/>
  <c r="S70" i="100" s="1"/>
  <c r="U70" i="100" s="1"/>
  <c r="K83" i="100"/>
  <c r="M83" i="100" s="1"/>
  <c r="Q83" i="100" s="1"/>
  <c r="S83" i="100" s="1"/>
  <c r="U83" i="100" s="1"/>
  <c r="K78" i="100"/>
  <c r="M78" i="100" s="1"/>
  <c r="Q78" i="100" s="1"/>
  <c r="J39" i="100"/>
  <c r="L39" i="100" s="1"/>
  <c r="J56" i="100"/>
  <c r="L56" i="100" s="1"/>
  <c r="J70" i="100"/>
  <c r="L70" i="100" s="1"/>
  <c r="J94" i="100"/>
  <c r="L94" i="100" s="1"/>
  <c r="J55" i="100"/>
  <c r="L55" i="100" s="1"/>
  <c r="J52" i="100"/>
  <c r="L52" i="100" s="1"/>
  <c r="J82" i="100"/>
  <c r="L82" i="100" s="1"/>
  <c r="J93" i="100"/>
  <c r="L93" i="100" s="1"/>
  <c r="J43" i="100"/>
  <c r="L43" i="100" s="1"/>
  <c r="J80" i="100"/>
  <c r="L80" i="100" s="1"/>
  <c r="J81" i="100"/>
  <c r="L81" i="100" s="1"/>
  <c r="J69" i="100"/>
  <c r="L69" i="100" s="1"/>
  <c r="J71" i="100"/>
  <c r="L71" i="100" s="1"/>
  <c r="J41" i="100"/>
  <c r="L41" i="100" s="1"/>
  <c r="J96" i="100"/>
  <c r="L96" i="100" s="1"/>
  <c r="J54" i="100"/>
  <c r="L54" i="100" s="1"/>
  <c r="J91" i="100"/>
  <c r="L91" i="100" s="1"/>
  <c r="J57" i="100"/>
  <c r="L57" i="100" s="1"/>
  <c r="J58" i="100"/>
  <c r="L58" i="100" s="1"/>
  <c r="J42" i="100"/>
  <c r="L42" i="100" s="1"/>
  <c r="J45" i="100"/>
  <c r="L45" i="100" s="1"/>
  <c r="J78" i="100"/>
  <c r="L78" i="100" s="1"/>
  <c r="J84" i="100"/>
  <c r="L84" i="100" s="1"/>
  <c r="J65" i="100"/>
  <c r="L65" i="100" s="1"/>
  <c r="J95" i="100"/>
  <c r="L95" i="100" s="1"/>
  <c r="J83" i="100"/>
  <c r="L83" i="100" s="1"/>
  <c r="J68" i="100"/>
  <c r="L68" i="100" s="1"/>
  <c r="J67" i="100"/>
  <c r="L67" i="100" s="1"/>
  <c r="J44" i="100"/>
  <c r="L44" i="100" s="1"/>
  <c r="J65" i="99"/>
  <c r="L65" i="99" s="1"/>
  <c r="J42" i="99"/>
  <c r="L42" i="99" s="1"/>
  <c r="J83" i="99"/>
  <c r="L83" i="99" s="1"/>
  <c r="J58" i="99"/>
  <c r="L58" i="99" s="1"/>
  <c r="J82" i="99"/>
  <c r="L82" i="99" s="1"/>
  <c r="J45" i="99"/>
  <c r="L45" i="99" s="1"/>
  <c r="J44" i="99"/>
  <c r="L44" i="99" s="1"/>
  <c r="J80" i="99"/>
  <c r="L80" i="99" s="1"/>
  <c r="J84" i="99"/>
  <c r="L84" i="99" s="1"/>
  <c r="J54" i="99"/>
  <c r="L54" i="99" s="1"/>
  <c r="J95" i="99"/>
  <c r="L95" i="99" s="1"/>
  <c r="J96" i="99"/>
  <c r="L96" i="99" s="1"/>
  <c r="J68" i="99"/>
  <c r="L68" i="99" s="1"/>
  <c r="J91" i="99"/>
  <c r="L91" i="99" s="1"/>
  <c r="J57" i="99"/>
  <c r="L57" i="99" s="1"/>
  <c r="J71" i="99"/>
  <c r="L71" i="99" s="1"/>
  <c r="J93" i="99"/>
  <c r="L93" i="99" s="1"/>
  <c r="J69" i="99"/>
  <c r="L69" i="99" s="1"/>
  <c r="J78" i="99"/>
  <c r="L78" i="99" s="1"/>
  <c r="J56" i="99"/>
  <c r="L56" i="99" s="1"/>
  <c r="J55" i="99"/>
  <c r="L55" i="99" s="1"/>
  <c r="J52" i="99"/>
  <c r="L52" i="99" s="1"/>
  <c r="J41" i="99"/>
  <c r="L41" i="99" s="1"/>
  <c r="J94" i="99"/>
  <c r="L94" i="99" s="1"/>
  <c r="J70" i="99"/>
  <c r="L70" i="99" s="1"/>
  <c r="J67" i="99"/>
  <c r="L67" i="99" s="1"/>
  <c r="J81" i="99"/>
  <c r="L81" i="99" s="1"/>
  <c r="J43" i="99"/>
  <c r="L43" i="99" s="1"/>
  <c r="J39" i="99"/>
  <c r="L39" i="99" s="1"/>
  <c r="J95" i="67"/>
  <c r="J80" i="67"/>
  <c r="J45" i="67"/>
  <c r="L45" i="67" s="1"/>
  <c r="J94" i="67"/>
  <c r="L94" i="67" s="1"/>
  <c r="J78" i="67"/>
  <c r="J44" i="67"/>
  <c r="L44" i="67" s="1"/>
  <c r="J93" i="67"/>
  <c r="L93" i="67" s="1"/>
  <c r="J58" i="67"/>
  <c r="L58" i="67" s="1"/>
  <c r="J43" i="67"/>
  <c r="J91" i="67"/>
  <c r="J57" i="67"/>
  <c r="L57" i="67" s="1"/>
  <c r="J42" i="67"/>
  <c r="L42" i="67" s="1"/>
  <c r="J52" i="67"/>
  <c r="J84" i="67"/>
  <c r="L84" i="67" s="1"/>
  <c r="J56" i="67"/>
  <c r="L56" i="67" s="1"/>
  <c r="J41" i="67"/>
  <c r="L41" i="67" s="1"/>
  <c r="J96" i="67"/>
  <c r="J83" i="67"/>
  <c r="J55" i="67"/>
  <c r="J39" i="67"/>
  <c r="L39" i="67" s="1"/>
  <c r="J81" i="67"/>
  <c r="J82" i="67"/>
  <c r="L82" i="67" s="1"/>
  <c r="J54" i="67"/>
  <c r="L54" i="67" s="1"/>
  <c r="J83" i="85"/>
  <c r="L83" i="85" s="1"/>
  <c r="J55" i="85"/>
  <c r="J39" i="85"/>
  <c r="J84" i="85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L41" i="85" s="1"/>
  <c r="J95" i="85"/>
  <c r="J80" i="85"/>
  <c r="L80" i="85" s="1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J43" i="85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39" i="85"/>
  <c r="L43" i="85"/>
  <c r="L95" i="85"/>
  <c r="J69" i="85"/>
  <c r="L69" i="85" s="1"/>
  <c r="J71" i="85"/>
  <c r="L71" i="85" s="1"/>
  <c r="J68" i="85"/>
  <c r="L68" i="85" s="1"/>
  <c r="J70" i="85"/>
  <c r="L70" i="85" s="1"/>
  <c r="J67" i="85"/>
  <c r="L67" i="85" s="1"/>
  <c r="L84" i="85"/>
  <c r="L55" i="85"/>
  <c r="L58" i="85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L96" i="67"/>
  <c r="J69" i="67"/>
  <c r="L69" i="67" s="1"/>
  <c r="L81" i="67"/>
  <c r="L91" i="67"/>
  <c r="L83" i="67"/>
  <c r="J70" i="67"/>
  <c r="L70" i="67" s="1"/>
  <c r="L78" i="67"/>
  <c r="J65" i="67"/>
  <c r="L65" i="67" s="1"/>
  <c r="J71" i="67"/>
  <c r="L71" i="67" s="1"/>
  <c r="L95" i="67"/>
  <c r="L43" i="67"/>
  <c r="J68" i="67"/>
  <c r="L68" i="67" s="1"/>
  <c r="L55" i="67"/>
  <c r="J67" i="67"/>
  <c r="L67" i="67" s="1"/>
  <c r="L80" i="67"/>
  <c r="L52" i="67"/>
  <c r="L32" i="64"/>
  <c r="H25" i="64"/>
  <c r="M32" i="64" s="1"/>
  <c r="S39" i="100" l="1"/>
  <c r="U39" i="100" s="1"/>
  <c r="Q36" i="100"/>
  <c r="S65" i="99"/>
  <c r="U65" i="99" s="1"/>
  <c r="Q62" i="99"/>
  <c r="Y67" i="99"/>
  <c r="AA67" i="99" s="1"/>
  <c r="Z67" i="99"/>
  <c r="Q88" i="100"/>
  <c r="S91" i="100"/>
  <c r="U91" i="100" s="1"/>
  <c r="Q75" i="99"/>
  <c r="S78" i="99"/>
  <c r="U78" i="99" s="1"/>
  <c r="S78" i="100"/>
  <c r="U78" i="100" s="1"/>
  <c r="Q75" i="100"/>
  <c r="Y69" i="100"/>
  <c r="AA69" i="100" s="1"/>
  <c r="Z69" i="100"/>
  <c r="Z67" i="100"/>
  <c r="Y67" i="100"/>
  <c r="AA67" i="100" s="1"/>
  <c r="S65" i="100"/>
  <c r="U65" i="100" s="1"/>
  <c r="Q62" i="100"/>
  <c r="Y69" i="99"/>
  <c r="AA69" i="99" s="1"/>
  <c r="Z69" i="99"/>
  <c r="S91" i="99"/>
  <c r="U91" i="99" s="1"/>
  <c r="Q88" i="99"/>
  <c r="S52" i="100"/>
  <c r="U52" i="100" s="1"/>
  <c r="Q49" i="100"/>
  <c r="Z68" i="100"/>
  <c r="Y68" i="100"/>
  <c r="AA68" i="100" s="1"/>
  <c r="Q49" i="99"/>
  <c r="S52" i="99"/>
  <c r="U52" i="99" s="1"/>
  <c r="Y68" i="99"/>
  <c r="AA68" i="99" s="1"/>
  <c r="Z68" i="99"/>
  <c r="S39" i="99"/>
  <c r="U39" i="99" s="1"/>
  <c r="Q36" i="99"/>
  <c r="J93" i="88"/>
  <c r="J58" i="88"/>
  <c r="J43" i="88"/>
  <c r="J91" i="88"/>
  <c r="L91" i="88" s="1"/>
  <c r="J57" i="88"/>
  <c r="J42" i="88"/>
  <c r="L42" i="88" s="1"/>
  <c r="J84" i="88"/>
  <c r="L84" i="88" s="1"/>
  <c r="J56" i="88"/>
  <c r="L56" i="88" s="1"/>
  <c r="J41" i="88"/>
  <c r="J83" i="88"/>
  <c r="J55" i="88"/>
  <c r="J82" i="88"/>
  <c r="J54" i="88"/>
  <c r="J96" i="88"/>
  <c r="L96" i="88" s="1"/>
  <c r="J81" i="88"/>
  <c r="L81" i="88" s="1"/>
  <c r="J52" i="88"/>
  <c r="L52" i="88" s="1"/>
  <c r="J95" i="88"/>
  <c r="J80" i="88"/>
  <c r="J45" i="88"/>
  <c r="J94" i="88"/>
  <c r="L94" i="88" s="1"/>
  <c r="J78" i="88"/>
  <c r="J44" i="88"/>
  <c r="L44" i="88" s="1"/>
  <c r="J39" i="88"/>
  <c r="J96" i="64"/>
  <c r="L96" i="64" s="1"/>
  <c r="J81" i="64"/>
  <c r="J52" i="64"/>
  <c r="J95" i="64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J57" i="64"/>
  <c r="L57" i="64" s="1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L83" i="88"/>
  <c r="J65" i="88"/>
  <c r="L65" i="88" s="1"/>
  <c r="L93" i="88"/>
  <c r="L95" i="88"/>
  <c r="L82" i="88"/>
  <c r="J67" i="88"/>
  <c r="L67" i="88" s="1"/>
  <c r="L41" i="88"/>
  <c r="L55" i="88"/>
  <c r="J71" i="88"/>
  <c r="L71" i="88" s="1"/>
  <c r="L80" i="88"/>
  <c r="J69" i="88"/>
  <c r="L69" i="88" s="1"/>
  <c r="L43" i="88"/>
  <c r="J68" i="88"/>
  <c r="L68" i="88" s="1"/>
  <c r="L57" i="88"/>
  <c r="L54" i="88"/>
  <c r="L45" i="88"/>
  <c r="L78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81" i="64"/>
  <c r="L91" i="64"/>
  <c r="L42" i="64"/>
  <c r="L83" i="64"/>
  <c r="L52" i="64"/>
  <c r="L95" i="64"/>
  <c r="L45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Q33" i="99" l="1"/>
  <c r="Q12" i="99" s="1"/>
  <c r="Q8" i="99" s="1"/>
  <c r="Q35" i="99"/>
  <c r="S36" i="99"/>
  <c r="Q48" i="100"/>
  <c r="S49" i="100"/>
  <c r="Q74" i="100"/>
  <c r="S75" i="100"/>
  <c r="U36" i="99"/>
  <c r="W39" i="99"/>
  <c r="S49" i="99"/>
  <c r="Q48" i="99"/>
  <c r="U49" i="100"/>
  <c r="W52" i="100"/>
  <c r="W78" i="100"/>
  <c r="U75" i="100"/>
  <c r="S88" i="100"/>
  <c r="Q87" i="100"/>
  <c r="U62" i="99"/>
  <c r="W65" i="99"/>
  <c r="U49" i="99"/>
  <c r="W52" i="99"/>
  <c r="W91" i="100"/>
  <c r="U88" i="100"/>
  <c r="Q87" i="99"/>
  <c r="S88" i="99"/>
  <c r="Q61" i="100"/>
  <c r="S62" i="100"/>
  <c r="U75" i="99"/>
  <c r="W78" i="99"/>
  <c r="S36" i="100"/>
  <c r="Q33" i="100"/>
  <c r="Q12" i="100" s="1"/>
  <c r="Q8" i="100" s="1"/>
  <c r="Q35" i="100"/>
  <c r="Q61" i="99"/>
  <c r="S62" i="99"/>
  <c r="W91" i="99"/>
  <c r="U88" i="99"/>
  <c r="U62" i="100"/>
  <c r="W65" i="100"/>
  <c r="Q74" i="99"/>
  <c r="S75" i="99"/>
  <c r="W39" i="100"/>
  <c r="U36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S88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W88" i="99" l="1"/>
  <c r="Y91" i="99"/>
  <c r="AA91" i="99" s="1"/>
  <c r="W62" i="99"/>
  <c r="Z65" i="99"/>
  <c r="Y65" i="99"/>
  <c r="AA65" i="99" s="1"/>
  <c r="S34" i="99"/>
  <c r="S33" i="99" s="1"/>
  <c r="S12" i="99" s="1"/>
  <c r="S8" i="99" s="1"/>
  <c r="Q35" i="67"/>
  <c r="U34" i="100"/>
  <c r="U33" i="100" s="1"/>
  <c r="U12" i="100" s="1"/>
  <c r="U8" i="100" s="1"/>
  <c r="Y65" i="100"/>
  <c r="AA65" i="100" s="1"/>
  <c r="Z65" i="100"/>
  <c r="W62" i="100"/>
  <c r="S34" i="100"/>
  <c r="S33" i="100" s="1"/>
  <c r="S12" i="100" s="1"/>
  <c r="S8" i="100" s="1"/>
  <c r="W88" i="100"/>
  <c r="Y91" i="100"/>
  <c r="AA91" i="100" s="1"/>
  <c r="W75" i="100"/>
  <c r="Y78" i="100"/>
  <c r="AA78" i="100" s="1"/>
  <c r="U34" i="99"/>
  <c r="U33" i="99" s="1"/>
  <c r="U12" i="99" s="1"/>
  <c r="U8" i="99" s="1"/>
  <c r="S36" i="67"/>
  <c r="Y39" i="100"/>
  <c r="AA39" i="100" s="1"/>
  <c r="W36" i="100"/>
  <c r="W34" i="100" s="1"/>
  <c r="W33" i="100" s="1"/>
  <c r="W12" i="100" s="1"/>
  <c r="W8" i="100" s="1"/>
  <c r="W75" i="99"/>
  <c r="Y78" i="99"/>
  <c r="AA78" i="99" s="1"/>
  <c r="W49" i="99"/>
  <c r="Y52" i="99"/>
  <c r="AA52" i="99" s="1"/>
  <c r="Y52" i="100"/>
  <c r="AA52" i="100" s="1"/>
  <c r="W49" i="100"/>
  <c r="Y39" i="99"/>
  <c r="AA39" i="99" s="1"/>
  <c r="W36" i="99"/>
  <c r="W34" i="99" s="1"/>
  <c r="W33" i="99" s="1"/>
  <c r="W12" i="99" s="1"/>
  <c r="W8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99" l="1"/>
  <c r="Y12" i="100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1" i="43"/>
  <c r="G9" i="43" s="1"/>
  <c r="U22" i="39"/>
  <c r="O22" i="39"/>
  <c r="D12" i="68" l="1"/>
  <c r="D16" i="68" s="1"/>
  <c r="D6" i="89"/>
  <c r="D12" i="89"/>
  <c r="S19" i="39"/>
  <c r="S20" i="39" s="1"/>
  <c r="D20" i="68"/>
  <c r="V18" i="39"/>
  <c r="G30" i="43"/>
  <c r="G40" i="43" s="1"/>
  <c r="G8" i="60"/>
  <c r="G67" i="60" s="1"/>
  <c r="G73" i="60" s="1"/>
  <c r="Q22" i="39"/>
  <c r="V22" i="39" s="1"/>
  <c r="G7" i="60" l="1"/>
  <c r="G13" i="60"/>
  <c r="G68" i="60" s="1"/>
  <c r="G74" i="60" s="1"/>
  <c r="D20" i="89"/>
  <c r="D16" i="89"/>
  <c r="D21" i="68"/>
  <c r="D25" i="68"/>
  <c r="G6" i="60"/>
  <c r="O4" i="60"/>
  <c r="G57" i="43"/>
  <c r="D25" i="89" l="1"/>
  <c r="D21" i="89"/>
  <c r="D26" i="68"/>
  <c r="H24" i="68" s="1"/>
  <c r="Q10" i="68"/>
  <c r="G47" i="43"/>
  <c r="G62" i="43" s="1"/>
  <c r="O9" i="60"/>
  <c r="Q10" i="89" l="1"/>
  <c r="D26" i="89"/>
  <c r="H24" i="89" s="1"/>
  <c r="L32" i="68"/>
  <c r="H25" i="68"/>
  <c r="M32" i="68" s="1"/>
  <c r="G9" i="60"/>
  <c r="G63" i="43"/>
  <c r="C104" i="50"/>
  <c r="C105" i="50"/>
  <c r="C19" i="63" s="1"/>
  <c r="F16" i="51"/>
  <c r="F40" i="51" s="1"/>
  <c r="G64" i="43" l="1"/>
  <c r="O11" i="60" s="1"/>
  <c r="G65" i="43"/>
  <c r="G10" i="43" s="1"/>
  <c r="J83" i="68"/>
  <c r="L83" i="68" s="1"/>
  <c r="J55" i="68"/>
  <c r="L55" i="68" s="1"/>
  <c r="J39" i="68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J80" i="68"/>
  <c r="J45" i="68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J91" i="68"/>
  <c r="L91" i="68" s="1"/>
  <c r="J57" i="68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L43" i="68"/>
  <c r="L57" i="68"/>
  <c r="J70" i="68"/>
  <c r="L70" i="68" s="1"/>
  <c r="L42" i="68"/>
  <c r="J69" i="68"/>
  <c r="L69" i="68" s="1"/>
  <c r="L45" i="68"/>
  <c r="L39" i="68"/>
  <c r="L95" i="68"/>
  <c r="C25" i="63"/>
  <c r="C24" i="63" s="1"/>
  <c r="C23" i="63"/>
  <c r="M18" i="51"/>
  <c r="J49" i="51"/>
  <c r="J55" i="51" s="1"/>
  <c r="F40" i="53"/>
  <c r="E105" i="50"/>
  <c r="G11" i="60" l="1"/>
  <c r="G70" i="60" s="1"/>
  <c r="G76" i="60" s="1"/>
  <c r="J84" i="89"/>
  <c r="J56" i="89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J81" i="89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C26" i="63"/>
  <c r="J40" i="53" s="1"/>
  <c r="J49" i="53" s="1"/>
  <c r="J55" i="53" s="1"/>
  <c r="D18" i="60"/>
  <c r="D19" i="60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44" i="89"/>
  <c r="L96" i="89"/>
  <c r="L54" i="89"/>
  <c r="L78" i="89"/>
  <c r="L81" i="89"/>
  <c r="L56" i="89"/>
  <c r="J70" i="89"/>
  <c r="L70" i="89" s="1"/>
  <c r="L84" i="89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Q18" i="51"/>
  <c r="Q19" i="51" s="1"/>
  <c r="E37" i="43"/>
  <c r="M22" i="51"/>
  <c r="T18" i="51"/>
  <c r="U18" i="51"/>
  <c r="R19" i="51"/>
  <c r="M18" i="53" l="1"/>
  <c r="U18" i="53" s="1"/>
  <c r="M52" i="89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D7" i="66"/>
  <c r="D12" i="66" s="1"/>
  <c r="D7" i="87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D6" i="66"/>
  <c r="W91" i="68"/>
  <c r="U88" i="68"/>
  <c r="E58" i="43"/>
  <c r="E60" i="43"/>
  <c r="S18" i="51"/>
  <c r="S19" i="51" s="1"/>
  <c r="S20" i="51" s="1"/>
  <c r="V18" i="51"/>
  <c r="U22" i="51"/>
  <c r="E41" i="43"/>
  <c r="O22" i="51"/>
  <c r="Q20" i="51"/>
  <c r="Q21" i="51" s="1"/>
  <c r="M22" i="53" l="1"/>
  <c r="D7" i="65" s="1"/>
  <c r="D6" i="65" s="1"/>
  <c r="E8" i="60"/>
  <c r="E67" i="60" s="1"/>
  <c r="E73" i="60" s="1"/>
  <c r="E9" i="43"/>
  <c r="D37" i="43"/>
  <c r="D60" i="43" s="1"/>
  <c r="T18" i="53"/>
  <c r="V18" i="53" s="1"/>
  <c r="Q18" i="53"/>
  <c r="Q19" i="53" s="1"/>
  <c r="Q20" i="53" s="1"/>
  <c r="Q21" i="53" s="1"/>
  <c r="S21" i="53" s="1"/>
  <c r="R19" i="53"/>
  <c r="E7" i="60"/>
  <c r="Q35" i="68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D7" i="86"/>
  <c r="Q87" i="68"/>
  <c r="S36" i="68"/>
  <c r="S75" i="68"/>
  <c r="D6" i="87"/>
  <c r="D12" i="87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D20" i="66"/>
  <c r="D16" i="66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E30" i="43"/>
  <c r="U22" i="53"/>
  <c r="E57" i="43"/>
  <c r="D41" i="43"/>
  <c r="D9" i="43" s="1"/>
  <c r="O22" i="53"/>
  <c r="S18" i="53"/>
  <c r="S19" i="53" s="1"/>
  <c r="S20" i="53" s="1"/>
  <c r="S21" i="51"/>
  <c r="Q22" i="51"/>
  <c r="V22" i="51" s="1"/>
  <c r="E13" i="60" l="1"/>
  <c r="E68" i="60" s="1"/>
  <c r="E74" i="60" s="1"/>
  <c r="Q22" i="53"/>
  <c r="V22" i="53" s="1"/>
  <c r="D58" i="43"/>
  <c r="D12" i="65"/>
  <c r="D20" i="65" s="1"/>
  <c r="S34" i="68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D6" i="86"/>
  <c r="D12" i="86"/>
  <c r="M56" i="60"/>
  <c r="S75" i="89"/>
  <c r="Q74" i="89"/>
  <c r="W78" i="89"/>
  <c r="U75" i="89"/>
  <c r="M53" i="60"/>
  <c r="Q35" i="89"/>
  <c r="Q33" i="89"/>
  <c r="Q12" i="89" s="1"/>
  <c r="Q8" i="89" s="1"/>
  <c r="S36" i="89"/>
  <c r="D20" i="87"/>
  <c r="D16" i="87"/>
  <c r="W39" i="89"/>
  <c r="U36" i="89"/>
  <c r="Y12" i="68"/>
  <c r="W34" i="68"/>
  <c r="W33" i="68" s="1"/>
  <c r="W12" i="68" s="1"/>
  <c r="W8" i="68" s="1"/>
  <c r="D25" i="66"/>
  <c r="D21" i="66"/>
  <c r="E6" i="60"/>
  <c r="M4" i="60"/>
  <c r="E47" i="43"/>
  <c r="E62" i="43" s="1"/>
  <c r="M9" i="60"/>
  <c r="D30" i="43"/>
  <c r="D8" i="60"/>
  <c r="D67" i="60" s="1"/>
  <c r="D73" i="60" s="1"/>
  <c r="D57" i="43"/>
  <c r="E40" i="43"/>
  <c r="D16" i="65" l="1"/>
  <c r="D7" i="60"/>
  <c r="D13" i="60"/>
  <c r="D68" i="60" s="1"/>
  <c r="D74" i="60" s="1"/>
  <c r="E63" i="43"/>
  <c r="U34" i="89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D25" i="87"/>
  <c r="D21" i="87"/>
  <c r="S34" i="89"/>
  <c r="S33" i="89" s="1"/>
  <c r="S12" i="89" s="1"/>
  <c r="S8" i="89" s="1"/>
  <c r="D20" i="86"/>
  <c r="D16" i="86"/>
  <c r="D25" i="65"/>
  <c r="D21" i="65"/>
  <c r="Q10" i="66"/>
  <c r="D26" i="66"/>
  <c r="H24" i="66" s="1"/>
  <c r="D6" i="60"/>
  <c r="L4" i="60"/>
  <c r="D47" i="43"/>
  <c r="D62" i="43" s="1"/>
  <c r="L9" i="60"/>
  <c r="E9" i="60"/>
  <c r="D40" i="43"/>
  <c r="E64" i="43" l="1"/>
  <c r="M11" i="60" s="1"/>
  <c r="E65" i="43"/>
  <c r="E10" i="43" s="1"/>
  <c r="D63" i="43"/>
  <c r="D21" i="86"/>
  <c r="D25" i="86"/>
  <c r="W34" i="89"/>
  <c r="W33" i="89" s="1"/>
  <c r="W12" i="89" s="1"/>
  <c r="W8" i="89" s="1"/>
  <c r="Y12" i="89"/>
  <c r="D26" i="87"/>
  <c r="H24" i="87" s="1"/>
  <c r="Q10" i="87"/>
  <c r="H25" i="66"/>
  <c r="M32" i="66" s="1"/>
  <c r="L32" i="66"/>
  <c r="Q10" i="65"/>
  <c r="D26" i="65"/>
  <c r="H24" i="65" s="1"/>
  <c r="D9" i="60"/>
  <c r="E11" i="60" l="1"/>
  <c r="E70" i="60" s="1"/>
  <c r="E76" i="60" s="1"/>
  <c r="D64" i="43"/>
  <c r="L11" i="60" s="1"/>
  <c r="D65" i="43"/>
  <c r="D10" i="43" s="1"/>
  <c r="J93" i="66"/>
  <c r="L93" i="66" s="1"/>
  <c r="J58" i="66"/>
  <c r="L58" i="66" s="1"/>
  <c r="J43" i="66"/>
  <c r="J78" i="66"/>
  <c r="L78" i="66" s="1"/>
  <c r="J91" i="66"/>
  <c r="L91" i="66" s="1"/>
  <c r="J57" i="66"/>
  <c r="L57" i="66" s="1"/>
  <c r="J42" i="66"/>
  <c r="L42" i="66" s="1"/>
  <c r="J44" i="66"/>
  <c r="L44" i="66" s="1"/>
  <c r="J84" i="66"/>
  <c r="L84" i="66" s="1"/>
  <c r="J56" i="66"/>
  <c r="L56" i="66" s="1"/>
  <c r="J41" i="66"/>
  <c r="J83" i="66"/>
  <c r="L83" i="66" s="1"/>
  <c r="J55" i="66"/>
  <c r="L55" i="66" s="1"/>
  <c r="J39" i="66"/>
  <c r="L39" i="66" s="1"/>
  <c r="J82" i="66"/>
  <c r="L82" i="66" s="1"/>
  <c r="J54" i="66"/>
  <c r="L54" i="66" s="1"/>
  <c r="J96" i="66"/>
  <c r="L96" i="66" s="1"/>
  <c r="J81" i="66"/>
  <c r="L81" i="66" s="1"/>
  <c r="J52" i="66"/>
  <c r="L52" i="66" s="1"/>
  <c r="J95" i="66"/>
  <c r="L95" i="66" s="1"/>
  <c r="J80" i="66"/>
  <c r="L80" i="66" s="1"/>
  <c r="J45" i="66"/>
  <c r="L45" i="66" s="1"/>
  <c r="J94" i="66"/>
  <c r="L94" i="66" s="1"/>
  <c r="L32" i="87"/>
  <c r="H25" i="87"/>
  <c r="M32" i="87" s="1"/>
  <c r="D26" i="86"/>
  <c r="H24" i="86" s="1"/>
  <c r="Q10" i="86"/>
  <c r="J65" i="66"/>
  <c r="L65" i="66" s="1"/>
  <c r="J69" i="66"/>
  <c r="L69" i="66" s="1"/>
  <c r="L43" i="66"/>
  <c r="J71" i="66"/>
  <c r="L71" i="66" s="1"/>
  <c r="J70" i="66"/>
  <c r="L70" i="66" s="1"/>
  <c r="J67" i="66"/>
  <c r="L67" i="66" s="1"/>
  <c r="J68" i="66"/>
  <c r="L68" i="66" s="1"/>
  <c r="L41" i="66"/>
  <c r="L32" i="65"/>
  <c r="H25" i="65"/>
  <c r="M32" i="65" s="1"/>
  <c r="K43" i="66"/>
  <c r="M43" i="66" s="1"/>
  <c r="Q43" i="66" s="1"/>
  <c r="S43" i="66" s="1"/>
  <c r="U43" i="66" s="1"/>
  <c r="W43" i="66" s="1"/>
  <c r="Y43" i="66" s="1"/>
  <c r="AA43" i="66" s="1"/>
  <c r="K94" i="66"/>
  <c r="M94" i="66" s="1"/>
  <c r="K52" i="66"/>
  <c r="K93" i="66"/>
  <c r="M93" i="66" s="1"/>
  <c r="Q93" i="66" s="1"/>
  <c r="S93" i="66" s="1"/>
  <c r="U93" i="66" s="1"/>
  <c r="W93" i="66" s="1"/>
  <c r="Y93" i="66" s="1"/>
  <c r="AA93" i="66" s="1"/>
  <c r="K70" i="66"/>
  <c r="M70" i="66" s="1"/>
  <c r="Q70" i="66" s="1"/>
  <c r="S70" i="66" s="1"/>
  <c r="U70" i="66" s="1"/>
  <c r="W70" i="66" s="1"/>
  <c r="K91" i="66"/>
  <c r="K96" i="66"/>
  <c r="M96" i="66" s="1"/>
  <c r="Q96" i="66" s="1"/>
  <c r="S96" i="66" s="1"/>
  <c r="U96" i="66" s="1"/>
  <c r="W96" i="66" s="1"/>
  <c r="Y96" i="66" s="1"/>
  <c r="AA96" i="66" s="1"/>
  <c r="K71" i="66"/>
  <c r="M71" i="66" s="1"/>
  <c r="Q71" i="66" s="1"/>
  <c r="S71" i="66" s="1"/>
  <c r="U71" i="66" s="1"/>
  <c r="W71" i="66" s="1"/>
  <c r="K95" i="66"/>
  <c r="M95" i="66" s="1"/>
  <c r="Q95" i="66" s="1"/>
  <c r="S95" i="66" s="1"/>
  <c r="U95" i="66" s="1"/>
  <c r="W95" i="66" s="1"/>
  <c r="Y95" i="66" s="1"/>
  <c r="AA95" i="66" s="1"/>
  <c r="K56" i="66"/>
  <c r="M56" i="66" s="1"/>
  <c r="K81" i="66"/>
  <c r="M81" i="66" s="1"/>
  <c r="Q81" i="66" s="1"/>
  <c r="S81" i="66" s="1"/>
  <c r="U81" i="66" s="1"/>
  <c r="W81" i="66" s="1"/>
  <c r="Y81" i="66" s="1"/>
  <c r="AA81" i="66" s="1"/>
  <c r="K67" i="66"/>
  <c r="M67" i="66" s="1"/>
  <c r="Q67" i="66" s="1"/>
  <c r="S67" i="66" s="1"/>
  <c r="U67" i="66" s="1"/>
  <c r="W67" i="66" s="1"/>
  <c r="K80" i="66"/>
  <c r="M80" i="66" s="1"/>
  <c r="Q80" i="66" s="1"/>
  <c r="S80" i="66" s="1"/>
  <c r="U80" i="66" s="1"/>
  <c r="W80" i="66" s="1"/>
  <c r="Y80" i="66" s="1"/>
  <c r="AA80" i="66" s="1"/>
  <c r="K58" i="66"/>
  <c r="M58" i="66" s="1"/>
  <c r="Q58" i="66" s="1"/>
  <c r="S58" i="66" s="1"/>
  <c r="U58" i="66" s="1"/>
  <c r="W58" i="66" s="1"/>
  <c r="Y58" i="66" s="1"/>
  <c r="AA58" i="66" s="1"/>
  <c r="K45" i="66"/>
  <c r="M45" i="66" s="1"/>
  <c r="Q45" i="66" s="1"/>
  <c r="S45" i="66" s="1"/>
  <c r="U45" i="66" s="1"/>
  <c r="W45" i="66" s="1"/>
  <c r="Y45" i="66" s="1"/>
  <c r="AA45" i="66" s="1"/>
  <c r="K57" i="66"/>
  <c r="M57" i="66" s="1"/>
  <c r="Q57" i="66" s="1"/>
  <c r="S57" i="66" s="1"/>
  <c r="U57" i="66" s="1"/>
  <c r="W57" i="66" s="1"/>
  <c r="Y57" i="66" s="1"/>
  <c r="AA57" i="66" s="1"/>
  <c r="K68" i="66"/>
  <c r="M68" i="66" s="1"/>
  <c r="Q68" i="66" s="1"/>
  <c r="S68" i="66" s="1"/>
  <c r="U68" i="66" s="1"/>
  <c r="W68" i="66" s="1"/>
  <c r="K82" i="66"/>
  <c r="M82" i="66" s="1"/>
  <c r="K78" i="66"/>
  <c r="K39" i="66"/>
  <c r="K55" i="66"/>
  <c r="M55" i="66" s="1"/>
  <c r="Q55" i="66" s="1"/>
  <c r="S55" i="66" s="1"/>
  <c r="U55" i="66" s="1"/>
  <c r="W55" i="66" s="1"/>
  <c r="Y55" i="66" s="1"/>
  <c r="AA55" i="66" s="1"/>
  <c r="K54" i="66"/>
  <c r="M54" i="66" s="1"/>
  <c r="Q54" i="66" s="1"/>
  <c r="S54" i="66" s="1"/>
  <c r="U54" i="66" s="1"/>
  <c r="W54" i="66" s="1"/>
  <c r="Y54" i="66" s="1"/>
  <c r="AA54" i="66" s="1"/>
  <c r="K69" i="66"/>
  <c r="M69" i="66" s="1"/>
  <c r="K42" i="66"/>
  <c r="M42" i="66" s="1"/>
  <c r="Q42" i="66" s="1"/>
  <c r="S42" i="66" s="1"/>
  <c r="U42" i="66" s="1"/>
  <c r="W42" i="66" s="1"/>
  <c r="Y42" i="66" s="1"/>
  <c r="AA42" i="66" s="1"/>
  <c r="K84" i="66"/>
  <c r="M84" i="66" s="1"/>
  <c r="Q84" i="66" s="1"/>
  <c r="S84" i="66" s="1"/>
  <c r="U84" i="66" s="1"/>
  <c r="W84" i="66" s="1"/>
  <c r="Y84" i="66" s="1"/>
  <c r="AA84" i="66" s="1"/>
  <c r="K83" i="66"/>
  <c r="M83" i="66" s="1"/>
  <c r="Q83" i="66" s="1"/>
  <c r="S83" i="66" s="1"/>
  <c r="U83" i="66" s="1"/>
  <c r="W83" i="66" s="1"/>
  <c r="Y83" i="66" s="1"/>
  <c r="AA83" i="66" s="1"/>
  <c r="K44" i="66"/>
  <c r="M44" i="66" s="1"/>
  <c r="K41" i="66"/>
  <c r="M41" i="66" s="1"/>
  <c r="Q41" i="66" s="1"/>
  <c r="S41" i="66" s="1"/>
  <c r="U41" i="66" s="1"/>
  <c r="W41" i="66" s="1"/>
  <c r="Y41" i="66" s="1"/>
  <c r="AA41" i="66" s="1"/>
  <c r="K65" i="66"/>
  <c r="D11" i="60"/>
  <c r="D70" i="60" s="1"/>
  <c r="D76" i="60" s="1"/>
  <c r="J94" i="87" l="1"/>
  <c r="L94" i="87" s="1"/>
  <c r="J78" i="87"/>
  <c r="J44" i="87"/>
  <c r="J80" i="87"/>
  <c r="L80" i="87" s="1"/>
  <c r="J93" i="87"/>
  <c r="L93" i="87" s="1"/>
  <c r="J58" i="87"/>
  <c r="L58" i="87" s="1"/>
  <c r="J43" i="87"/>
  <c r="L43" i="87" s="1"/>
  <c r="J45" i="87"/>
  <c r="L45" i="87" s="1"/>
  <c r="J91" i="87"/>
  <c r="J57" i="87"/>
  <c r="J42" i="87"/>
  <c r="J95" i="87"/>
  <c r="L95" i="87" s="1"/>
  <c r="J84" i="87"/>
  <c r="L84" i="87" s="1"/>
  <c r="J56" i="87"/>
  <c r="L56" i="87" s="1"/>
  <c r="J41" i="87"/>
  <c r="L41" i="87" s="1"/>
  <c r="J83" i="87"/>
  <c r="L83" i="87" s="1"/>
  <c r="J55" i="87"/>
  <c r="J39" i="87"/>
  <c r="J82" i="87"/>
  <c r="J54" i="87"/>
  <c r="L54" i="87" s="1"/>
  <c r="J96" i="87"/>
  <c r="L96" i="87" s="1"/>
  <c r="J81" i="87"/>
  <c r="L81" i="87" s="1"/>
  <c r="J52" i="87"/>
  <c r="J84" i="65"/>
  <c r="L84" i="65" s="1"/>
  <c r="J56" i="65"/>
  <c r="L56" i="65" s="1"/>
  <c r="J41" i="65"/>
  <c r="J83" i="65"/>
  <c r="J55" i="65"/>
  <c r="L55" i="65" s="1"/>
  <c r="J39" i="65"/>
  <c r="L39" i="65" s="1"/>
  <c r="J91" i="65"/>
  <c r="L91" i="65" s="1"/>
  <c r="J82" i="65"/>
  <c r="L82" i="65" s="1"/>
  <c r="J54" i="65"/>
  <c r="L54" i="65" s="1"/>
  <c r="J96" i="65"/>
  <c r="J81" i="65"/>
  <c r="J52" i="65"/>
  <c r="J95" i="65"/>
  <c r="L95" i="65" s="1"/>
  <c r="J80" i="65"/>
  <c r="L80" i="65" s="1"/>
  <c r="J45" i="65"/>
  <c r="L45" i="65" s="1"/>
  <c r="J42" i="65"/>
  <c r="L42" i="65" s="1"/>
  <c r="J94" i="65"/>
  <c r="L94" i="65" s="1"/>
  <c r="J78" i="65"/>
  <c r="L78" i="65" s="1"/>
  <c r="J44" i="65"/>
  <c r="J93" i="65"/>
  <c r="J58" i="65"/>
  <c r="L58" i="65" s="1"/>
  <c r="J43" i="65"/>
  <c r="L43" i="65" s="1"/>
  <c r="J57" i="65"/>
  <c r="L57" i="65" s="1"/>
  <c r="H25" i="86"/>
  <c r="M32" i="86" s="1"/>
  <c r="L32" i="86"/>
  <c r="K45" i="87"/>
  <c r="M45" i="87" s="1"/>
  <c r="Q45" i="87" s="1"/>
  <c r="S45" i="87" s="1"/>
  <c r="U45" i="87" s="1"/>
  <c r="K95" i="87"/>
  <c r="M95" i="87" s="1"/>
  <c r="Q95" i="87" s="1"/>
  <c r="S95" i="87" s="1"/>
  <c r="U95" i="87" s="1"/>
  <c r="K82" i="87"/>
  <c r="M82" i="87" s="1"/>
  <c r="K70" i="87"/>
  <c r="M70" i="87" s="1"/>
  <c r="Q70" i="87" s="1"/>
  <c r="S70" i="87" s="1"/>
  <c r="U70" i="87" s="1"/>
  <c r="K93" i="87"/>
  <c r="M93" i="87" s="1"/>
  <c r="Q93" i="87" s="1"/>
  <c r="S93" i="87" s="1"/>
  <c r="U93" i="87" s="1"/>
  <c r="W93" i="87" s="1"/>
  <c r="Y93" i="87" s="1"/>
  <c r="AA93" i="87" s="1"/>
  <c r="K68" i="87"/>
  <c r="M68" i="87" s="1"/>
  <c r="Q68" i="87" s="1"/>
  <c r="S68" i="87" s="1"/>
  <c r="U68" i="87" s="1"/>
  <c r="W68" i="87" s="1"/>
  <c r="K41" i="87"/>
  <c r="M41" i="87" s="1"/>
  <c r="Q41" i="87" s="1"/>
  <c r="S41" i="87" s="1"/>
  <c r="U41" i="87" s="1"/>
  <c r="W41" i="87" s="1"/>
  <c r="Y41" i="87" s="1"/>
  <c r="AA41" i="87" s="1"/>
  <c r="K43" i="87"/>
  <c r="M43" i="87" s="1"/>
  <c r="Q43" i="87" s="1"/>
  <c r="S43" i="87" s="1"/>
  <c r="U43" i="87" s="1"/>
  <c r="W43" i="87" s="1"/>
  <c r="Y43" i="87" s="1"/>
  <c r="AA43" i="87" s="1"/>
  <c r="K44" i="87"/>
  <c r="M44" i="87" s="1"/>
  <c r="K71" i="87"/>
  <c r="M71" i="87" s="1"/>
  <c r="Q71" i="87" s="1"/>
  <c r="S71" i="87" s="1"/>
  <c r="U71" i="87" s="1"/>
  <c r="K54" i="87"/>
  <c r="M54" i="87" s="1"/>
  <c r="Q54" i="87" s="1"/>
  <c r="S54" i="87" s="1"/>
  <c r="U54" i="87" s="1"/>
  <c r="W54" i="87" s="1"/>
  <c r="Y54" i="87" s="1"/>
  <c r="AA54" i="87" s="1"/>
  <c r="K94" i="87"/>
  <c r="M94" i="87" s="1"/>
  <c r="K67" i="87"/>
  <c r="M67" i="87" s="1"/>
  <c r="Q67" i="87" s="1"/>
  <c r="S67" i="87" s="1"/>
  <c r="U67" i="87" s="1"/>
  <c r="W67" i="87" s="1"/>
  <c r="K84" i="87"/>
  <c r="M84" i="87" s="1"/>
  <c r="Q84" i="87" s="1"/>
  <c r="S84" i="87" s="1"/>
  <c r="U84" i="87" s="1"/>
  <c r="K57" i="87"/>
  <c r="M57" i="87" s="1"/>
  <c r="Q57" i="87" s="1"/>
  <c r="S57" i="87" s="1"/>
  <c r="U57" i="87" s="1"/>
  <c r="K55" i="87"/>
  <c r="M55" i="87" s="1"/>
  <c r="Q55" i="87" s="1"/>
  <c r="S55" i="87" s="1"/>
  <c r="U55" i="87" s="1"/>
  <c r="W55" i="87" s="1"/>
  <c r="Y55" i="87" s="1"/>
  <c r="AA55" i="87" s="1"/>
  <c r="K78" i="87"/>
  <c r="K96" i="87"/>
  <c r="M96" i="87" s="1"/>
  <c r="Q96" i="87" s="1"/>
  <c r="S96" i="87" s="1"/>
  <c r="U96" i="87" s="1"/>
  <c r="K83" i="87"/>
  <c r="M83" i="87" s="1"/>
  <c r="Q83" i="87" s="1"/>
  <c r="S83" i="87" s="1"/>
  <c r="U83" i="87" s="1"/>
  <c r="K91" i="87"/>
  <c r="K58" i="87"/>
  <c r="M58" i="87" s="1"/>
  <c r="Q58" i="87" s="1"/>
  <c r="S58" i="87" s="1"/>
  <c r="U58" i="87" s="1"/>
  <c r="K81" i="87"/>
  <c r="M81" i="87" s="1"/>
  <c r="Q81" i="87" s="1"/>
  <c r="S81" i="87" s="1"/>
  <c r="U81" i="87" s="1"/>
  <c r="W81" i="87" s="1"/>
  <c r="Y81" i="87" s="1"/>
  <c r="AA81" i="87" s="1"/>
  <c r="K42" i="87"/>
  <c r="M42" i="87" s="1"/>
  <c r="Q42" i="87" s="1"/>
  <c r="S42" i="87" s="1"/>
  <c r="U42" i="87" s="1"/>
  <c r="W42" i="87" s="1"/>
  <c r="Y42" i="87" s="1"/>
  <c r="AA42" i="87" s="1"/>
  <c r="K56" i="87"/>
  <c r="M56" i="87" s="1"/>
  <c r="K52" i="87"/>
  <c r="K65" i="87"/>
  <c r="K69" i="87"/>
  <c r="M69" i="87" s="1"/>
  <c r="K39" i="87"/>
  <c r="K80" i="87"/>
  <c r="M80" i="87" s="1"/>
  <c r="Q80" i="87" s="1"/>
  <c r="S80" i="87" s="1"/>
  <c r="U80" i="87" s="1"/>
  <c r="W80" i="87" s="1"/>
  <c r="Y80" i="87" s="1"/>
  <c r="AA80" i="87" s="1"/>
  <c r="L52" i="87"/>
  <c r="J65" i="87"/>
  <c r="L65" i="87" s="1"/>
  <c r="J70" i="87"/>
  <c r="L70" i="87" s="1"/>
  <c r="L39" i="87"/>
  <c r="L82" i="87"/>
  <c r="J69" i="87"/>
  <c r="L69" i="87" s="1"/>
  <c r="L55" i="87"/>
  <c r="J71" i="87"/>
  <c r="L71" i="87" s="1"/>
  <c r="J68" i="87"/>
  <c r="L68" i="87" s="1"/>
  <c r="J67" i="87"/>
  <c r="L67" i="87" s="1"/>
  <c r="L57" i="87"/>
  <c r="L44" i="87"/>
  <c r="L78" i="87"/>
  <c r="L42" i="87"/>
  <c r="L91" i="87"/>
  <c r="M91" i="66"/>
  <c r="Q91" i="66" s="1"/>
  <c r="S91" i="66" s="1"/>
  <c r="U91" i="66" s="1"/>
  <c r="D45" i="60"/>
  <c r="Q69" i="66"/>
  <c r="S69" i="66" s="1"/>
  <c r="U69" i="66" s="1"/>
  <c r="W69" i="66" s="1"/>
  <c r="Y69" i="66" s="1"/>
  <c r="AA69" i="66" s="1"/>
  <c r="F43" i="60"/>
  <c r="M65" i="66"/>
  <c r="Q65" i="66" s="1"/>
  <c r="S65" i="66" s="1"/>
  <c r="U65" i="66" s="1"/>
  <c r="D43" i="60"/>
  <c r="M39" i="66"/>
  <c r="Q39" i="66" s="1"/>
  <c r="D41" i="60"/>
  <c r="M78" i="66"/>
  <c r="Q78" i="66" s="1"/>
  <c r="S78" i="66" s="1"/>
  <c r="U78" i="66" s="1"/>
  <c r="D44" i="60"/>
  <c r="M52" i="66"/>
  <c r="Q52" i="66" s="1"/>
  <c r="S52" i="66" s="1"/>
  <c r="U52" i="66" s="1"/>
  <c r="D42" i="60"/>
  <c r="Q44" i="66"/>
  <c r="S44" i="66" s="1"/>
  <c r="U44" i="66" s="1"/>
  <c r="W44" i="66" s="1"/>
  <c r="Y44" i="66" s="1"/>
  <c r="AA44" i="66" s="1"/>
  <c r="F41" i="60"/>
  <c r="Q82" i="66"/>
  <c r="S82" i="66" s="1"/>
  <c r="U82" i="66" s="1"/>
  <c r="W82" i="66" s="1"/>
  <c r="Y82" i="66" s="1"/>
  <c r="AA82" i="66" s="1"/>
  <c r="F44" i="60"/>
  <c r="Q56" i="66"/>
  <c r="S56" i="66" s="1"/>
  <c r="U56" i="66" s="1"/>
  <c r="W56" i="66" s="1"/>
  <c r="Y56" i="66" s="1"/>
  <c r="AA56" i="66" s="1"/>
  <c r="F42" i="60"/>
  <c r="Q94" i="66"/>
  <c r="S94" i="66" s="1"/>
  <c r="U94" i="66" s="1"/>
  <c r="W94" i="66" s="1"/>
  <c r="Y94" i="66" s="1"/>
  <c r="AA94" i="66" s="1"/>
  <c r="F45" i="60"/>
  <c r="Z71" i="66"/>
  <c r="Y71" i="66"/>
  <c r="AA71" i="66" s="1"/>
  <c r="K96" i="65"/>
  <c r="M96" i="65" s="1"/>
  <c r="Q96" i="65" s="1"/>
  <c r="S96" i="65" s="1"/>
  <c r="U96" i="65" s="1"/>
  <c r="W96" i="65" s="1"/>
  <c r="Y96" i="65" s="1"/>
  <c r="AA96" i="65" s="1"/>
  <c r="K44" i="65"/>
  <c r="M44" i="65" s="1"/>
  <c r="K55" i="65"/>
  <c r="M55" i="65" s="1"/>
  <c r="Q55" i="65" s="1"/>
  <c r="S55" i="65" s="1"/>
  <c r="U55" i="65" s="1"/>
  <c r="W55" i="65" s="1"/>
  <c r="Y55" i="65" s="1"/>
  <c r="AA55" i="65" s="1"/>
  <c r="K56" i="65"/>
  <c r="M56" i="65" s="1"/>
  <c r="K81" i="65"/>
  <c r="M81" i="65" s="1"/>
  <c r="Q81" i="65" s="1"/>
  <c r="S81" i="65" s="1"/>
  <c r="U81" i="65" s="1"/>
  <c r="W81" i="65" s="1"/>
  <c r="Y81" i="65" s="1"/>
  <c r="AA81" i="65" s="1"/>
  <c r="K83" i="65"/>
  <c r="M83" i="65" s="1"/>
  <c r="Q83" i="65" s="1"/>
  <c r="S83" i="65" s="1"/>
  <c r="U83" i="65" s="1"/>
  <c r="W83" i="65" s="1"/>
  <c r="Y83" i="65" s="1"/>
  <c r="AA83" i="65" s="1"/>
  <c r="K43" i="65"/>
  <c r="M43" i="65" s="1"/>
  <c r="Q43" i="65" s="1"/>
  <c r="S43" i="65" s="1"/>
  <c r="U43" i="65" s="1"/>
  <c r="W43" i="65" s="1"/>
  <c r="Y43" i="65" s="1"/>
  <c r="AA43" i="65" s="1"/>
  <c r="K52" i="65"/>
  <c r="K93" i="65"/>
  <c r="M93" i="65" s="1"/>
  <c r="Q93" i="65" s="1"/>
  <c r="S93" i="65" s="1"/>
  <c r="U93" i="65" s="1"/>
  <c r="W93" i="65" s="1"/>
  <c r="Y93" i="65" s="1"/>
  <c r="AA93" i="65" s="1"/>
  <c r="K42" i="65"/>
  <c r="M42" i="65" s="1"/>
  <c r="Q42" i="65" s="1"/>
  <c r="S42" i="65" s="1"/>
  <c r="U42" i="65" s="1"/>
  <c r="W42" i="65" s="1"/>
  <c r="Y42" i="65" s="1"/>
  <c r="AA42" i="65" s="1"/>
  <c r="K94" i="65"/>
  <c r="M94" i="65" s="1"/>
  <c r="K45" i="65"/>
  <c r="M45" i="65" s="1"/>
  <c r="Q45" i="65" s="1"/>
  <c r="S45" i="65" s="1"/>
  <c r="U45" i="65" s="1"/>
  <c r="W45" i="65" s="1"/>
  <c r="Y45" i="65" s="1"/>
  <c r="AA45" i="65" s="1"/>
  <c r="K71" i="65"/>
  <c r="M71" i="65" s="1"/>
  <c r="Q71" i="65" s="1"/>
  <c r="S71" i="65" s="1"/>
  <c r="U71" i="65" s="1"/>
  <c r="W71" i="65" s="1"/>
  <c r="K95" i="65"/>
  <c r="M95" i="65" s="1"/>
  <c r="Q95" i="65" s="1"/>
  <c r="S95" i="65" s="1"/>
  <c r="U95" i="65" s="1"/>
  <c r="W95" i="65" s="1"/>
  <c r="Y95" i="65" s="1"/>
  <c r="AA95" i="65" s="1"/>
  <c r="K78" i="65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80" i="65"/>
  <c r="M80" i="65" s="1"/>
  <c r="Q80" i="65" s="1"/>
  <c r="S80" i="65" s="1"/>
  <c r="U80" i="65" s="1"/>
  <c r="W80" i="65" s="1"/>
  <c r="Y80" i="65" s="1"/>
  <c r="AA80" i="65" s="1"/>
  <c r="K69" i="65"/>
  <c r="M69" i="65" s="1"/>
  <c r="K39" i="65"/>
  <c r="K58" i="65"/>
  <c r="M58" i="65" s="1"/>
  <c r="Q58" i="65" s="1"/>
  <c r="S58" i="65" s="1"/>
  <c r="U58" i="65" s="1"/>
  <c r="W58" i="65" s="1"/>
  <c r="Y58" i="65" s="1"/>
  <c r="AA58" i="65" s="1"/>
  <c r="K57" i="65"/>
  <c r="M57" i="65" s="1"/>
  <c r="Q57" i="65" s="1"/>
  <c r="S57" i="65" s="1"/>
  <c r="U57" i="65" s="1"/>
  <c r="W57" i="65" s="1"/>
  <c r="Y57" i="65" s="1"/>
  <c r="AA57" i="65" s="1"/>
  <c r="K91" i="65"/>
  <c r="K84" i="65"/>
  <c r="M84" i="65" s="1"/>
  <c r="Q84" i="65" s="1"/>
  <c r="S84" i="65" s="1"/>
  <c r="U84" i="65" s="1"/>
  <c r="W84" i="65" s="1"/>
  <c r="Y84" i="65" s="1"/>
  <c r="AA84" i="65" s="1"/>
  <c r="K65" i="65"/>
  <c r="K68" i="65"/>
  <c r="M68" i="65" s="1"/>
  <c r="Q68" i="65" s="1"/>
  <c r="S68" i="65" s="1"/>
  <c r="U68" i="65" s="1"/>
  <c r="W68" i="65" s="1"/>
  <c r="K70" i="65"/>
  <c r="M70" i="65" s="1"/>
  <c r="Q70" i="65" s="1"/>
  <c r="S70" i="65" s="1"/>
  <c r="U70" i="65" s="1"/>
  <c r="W70" i="65" s="1"/>
  <c r="K82" i="65"/>
  <c r="M82" i="65" s="1"/>
  <c r="K54" i="65"/>
  <c r="M54" i="65" s="1"/>
  <c r="Q54" i="65" s="1"/>
  <c r="S54" i="65" s="1"/>
  <c r="U54" i="65" s="1"/>
  <c r="W54" i="65" s="1"/>
  <c r="Y54" i="65" s="1"/>
  <c r="AA54" i="65" s="1"/>
  <c r="L96" i="65"/>
  <c r="J71" i="65"/>
  <c r="L71" i="65" s="1"/>
  <c r="L81" i="65"/>
  <c r="J67" i="65"/>
  <c r="L67" i="65" s="1"/>
  <c r="L52" i="65"/>
  <c r="L93" i="65"/>
  <c r="L41" i="65"/>
  <c r="L83" i="65"/>
  <c r="J70" i="65"/>
  <c r="L70" i="65" s="1"/>
  <c r="J69" i="65"/>
  <c r="L69" i="65" s="1"/>
  <c r="L44" i="65"/>
  <c r="J65" i="65"/>
  <c r="L65" i="65" s="1"/>
  <c r="J68" i="65"/>
  <c r="L68" i="65" s="1"/>
  <c r="Y70" i="66"/>
  <c r="AA70" i="66" s="1"/>
  <c r="Z70" i="66"/>
  <c r="Z68" i="66"/>
  <c r="Y68" i="66"/>
  <c r="AA68" i="66" s="1"/>
  <c r="Z67" i="66"/>
  <c r="Y67" i="66"/>
  <c r="AA67" i="66" s="1"/>
  <c r="Q36" i="66" l="1"/>
  <c r="E41" i="60" s="1"/>
  <c r="S39" i="66"/>
  <c r="U39" i="66" s="1"/>
  <c r="W39" i="66" s="1"/>
  <c r="J91" i="86"/>
  <c r="L91" i="86" s="1"/>
  <c r="J57" i="86"/>
  <c r="L57" i="86" s="1"/>
  <c r="J42" i="86"/>
  <c r="J84" i="86"/>
  <c r="L84" i="86" s="1"/>
  <c r="J56" i="86"/>
  <c r="L56" i="86" s="1"/>
  <c r="J41" i="86"/>
  <c r="L41" i="86" s="1"/>
  <c r="J83" i="86"/>
  <c r="L83" i="86" s="1"/>
  <c r="J55" i="86"/>
  <c r="L55" i="86" s="1"/>
  <c r="J39" i="86"/>
  <c r="L39" i="86" s="1"/>
  <c r="J58" i="86"/>
  <c r="L58" i="86" s="1"/>
  <c r="J82" i="86"/>
  <c r="J54" i="86"/>
  <c r="L54" i="86" s="1"/>
  <c r="J93" i="86"/>
  <c r="L93" i="86" s="1"/>
  <c r="J96" i="86"/>
  <c r="L96" i="86" s="1"/>
  <c r="J81" i="86"/>
  <c r="L81" i="86" s="1"/>
  <c r="J52" i="86"/>
  <c r="L52" i="86" s="1"/>
  <c r="J95" i="86"/>
  <c r="L95" i="86" s="1"/>
  <c r="J80" i="86"/>
  <c r="L80" i="86" s="1"/>
  <c r="J45" i="86"/>
  <c r="L45" i="86" s="1"/>
  <c r="J43" i="86"/>
  <c r="L43" i="86" s="1"/>
  <c r="J94" i="86"/>
  <c r="L94" i="86" s="1"/>
  <c r="J78" i="86"/>
  <c r="L78" i="86" s="1"/>
  <c r="J44" i="86"/>
  <c r="L44" i="86" s="1"/>
  <c r="Q62" i="66"/>
  <c r="E43" i="60" s="1"/>
  <c r="Q88" i="66"/>
  <c r="E45" i="60" s="1"/>
  <c r="Z69" i="66"/>
  <c r="Z67" i="87"/>
  <c r="Y67" i="87"/>
  <c r="AA67" i="87" s="1"/>
  <c r="M39" i="87"/>
  <c r="Q39" i="87" s="1"/>
  <c r="L41" i="60"/>
  <c r="M91" i="87"/>
  <c r="Q91" i="87" s="1"/>
  <c r="L45" i="60"/>
  <c r="Q94" i="87"/>
  <c r="S94" i="87" s="1"/>
  <c r="U94" i="87" s="1"/>
  <c r="W94" i="87" s="1"/>
  <c r="Y94" i="87" s="1"/>
  <c r="AA94" i="87" s="1"/>
  <c r="N45" i="60"/>
  <c r="Q69" i="87"/>
  <c r="S69" i="87" s="1"/>
  <c r="U69" i="87" s="1"/>
  <c r="W69" i="87" s="1"/>
  <c r="N43" i="60"/>
  <c r="Q82" i="87"/>
  <c r="S82" i="87" s="1"/>
  <c r="U82" i="87" s="1"/>
  <c r="W82" i="87" s="1"/>
  <c r="Y82" i="87" s="1"/>
  <c r="AA82" i="87" s="1"/>
  <c r="N44" i="60"/>
  <c r="Z68" i="87"/>
  <c r="Y68" i="87"/>
  <c r="AA68" i="87" s="1"/>
  <c r="M65" i="87"/>
  <c r="Q65" i="87" s="1"/>
  <c r="L43" i="60"/>
  <c r="M52" i="87"/>
  <c r="Q52" i="87" s="1"/>
  <c r="L42" i="60"/>
  <c r="M78" i="87"/>
  <c r="Q78" i="87" s="1"/>
  <c r="L44" i="60"/>
  <c r="Q44" i="87"/>
  <c r="S44" i="87" s="1"/>
  <c r="U44" i="87" s="1"/>
  <c r="W44" i="87" s="1"/>
  <c r="Y44" i="87" s="1"/>
  <c r="AA44" i="87" s="1"/>
  <c r="N41" i="60"/>
  <c r="Q56" i="87"/>
  <c r="S56" i="87" s="1"/>
  <c r="U56" i="87" s="1"/>
  <c r="W56" i="87" s="1"/>
  <c r="Y56" i="87" s="1"/>
  <c r="AA56" i="87" s="1"/>
  <c r="N42" i="60"/>
  <c r="J67" i="86"/>
  <c r="L67" i="86" s="1"/>
  <c r="J68" i="86"/>
  <c r="L68" i="86" s="1"/>
  <c r="J69" i="86"/>
  <c r="L69" i="86" s="1"/>
  <c r="L42" i="86"/>
  <c r="J70" i="86"/>
  <c r="L70" i="86" s="1"/>
  <c r="J65" i="86"/>
  <c r="L65" i="86" s="1"/>
  <c r="J71" i="86"/>
  <c r="L71" i="86" s="1"/>
  <c r="L82" i="86"/>
  <c r="K96" i="86"/>
  <c r="M96" i="86" s="1"/>
  <c r="Q96" i="86" s="1"/>
  <c r="S96" i="86" s="1"/>
  <c r="U96" i="86" s="1"/>
  <c r="K57" i="86"/>
  <c r="M57" i="86" s="1"/>
  <c r="Q57" i="86" s="1"/>
  <c r="S57" i="86" s="1"/>
  <c r="U57" i="86" s="1"/>
  <c r="K91" i="86"/>
  <c r="K84" i="86"/>
  <c r="M84" i="86" s="1"/>
  <c r="Q84" i="86" s="1"/>
  <c r="S84" i="86" s="1"/>
  <c r="U84" i="86" s="1"/>
  <c r="K45" i="86"/>
  <c r="M45" i="86" s="1"/>
  <c r="Q45" i="86" s="1"/>
  <c r="S45" i="86" s="1"/>
  <c r="U45" i="86" s="1"/>
  <c r="K42" i="86"/>
  <c r="M42" i="86" s="1"/>
  <c r="Q42" i="86" s="1"/>
  <c r="S42" i="86" s="1"/>
  <c r="U42" i="86" s="1"/>
  <c r="W42" i="86" s="1"/>
  <c r="Y42" i="86" s="1"/>
  <c r="AA42" i="86" s="1"/>
  <c r="K65" i="86"/>
  <c r="K58" i="86"/>
  <c r="M58" i="86" s="1"/>
  <c r="Q58" i="86" s="1"/>
  <c r="S58" i="86" s="1"/>
  <c r="U58" i="86" s="1"/>
  <c r="K43" i="86"/>
  <c r="M43" i="86" s="1"/>
  <c r="Q43" i="86" s="1"/>
  <c r="S43" i="86" s="1"/>
  <c r="U43" i="86" s="1"/>
  <c r="W43" i="86" s="1"/>
  <c r="Y43" i="86" s="1"/>
  <c r="AA43" i="86" s="1"/>
  <c r="K69" i="86"/>
  <c r="M69" i="86" s="1"/>
  <c r="K39" i="86"/>
  <c r="K95" i="86"/>
  <c r="M95" i="86" s="1"/>
  <c r="Q95" i="86" s="1"/>
  <c r="S95" i="86" s="1"/>
  <c r="U95" i="86" s="1"/>
  <c r="K82" i="86"/>
  <c r="M82" i="86" s="1"/>
  <c r="K52" i="86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93" i="86"/>
  <c r="M93" i="86" s="1"/>
  <c r="Q93" i="86" s="1"/>
  <c r="S93" i="86" s="1"/>
  <c r="U93" i="86" s="1"/>
  <c r="W93" i="86" s="1"/>
  <c r="Y93" i="86" s="1"/>
  <c r="AA93" i="86" s="1"/>
  <c r="K68" i="86"/>
  <c r="M68" i="86" s="1"/>
  <c r="Q68" i="86" s="1"/>
  <c r="S68" i="86" s="1"/>
  <c r="U68" i="86" s="1"/>
  <c r="W68" i="86" s="1"/>
  <c r="K41" i="86"/>
  <c r="M41" i="86" s="1"/>
  <c r="Q41" i="86" s="1"/>
  <c r="S41" i="86" s="1"/>
  <c r="U41" i="86" s="1"/>
  <c r="W41" i="86" s="1"/>
  <c r="Y41" i="86" s="1"/>
  <c r="AA41" i="86" s="1"/>
  <c r="K71" i="86"/>
  <c r="M71" i="86" s="1"/>
  <c r="Q71" i="86" s="1"/>
  <c r="S71" i="86" s="1"/>
  <c r="U71" i="86" s="1"/>
  <c r="K54" i="86"/>
  <c r="M54" i="86" s="1"/>
  <c r="Q54" i="86" s="1"/>
  <c r="S54" i="86" s="1"/>
  <c r="U54" i="86" s="1"/>
  <c r="W54" i="86" s="1"/>
  <c r="Y54" i="86" s="1"/>
  <c r="AA54" i="86" s="1"/>
  <c r="K55" i="86"/>
  <c r="M55" i="86" s="1"/>
  <c r="Q55" i="86" s="1"/>
  <c r="S55" i="86" s="1"/>
  <c r="U55" i="86" s="1"/>
  <c r="W55" i="86" s="1"/>
  <c r="Y55" i="86" s="1"/>
  <c r="AA55" i="86" s="1"/>
  <c r="K67" i="86"/>
  <c r="M67" i="86" s="1"/>
  <c r="Q67" i="86" s="1"/>
  <c r="S67" i="86" s="1"/>
  <c r="U67" i="86" s="1"/>
  <c r="W67" i="86" s="1"/>
  <c r="K44" i="86"/>
  <c r="M44" i="86" s="1"/>
  <c r="K94" i="86"/>
  <c r="M94" i="86" s="1"/>
  <c r="K81" i="86"/>
  <c r="M81" i="86" s="1"/>
  <c r="Q81" i="86" s="1"/>
  <c r="S81" i="86" s="1"/>
  <c r="U81" i="86" s="1"/>
  <c r="W81" i="86" s="1"/>
  <c r="Y81" i="86" s="1"/>
  <c r="AA81" i="86" s="1"/>
  <c r="K78" i="86"/>
  <c r="K83" i="86"/>
  <c r="M83" i="86" s="1"/>
  <c r="Q83" i="86" s="1"/>
  <c r="S83" i="86" s="1"/>
  <c r="U83" i="86" s="1"/>
  <c r="K56" i="86"/>
  <c r="M56" i="86" s="1"/>
  <c r="Q75" i="66"/>
  <c r="E44" i="60" s="1"/>
  <c r="Q49" i="66"/>
  <c r="E42" i="60" s="1"/>
  <c r="Q82" i="65"/>
  <c r="S82" i="65" s="1"/>
  <c r="U82" i="65" s="1"/>
  <c r="W82" i="65" s="1"/>
  <c r="Y82" i="65" s="1"/>
  <c r="AA82" i="65" s="1"/>
  <c r="F38" i="60"/>
  <c r="M39" i="65"/>
  <c r="Q39" i="65" s="1"/>
  <c r="S39" i="65" s="1"/>
  <c r="U39" i="65" s="1"/>
  <c r="D35" i="60"/>
  <c r="Q56" i="65"/>
  <c r="S56" i="65" s="1"/>
  <c r="U56" i="65" s="1"/>
  <c r="W56" i="65" s="1"/>
  <c r="Y56" i="65" s="1"/>
  <c r="AA56" i="65" s="1"/>
  <c r="F36" i="60"/>
  <c r="Q69" i="65"/>
  <c r="S69" i="65" s="1"/>
  <c r="U69" i="65" s="1"/>
  <c r="W69" i="65" s="1"/>
  <c r="Y69" i="65" s="1"/>
  <c r="AA69" i="65" s="1"/>
  <c r="F37" i="60"/>
  <c r="Q94" i="65"/>
  <c r="S94" i="65" s="1"/>
  <c r="U94" i="65" s="1"/>
  <c r="W94" i="65" s="1"/>
  <c r="Y94" i="65" s="1"/>
  <c r="AA94" i="65" s="1"/>
  <c r="F39" i="60"/>
  <c r="Q44" i="65"/>
  <c r="S44" i="65" s="1"/>
  <c r="U44" i="65" s="1"/>
  <c r="W44" i="65" s="1"/>
  <c r="Y44" i="65" s="1"/>
  <c r="AA44" i="65" s="1"/>
  <c r="F35" i="60"/>
  <c r="M65" i="65"/>
  <c r="Q65" i="65" s="1"/>
  <c r="D37" i="60"/>
  <c r="M52" i="65"/>
  <c r="Q52" i="65" s="1"/>
  <c r="D36" i="60"/>
  <c r="M91" i="65"/>
  <c r="Q91" i="65" s="1"/>
  <c r="S91" i="65" s="1"/>
  <c r="U91" i="65" s="1"/>
  <c r="D39" i="60"/>
  <c r="M78" i="65"/>
  <c r="Q78" i="65" s="1"/>
  <c r="D38" i="60"/>
  <c r="U36" i="66"/>
  <c r="U49" i="66"/>
  <c r="W52" i="66"/>
  <c r="Q35" i="66"/>
  <c r="S36" i="66"/>
  <c r="Y70" i="65"/>
  <c r="AA70" i="65" s="1"/>
  <c r="Z70" i="65"/>
  <c r="Z68" i="65"/>
  <c r="Y68" i="65"/>
  <c r="AA68" i="65" s="1"/>
  <c r="W91" i="66"/>
  <c r="U88" i="66"/>
  <c r="Z67" i="65"/>
  <c r="Y67" i="65"/>
  <c r="AA67" i="65" s="1"/>
  <c r="W78" i="66"/>
  <c r="U75" i="66"/>
  <c r="W65" i="66"/>
  <c r="U62" i="66"/>
  <c r="Z71" i="65"/>
  <c r="Y71" i="65"/>
  <c r="AA71" i="65" s="1"/>
  <c r="Q87" i="66" l="1"/>
  <c r="S88" i="66"/>
  <c r="Q74" i="66"/>
  <c r="Q61" i="66"/>
  <c r="S62" i="66"/>
  <c r="Q49" i="65"/>
  <c r="E36" i="60" s="1"/>
  <c r="S49" i="66"/>
  <c r="Q48" i="66"/>
  <c r="S75" i="66"/>
  <c r="Q33" i="66"/>
  <c r="Q12" i="66" s="1"/>
  <c r="Q8" i="66" s="1"/>
  <c r="Q75" i="65"/>
  <c r="E38" i="60" s="1"/>
  <c r="M91" i="86"/>
  <c r="Q91" i="86" s="1"/>
  <c r="L39" i="60"/>
  <c r="Z68" i="86"/>
  <c r="Y68" i="86"/>
  <c r="AA68" i="86" s="1"/>
  <c r="Q69" i="86"/>
  <c r="S69" i="86" s="1"/>
  <c r="U69" i="86" s="1"/>
  <c r="W69" i="86" s="1"/>
  <c r="N37" i="60"/>
  <c r="S65" i="87"/>
  <c r="U65" i="87" s="1"/>
  <c r="Q62" i="87"/>
  <c r="M78" i="86"/>
  <c r="Q78" i="86" s="1"/>
  <c r="L38" i="60"/>
  <c r="Q94" i="86"/>
  <c r="S94" i="86" s="1"/>
  <c r="U94" i="86" s="1"/>
  <c r="W94" i="86" s="1"/>
  <c r="Y94" i="86" s="1"/>
  <c r="AA94" i="86" s="1"/>
  <c r="N39" i="60"/>
  <c r="Q44" i="86"/>
  <c r="S44" i="86" s="1"/>
  <c r="U44" i="86" s="1"/>
  <c r="W44" i="86" s="1"/>
  <c r="Y44" i="86" s="1"/>
  <c r="AA44" i="86" s="1"/>
  <c r="N35" i="60"/>
  <c r="Q88" i="87"/>
  <c r="S91" i="87"/>
  <c r="U91" i="87" s="1"/>
  <c r="Z67" i="86"/>
  <c r="Y67" i="86"/>
  <c r="AA67" i="86" s="1"/>
  <c r="M65" i="86"/>
  <c r="Q65" i="86" s="1"/>
  <c r="L37" i="60"/>
  <c r="Q36" i="65"/>
  <c r="E35" i="60" s="1"/>
  <c r="M52" i="86"/>
  <c r="Q52" i="86" s="1"/>
  <c r="L36" i="60"/>
  <c r="S78" i="87"/>
  <c r="U78" i="87" s="1"/>
  <c r="Q75" i="87"/>
  <c r="S39" i="87"/>
  <c r="U39" i="87" s="1"/>
  <c r="Q36" i="87"/>
  <c r="M39" i="86"/>
  <c r="Q39" i="86" s="1"/>
  <c r="L35" i="60"/>
  <c r="Q56" i="86"/>
  <c r="S56" i="86" s="1"/>
  <c r="U56" i="86" s="1"/>
  <c r="W56" i="86" s="1"/>
  <c r="Y56" i="86" s="1"/>
  <c r="AA56" i="86" s="1"/>
  <c r="N36" i="60"/>
  <c r="Q82" i="86"/>
  <c r="S82" i="86" s="1"/>
  <c r="U82" i="86" s="1"/>
  <c r="W82" i="86" s="1"/>
  <c r="Y82" i="86" s="1"/>
  <c r="AA82" i="86" s="1"/>
  <c r="N38" i="60"/>
  <c r="Q62" i="65"/>
  <c r="E37" i="60" s="1"/>
  <c r="S52" i="87"/>
  <c r="U52" i="87" s="1"/>
  <c r="Q49" i="87"/>
  <c r="Z69" i="87"/>
  <c r="Y69" i="87"/>
  <c r="AA69" i="87" s="1"/>
  <c r="S78" i="65"/>
  <c r="U78" i="65" s="1"/>
  <c r="W78" i="65" s="1"/>
  <c r="S65" i="65"/>
  <c r="U65" i="65" s="1"/>
  <c r="W65" i="65" s="1"/>
  <c r="Z69" i="65"/>
  <c r="S52" i="65"/>
  <c r="U52" i="65" s="1"/>
  <c r="W52" i="65" s="1"/>
  <c r="Q88" i="65"/>
  <c r="E39" i="60" s="1"/>
  <c r="U88" i="65"/>
  <c r="W91" i="65"/>
  <c r="Y65" i="66"/>
  <c r="AA65" i="66" s="1"/>
  <c r="Z65" i="66"/>
  <c r="W62" i="66"/>
  <c r="Y91" i="66"/>
  <c r="AA91" i="66" s="1"/>
  <c r="W88" i="66"/>
  <c r="W49" i="66"/>
  <c r="Y52" i="66"/>
  <c r="AA52" i="66" s="1"/>
  <c r="W75" i="66"/>
  <c r="Y78" i="66"/>
  <c r="AA78" i="66" s="1"/>
  <c r="U36" i="65"/>
  <c r="W39" i="65"/>
  <c r="U34" i="66"/>
  <c r="U33" i="66" s="1"/>
  <c r="U12" i="66" s="1"/>
  <c r="U8" i="66" s="1"/>
  <c r="W36" i="66"/>
  <c r="Y39" i="66"/>
  <c r="AA39" i="66" s="1"/>
  <c r="F33" i="41"/>
  <c r="M65" i="50"/>
  <c r="F9" i="41"/>
  <c r="C18" i="82" s="1"/>
  <c r="Q48" i="65" l="1"/>
  <c r="S49" i="65"/>
  <c r="S34" i="66"/>
  <c r="S33" i="66" s="1"/>
  <c r="S12" i="66" s="1"/>
  <c r="S8" i="66" s="1"/>
  <c r="S36" i="65"/>
  <c r="Q74" i="65"/>
  <c r="S75" i="65"/>
  <c r="Q61" i="65"/>
  <c r="Q35" i="65"/>
  <c r="U49" i="65"/>
  <c r="U75" i="65"/>
  <c r="S88" i="65"/>
  <c r="U62" i="65"/>
  <c r="M43" i="60"/>
  <c r="S62" i="87"/>
  <c r="Q61" i="87"/>
  <c r="M45" i="60"/>
  <c r="Q87" i="87"/>
  <c r="S88" i="87"/>
  <c r="U62" i="87"/>
  <c r="W65" i="87"/>
  <c r="Q49" i="86"/>
  <c r="S52" i="86"/>
  <c r="U52" i="86" s="1"/>
  <c r="W78" i="87"/>
  <c r="U75" i="87"/>
  <c r="Z69" i="86"/>
  <c r="Y69" i="86"/>
  <c r="AA69" i="86" s="1"/>
  <c r="M42" i="60"/>
  <c r="Q48" i="87"/>
  <c r="S49" i="87"/>
  <c r="S39" i="86"/>
  <c r="U39" i="86" s="1"/>
  <c r="Q36" i="86"/>
  <c r="W52" i="87"/>
  <c r="U49" i="87"/>
  <c r="M41" i="60"/>
  <c r="Q35" i="87"/>
  <c r="Q33" i="87"/>
  <c r="Q12" i="87" s="1"/>
  <c r="Q8" i="87" s="1"/>
  <c r="S36" i="87"/>
  <c r="Q62" i="86"/>
  <c r="S65" i="86"/>
  <c r="U65" i="86" s="1"/>
  <c r="Q87" i="65"/>
  <c r="W39" i="87"/>
  <c r="U36" i="87"/>
  <c r="U88" i="87"/>
  <c r="W91" i="87"/>
  <c r="S62" i="65"/>
  <c r="M44" i="60"/>
  <c r="S75" i="87"/>
  <c r="Q74" i="87"/>
  <c r="S78" i="86"/>
  <c r="U78" i="86" s="1"/>
  <c r="Q75" i="86"/>
  <c r="Q88" i="86"/>
  <c r="S91" i="86"/>
  <c r="U91" i="86" s="1"/>
  <c r="Q33" i="65"/>
  <c r="Q12" i="65" s="1"/>
  <c r="Q8" i="65" s="1"/>
  <c r="Y65" i="65"/>
  <c r="AA65" i="65" s="1"/>
  <c r="W62" i="65"/>
  <c r="Z65" i="65"/>
  <c r="Y52" i="65"/>
  <c r="AA52" i="65" s="1"/>
  <c r="W49" i="65"/>
  <c r="Y91" i="65"/>
  <c r="AA91" i="65" s="1"/>
  <c r="W88" i="65"/>
  <c r="Y39" i="65"/>
  <c r="AA39" i="65" s="1"/>
  <c r="W36" i="65"/>
  <c r="Y12" i="66"/>
  <c r="Y78" i="65"/>
  <c r="AA78" i="65" s="1"/>
  <c r="W75" i="65"/>
  <c r="W34" i="66"/>
  <c r="W33" i="66" s="1"/>
  <c r="W12" i="66" s="1"/>
  <c r="W8" i="66" s="1"/>
  <c r="C20" i="82"/>
  <c r="J33" i="41" s="1"/>
  <c r="C19" i="82"/>
  <c r="H55" i="43"/>
  <c r="H54" i="43"/>
  <c r="U34" i="65" l="1"/>
  <c r="U33" i="65" s="1"/>
  <c r="U12" i="65" s="1"/>
  <c r="U8" i="65" s="1"/>
  <c r="S34" i="65"/>
  <c r="S33" i="65" s="1"/>
  <c r="S12" i="65" s="1"/>
  <c r="S8" i="65" s="1"/>
  <c r="M38" i="60"/>
  <c r="S75" i="86"/>
  <c r="Q74" i="86"/>
  <c r="W78" i="86"/>
  <c r="U75" i="86"/>
  <c r="Y39" i="87"/>
  <c r="AA39" i="87" s="1"/>
  <c r="W36" i="87"/>
  <c r="Y52" i="87"/>
  <c r="AA52" i="87" s="1"/>
  <c r="W49" i="87"/>
  <c r="U62" i="86"/>
  <c r="W65" i="86"/>
  <c r="M35" i="60"/>
  <c r="Q35" i="86"/>
  <c r="S36" i="86"/>
  <c r="Q33" i="86"/>
  <c r="Q12" i="86" s="1"/>
  <c r="Q8" i="86" s="1"/>
  <c r="W75" i="87"/>
  <c r="Y78" i="87"/>
  <c r="AA78" i="87" s="1"/>
  <c r="M37" i="60"/>
  <c r="S62" i="86"/>
  <c r="Q61" i="86"/>
  <c r="W39" i="86"/>
  <c r="U36" i="86"/>
  <c r="U49" i="86"/>
  <c r="W52" i="86"/>
  <c r="S34" i="87"/>
  <c r="S33" i="87" s="1"/>
  <c r="S12" i="87" s="1"/>
  <c r="S8" i="87" s="1"/>
  <c r="M36" i="60"/>
  <c r="Q48" i="86"/>
  <c r="S49" i="86"/>
  <c r="M39" i="60"/>
  <c r="S88" i="86"/>
  <c r="Q87" i="86"/>
  <c r="U34" i="87"/>
  <c r="U33" i="87" s="1"/>
  <c r="U12" i="87" s="1"/>
  <c r="U8" i="87" s="1"/>
  <c r="U88" i="86"/>
  <c r="W91" i="86"/>
  <c r="Y91" i="87"/>
  <c r="AA91" i="87" s="1"/>
  <c r="W88" i="87"/>
  <c r="Z65" i="87"/>
  <c r="W62" i="87"/>
  <c r="Y65" i="87"/>
  <c r="AA65" i="87" s="1"/>
  <c r="W34" i="65"/>
  <c r="W33" i="65" s="1"/>
  <c r="W12" i="65" s="1"/>
  <c r="W8" i="65" s="1"/>
  <c r="Y12" i="65"/>
  <c r="F21" i="4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H21" i="43"/>
  <c r="S34" i="86"/>
  <c r="S33" i="86" s="1"/>
  <c r="S12" i="86" s="1"/>
  <c r="S8" i="86" s="1"/>
  <c r="W34" i="87"/>
  <c r="W33" i="87" s="1"/>
  <c r="W12" i="87" s="1"/>
  <c r="W8" i="87" s="1"/>
  <c r="Y12" i="87"/>
  <c r="W49" i="86"/>
  <c r="Y52" i="86"/>
  <c r="AA52" i="86" s="1"/>
  <c r="U34" i="86"/>
  <c r="U33" i="86" s="1"/>
  <c r="U12" i="86" s="1"/>
  <c r="U8" i="86" s="1"/>
  <c r="Y39" i="86"/>
  <c r="AA39" i="86" s="1"/>
  <c r="W36" i="86"/>
  <c r="W75" i="86"/>
  <c r="Y78" i="86"/>
  <c r="AA78" i="86" s="1"/>
  <c r="Y65" i="86"/>
  <c r="AA65" i="86" s="1"/>
  <c r="Z65" i="86"/>
  <c r="W62" i="86"/>
  <c r="W88" i="86"/>
  <c r="Y91" i="86"/>
  <c r="AA91" i="86" s="1"/>
  <c r="F39" i="41"/>
  <c r="C28" i="82"/>
  <c r="H53" i="43"/>
  <c r="H52" i="43" s="1"/>
  <c r="P8" i="60" s="1"/>
  <c r="H38" i="43"/>
  <c r="U20" i="41"/>
  <c r="T20" i="41"/>
  <c r="V20" i="41" s="1"/>
  <c r="R21" i="41"/>
  <c r="U14" i="41"/>
  <c r="R15" i="41"/>
  <c r="T14" i="41"/>
  <c r="H34" i="43"/>
  <c r="H33" i="43"/>
  <c r="U15" i="41"/>
  <c r="R16" i="41"/>
  <c r="T15" i="41"/>
  <c r="J51" i="41"/>
  <c r="M11" i="41"/>
  <c r="U19" i="41"/>
  <c r="R20" i="41"/>
  <c r="H39" i="43"/>
  <c r="T19" i="41"/>
  <c r="H32" i="43"/>
  <c r="T12" i="41"/>
  <c r="R13" i="41"/>
  <c r="U12" i="41"/>
  <c r="H37" i="43"/>
  <c r="R19" i="41"/>
  <c r="T18" i="41"/>
  <c r="U18" i="41"/>
  <c r="W34" i="86" l="1"/>
  <c r="W33" i="86" s="1"/>
  <c r="W12" i="86" s="1"/>
  <c r="W8" i="86" s="1"/>
  <c r="Y12" i="86"/>
  <c r="C30" i="82"/>
  <c r="J39" i="41" s="1"/>
  <c r="M17" i="41" s="1"/>
  <c r="C29" i="82"/>
  <c r="V12" i="41"/>
  <c r="V15" i="41"/>
  <c r="V14" i="41"/>
  <c r="V19" i="41"/>
  <c r="F25" i="41"/>
  <c r="F19" i="41" s="1"/>
  <c r="M7" i="41"/>
  <c r="H59" i="43"/>
  <c r="V18" i="41"/>
  <c r="R12" i="41"/>
  <c r="T11" i="41"/>
  <c r="H43" i="43"/>
  <c r="U11" i="41"/>
  <c r="H31" i="43"/>
  <c r="U17" i="41" l="1"/>
  <c r="T17" i="41"/>
  <c r="V17" i="41" s="1"/>
  <c r="R18" i="41"/>
  <c r="H36" i="43"/>
  <c r="H42" i="43"/>
  <c r="P5" i="60"/>
  <c r="M10" i="41"/>
  <c r="R8" i="41"/>
  <c r="Q7" i="41"/>
  <c r="O7" i="41"/>
  <c r="H29" i="43"/>
  <c r="V11" i="41"/>
  <c r="H19" i="41"/>
  <c r="H43" i="41" s="1"/>
  <c r="F43" i="41"/>
  <c r="H4" i="60" l="1"/>
  <c r="J43" i="41"/>
  <c r="M21" i="41" s="1"/>
  <c r="S8" i="41"/>
  <c r="V7" i="41"/>
  <c r="Q8" i="41"/>
  <c r="H25" i="43"/>
  <c r="H5" i="60" s="1"/>
  <c r="O10" i="41"/>
  <c r="Q10" i="41"/>
  <c r="R11" i="41"/>
  <c r="M13" i="41"/>
  <c r="J49" i="41" l="1"/>
  <c r="J55" i="41" s="1"/>
  <c r="V10" i="41"/>
  <c r="Q11" i="41"/>
  <c r="Q12" i="41" s="1"/>
  <c r="Q9" i="41"/>
  <c r="S9" i="41"/>
  <c r="M16" i="41"/>
  <c r="O13" i="41"/>
  <c r="R14" i="41"/>
  <c r="U13" i="41"/>
  <c r="H35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1" i="43"/>
  <c r="H9" i="43" s="1"/>
  <c r="U22" i="41"/>
  <c r="D12" i="69" l="1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30" i="43"/>
  <c r="D16" i="69" l="1"/>
  <c r="H7" i="60"/>
  <c r="H13" i="60"/>
  <c r="H68" i="60" s="1"/>
  <c r="H74" i="60" s="1"/>
  <c r="M10" i="60"/>
  <c r="E10" i="60"/>
  <c r="E69" i="60" s="1"/>
  <c r="E75" i="60" s="1"/>
  <c r="G10" i="60"/>
  <c r="G69" i="60" s="1"/>
  <c r="G75" i="60" s="1"/>
  <c r="O10" i="60"/>
  <c r="N10" i="60"/>
  <c r="F10" i="60"/>
  <c r="F69" i="60" s="1"/>
  <c r="F75" i="60" s="1"/>
  <c r="L10" i="60"/>
  <c r="D10" i="60"/>
  <c r="D69" i="60" s="1"/>
  <c r="D75" i="60" s="1"/>
  <c r="D20" i="90"/>
  <c r="D16" i="90"/>
  <c r="D21" i="69"/>
  <c r="D25" i="69"/>
  <c r="H6" i="60"/>
  <c r="P4" i="60"/>
  <c r="H40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J96" i="69"/>
  <c r="L96" i="69" s="1"/>
  <c r="J81" i="69"/>
  <c r="L81" i="69" s="1"/>
  <c r="J52" i="69"/>
  <c r="J95" i="69"/>
  <c r="L95" i="69" s="1"/>
  <c r="J80" i="69"/>
  <c r="L80" i="69" s="1"/>
  <c r="J45" i="69"/>
  <c r="J94" i="69"/>
  <c r="J78" i="69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78" i="69"/>
  <c r="L54" i="69"/>
  <c r="L52" i="69"/>
  <c r="L45" i="69"/>
  <c r="L58" i="69"/>
  <c r="L39" i="69"/>
  <c r="L42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J42" i="90"/>
  <c r="L42" i="90" s="1"/>
  <c r="J84" i="90"/>
  <c r="J56" i="90"/>
  <c r="J41" i="90"/>
  <c r="L41" i="90" s="1"/>
  <c r="J83" i="90"/>
  <c r="L83" i="90" s="1"/>
  <c r="J55" i="90"/>
  <c r="J39" i="90"/>
  <c r="J82" i="90"/>
  <c r="J54" i="90"/>
  <c r="L54" i="90" s="1"/>
  <c r="J96" i="90"/>
  <c r="J81" i="90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L57" i="90"/>
  <c r="J68" i="90"/>
  <c r="L68" i="90" s="1"/>
  <c r="L81" i="90"/>
  <c r="L45" i="90"/>
  <c r="L78" i="90"/>
  <c r="L39" i="90"/>
  <c r="L91" i="90"/>
  <c r="J70" i="90"/>
  <c r="L70" i="90" s="1"/>
  <c r="L56" i="90"/>
  <c r="J65" i="90"/>
  <c r="L65" i="90" s="1"/>
  <c r="J71" i="90"/>
  <c r="L71" i="90" s="1"/>
  <c r="L95" i="90"/>
  <c r="L82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8" i="43"/>
  <c r="H49" i="43"/>
  <c r="H48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H57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47" i="43"/>
  <c r="H62" i="43" s="1"/>
  <c r="P9" i="60"/>
  <c r="H63" i="43" l="1"/>
  <c r="W34" i="90"/>
  <c r="W33" i="90" s="1"/>
  <c r="W12" i="90" s="1"/>
  <c r="W8" i="90" s="1"/>
  <c r="Y12" i="90"/>
  <c r="H9" i="60"/>
  <c r="H64" i="43" l="1"/>
  <c r="H65" i="43"/>
  <c r="H10" i="60" l="1"/>
  <c r="H69" i="60" s="1"/>
  <c r="H75" i="60" s="1"/>
  <c r="H10" i="43"/>
  <c r="P10" i="60"/>
  <c r="P11" i="60"/>
  <c r="H11" i="60"/>
  <c r="H70" i="60" s="1"/>
  <c r="H76" i="60" s="1"/>
</calcChain>
</file>

<file path=xl/sharedStrings.xml><?xml version="1.0" encoding="utf-8"?>
<sst xmlns="http://schemas.openxmlformats.org/spreadsheetml/2006/main" count="7138" uniqueCount="645">
  <si>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</si>
  <si>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</si>
  <si>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</si>
  <si>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</si>
  <si>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</si>
  <si>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</si>
  <si>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</si>
  <si>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</si>
  <si>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</si>
  <si>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</si>
  <si>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</si>
  <si>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</si>
  <si>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</si>
  <si>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</si>
  <si>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</si>
  <si>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</si>
  <si>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</si>
  <si>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</si>
  <si>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</si>
  <si>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</si>
  <si>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</si>
  <si>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</si>
  <si>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</si>
  <si>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</si>
  <si>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</si>
  <si>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</si>
  <si>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</si>
  <si>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</si>
  <si>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</si>
  <si>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</si>
  <si>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</si>
  <si>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</si>
  <si>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</si>
  <si>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</si>
  <si>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</si>
  <si>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</si>
  <si>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</si>
  <si>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</si>
  <si>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</si>
  <si>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</si>
  <si>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</si>
  <si>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</si>
  <si>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</si>
  <si>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</si>
  <si>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</si>
  <si>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</si>
  <si>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</si>
  <si>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</si>
  <si>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</si>
  <si>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</si>
  <si>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</si>
  <si>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</si>
  <si>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</si>
  <si>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</si>
  <si>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</si>
  <si>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</si>
  <si>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</si>
  <si>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</si>
  <si>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</si>
  <si>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</si>
  <si>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</si>
  <si>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</si>
  <si>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</si>
  <si>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</si>
  <si>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</si>
  <si>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</si>
  <si>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</si>
  <si>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</si>
  <si>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</si>
  <si>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</si>
  <si>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</si>
  <si>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</si>
  <si>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</si>
  <si>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</si>
  <si>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</si>
  <si>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</si>
  <si>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</si>
  <si>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</si>
  <si>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</si>
  <si>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</si>
  <si>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</si>
  <si>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</si>
  <si>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</si>
  <si>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</si>
  <si>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</si>
  <si>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</si>
  <si>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</si>
  <si>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</si>
  <si>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</si>
  <si>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</si>
  <si>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</si>
  <si>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</si>
  <si>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</si>
  <si>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</si>
  <si>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</si>
  <si>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</si>
  <si>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</si>
  <si>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</si>
  <si>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</si>
  <si>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</si>
  <si>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</si>
  <si>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</si>
  <si>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</si>
  <si>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</si>
  <si>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</si>
  <si>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</si>
  <si>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</si>
  <si>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</si>
  <si>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</si>
  <si>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</si>
  <si>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</si>
  <si>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</si>
  <si>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</si>
  <si>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</si>
  <si>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</si>
  <si>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</si>
  <si>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</si>
  <si>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</si>
  <si>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</si>
  <si>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</si>
  <si>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</si>
  <si>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</si>
  <si>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</si>
  <si>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</si>
  <si>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</si>
  <si>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</si>
  <si>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</si>
  <si>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</si>
  <si>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</si>
  <si>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</si>
  <si>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</si>
  <si>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</si>
  <si>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</si>
  <si>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</si>
  <si>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</si>
  <si>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</si>
  <si>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</si>
  <si>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</si>
  <si>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</si>
  <si>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</si>
  <si>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</si>
  <si>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</si>
  <si>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</si>
  <si>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</si>
  <si>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</si>
  <si>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</si>
  <si>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</si>
  <si>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</si>
  <si>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</si>
  <si>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</si>
  <si>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</si>
  <si>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</si>
  <si>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</si>
  <si>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</si>
  <si>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</si>
  <si>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</si>
  <si>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</si>
  <si>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</si>
  <si>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</si>
  <si>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</si>
  <si>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</si>
  <si>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</si>
  <si>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</si>
  <si>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</si>
  <si>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</si>
  <si>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</si>
  <si>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</si>
  <si>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</si>
  <si>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</si>
  <si>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</si>
  <si>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</si>
  <si>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</si>
  <si>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</si>
  <si>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</si>
  <si>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</si>
  <si>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</si>
  <si>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</si>
  <si>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</si>
  <si>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</si>
  <si>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</si>
  <si>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</si>
  <si>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</si>
  <si>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</si>
  <si>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</si>
  <si>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</si>
  <si>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</si>
  <si>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</si>
  <si>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</si>
  <si>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</si>
  <si>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</si>
  <si>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</si>
  <si>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</si>
  <si>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</si>
  <si>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</si>
  <si>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</si>
  <si>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</si>
  <si>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</si>
  <si>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</si>
  <si>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</si>
  <si>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</si>
  <si>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</si>
  <si>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</si>
  <si>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</si>
  <si>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</si>
  <si>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</si>
  <si>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</si>
  <si>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</si>
  <si>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</si>
  <si>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</si>
  <si>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</si>
  <si>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</si>
  <si>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</si>
  <si>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</si>
  <si>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</si>
  <si>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</si>
  <si>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</si>
  <si>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</si>
  <si>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</si>
  <si>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</si>
  <si>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</si>
  <si>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</si>
  <si>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</si>
  <si>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</si>
  <si>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</si>
  <si>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</si>
  <si>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</si>
  <si>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</si>
  <si>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</si>
  <si>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</si>
  <si>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</si>
  <si>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</si>
  <si>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</si>
  <si>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</si>
  <si>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</si>
  <si>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</si>
  <si>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</si>
  <si>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</si>
  <si>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</si>
  <si>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</si>
  <si>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</si>
  <si>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</si>
  <si>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</si>
  <si>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</si>
  <si>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</si>
  <si>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</si>
  <si>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</si>
  <si>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</si>
  <si>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</si>
  <si>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</si>
  <si>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</si>
  <si>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</si>
  <si>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</si>
  <si>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</si>
  <si>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</si>
  <si>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</si>
  <si>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</si>
  <si>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</si>
  <si>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</si>
  <si>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</si>
  <si>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</si>
  <si>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</si>
  <si>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</si>
  <si>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</si>
  <si>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</si>
  <si>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</si>
  <si>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</si>
  <si>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</si>
  <si>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</si>
  <si>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</si>
  <si>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</si>
  <si>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</si>
  <si>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</si>
  <si>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</si>
  <si>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</si>
  <si>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</si>
  <si>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</si>
  <si>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</si>
  <si>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</si>
  <si>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</si>
  <si>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</si>
  <si>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</si>
  <si>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</si>
  <si>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</si>
  <si>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</si>
  <si>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</si>
  <si>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</si>
  <si>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</si>
  <si>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</si>
  <si>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</si>
  <si>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</si>
  <si>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</si>
  <si>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</si>
  <si>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</si>
  <si>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</si>
  <si>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</si>
  <si>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</si>
  <si>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</si>
  <si>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</si>
  <si>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</si>
  <si>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</si>
  <si>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</si>
  <si>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</si>
  <si>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</si>
  <si>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</si>
  <si>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</si>
  <si>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</si>
  <si>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</si>
  <si>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</si>
  <si>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</si>
  <si>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</si>
  <si>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</si>
  <si>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</si>
  <si>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</si>
  <si>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</si>
  <si>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</si>
  <si>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</si>
  <si>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</si>
  <si>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</si>
  <si>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</si>
  <si>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</si>
  <si>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</si>
  <si>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</si>
  <si>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</si>
  <si>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</si>
  <si>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</si>
  <si>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</si>
  <si>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</si>
  <si>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</si>
  <si>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</si>
  <si>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</si>
  <si>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</si>
  <si>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</si>
  <si>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</si>
  <si>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</si>
  <si>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</si>
  <si>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</si>
  <si>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</si>
  <si>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</si>
  <si>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</si>
  <si>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</si>
  <si>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</si>
  <si>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</si>
  <si>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</si>
  <si>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</si>
  <si>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</si>
  <si>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</si>
  <si>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</si>
  <si>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</si>
  <si>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</si>
  <si>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</si>
  <si>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</si>
  <si>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</si>
  <si>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</si>
  <si>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</si>
  <si>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</si>
  <si>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</si>
  <si>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</si>
  <si>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</si>
  <si>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</si>
  <si>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</si>
  <si>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</si>
  <si>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</si>
  <si>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</si>
  <si>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</si>
  <si>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</si>
  <si>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</si>
  <si>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</si>
  <si>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</si>
  <si>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</si>
  <si>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</si>
  <si>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</si>
  <si>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</si>
  <si>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</si>
  <si>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</si>
  <si>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</si>
  <si>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</si>
  <si>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</si>
  <si>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</si>
  <si>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</si>
  <si>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</si>
  <si>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</si>
  <si>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</si>
  <si>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</si>
  <si>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</si>
  <si>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</si>
  <si>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</si>
  <si>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</si>
  <si>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</si>
  <si>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</si>
  <si>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</si>
  <si>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</si>
  <si>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</si>
  <si>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</si>
  <si>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</si>
  <si>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</si>
  <si>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</si>
  <si>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</si>
  <si>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</si>
  <si>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</si>
  <si>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</si>
  <si>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</si>
  <si>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</si>
  <si>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</si>
  <si>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</si>
  <si>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</si>
  <si>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</si>
  <si>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</si>
  <si>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</si>
  <si>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</si>
  <si>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</si>
  <si>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</si>
  <si>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</si>
  <si>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</si>
  <si>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</si>
  <si>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</si>
  <si>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</si>
  <si>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</si>
  <si>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</si>
  <si>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</si>
  <si>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</si>
  <si>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</si>
  <si>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</si>
  <si>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</si>
  <si>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</si>
  <si>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</si>
  <si>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</si>
  <si>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</si>
  <si>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</si>
  <si>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</si>
  <si>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</si>
  <si>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</si>
  <si>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</si>
  <si>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</si>
  <si>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</si>
  <si>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</si>
  <si>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</si>
  <si>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</si>
  <si>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</si>
  <si>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</si>
  <si>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</si>
  <si>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</si>
  <si>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</si>
  <si>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</si>
  <si>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</si>
  <si>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</si>
  <si>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</si>
  <si>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</si>
  <si>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</si>
  <si>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</si>
  <si>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</si>
  <si>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</si>
  <si>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</si>
  <si>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</si>
  <si>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</si>
  <si>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</si>
  <si>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</si>
  <si>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</si>
  <si>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</si>
  <si>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</si>
  <si>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</si>
  <si>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</si>
  <si>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</si>
  <si>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</si>
  <si>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</si>
  <si>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</si>
  <si>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</si>
  <si>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</si>
  <si>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</si>
  <si>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</si>
  <si>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</si>
  <si>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</si>
  <si>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</si>
  <si>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</si>
  <si>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</si>
  <si>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</si>
  <si>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</si>
  <si>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</si>
  <si>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</si>
  <si>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</si>
  <si>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</si>
  <si>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</si>
  <si>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</si>
  <si>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</si>
  <si>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</si>
  <si>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</si>
  <si>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</si>
  <si>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</si>
  <si>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</si>
  <si>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</si>
  <si>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</si>
  <si>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</si>
  <si>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</si>
  <si>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</si>
  <si>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</si>
  <si>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</si>
  <si>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</si>
  <si>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</si>
  <si>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</si>
  <si>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</si>
  <si>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</si>
  <si>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</si>
  <si>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</si>
  <si>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</si>
  <si>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</si>
  <si>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</si>
  <si>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</si>
  <si>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</si>
  <si>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</si>
  <si>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</si>
  <si>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</si>
  <si>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</si>
  <si>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</si>
  <si>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</si>
  <si>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</si>
  <si>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</si>
  <si>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</si>
  <si>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</si>
  <si>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</si>
  <si>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</si>
  <si>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</si>
  <si>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</si>
  <si>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</si>
  <si>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</si>
  <si>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</si>
  <si>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</si>
  <si>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</si>
  <si>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</si>
  <si>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</si>
  <si>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</si>
  <si>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</si>
  <si>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</si>
  <si>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</si>
  <si>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</si>
  <si>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</si>
  <si>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</si>
  <si>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</si>
  <si>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</si>
  <si>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</si>
  <si>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</si>
  <si>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</si>
  <si>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</si>
  <si>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</si>
  <si>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</si>
  <si>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</si>
  <si>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</si>
  <si>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</si>
  <si>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</si>
  <si>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</si>
  <si>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</si>
  <si>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</si>
  <si>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</si>
  <si>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</si>
  <si>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</si>
  <si>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</si>
  <si>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</si>
  <si>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</si>
  <si>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</si>
  <si>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</si>
  <si>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</si>
  <si>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</si>
  <si>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</si>
  <si>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</si>
  <si>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</si>
  <si>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</si>
  <si>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</si>
  <si>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</si>
  <si>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</si>
  <si>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</si>
  <si>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</si>
  <si>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</si>
  <si>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</si>
  <si>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</si>
  <si>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</si>
  <si>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</si>
  <si>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</si>
  <si>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</si>
  <si>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</si>
  <si>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</si>
  <si>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</si>
  <si>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</si>
  <si>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</si>
  <si>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</si>
  <si>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</si>
  <si>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</si>
  <si>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</si>
  <si>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</si>
  <si>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</si>
  <si>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</si>
  <si>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</si>
  <si>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</si>
  <si>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</si>
  <si>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</si>
  <si>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</si>
  <si>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</si>
  <si>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</si>
  <si>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</si>
  <si>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</si>
  <si>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</si>
  <si>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</si>
  <si>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</si>
  <si>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</si>
  <si>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</si>
  <si>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</si>
  <si>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</si>
  <si>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</si>
  <si>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</si>
  <si>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</si>
  <si>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</si>
  <si>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</si>
  <si>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</si>
  <si>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</si>
  <si>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</si>
  <si>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</si>
  <si>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</si>
  <si>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</si>
  <si>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</si>
  <si>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i/>
        <u/>
        <sz val="16"/>
        <color theme="1"/>
        <rFont val="Calibri"/>
        <family val="2"/>
      </rPr>
      <t>CENÁRIO</t>
    </r>
    <r>
      <rPr>
        <b/>
        <sz val="16"/>
        <color theme="1"/>
        <rFont val="Calibri"/>
        <family val="2"/>
      </rPr>
      <t xml:space="preserve"> Nova Rota Tecnológica
DADOS MODELO SIMPLIFICADO SIMULAÇÃO</t>
    </r>
  </si>
  <si>
    <r>
      <rPr>
        <b/>
        <i/>
        <u/>
        <sz val="11"/>
        <color theme="0"/>
        <rFont val="Calibri"/>
        <family val="2"/>
      </rPr>
      <t>Ecoparque BIODIGESTÃO</t>
    </r>
    <r>
      <rPr>
        <sz val="11"/>
        <color theme="0"/>
        <rFont val="Calibri"/>
        <family val="2"/>
      </rPr>
      <t>: Materiais Reciclávevis, Energia Elétrica, Biometano/BioCombustível, CDR e Composto Orgânico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</si>
  <si>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/t</t>
    </r>
    <r>
      <rPr>
        <sz val="11"/>
        <color theme="1"/>
        <rFont val="Calibri"/>
        <family val="2"/>
        <scheme val="minor"/>
      </rPr>
      <t xml:space="preserve"> FORSU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</si>
  <si>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/d | base 52*12=312 dias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</si>
  <si>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/a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</si>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</sst>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"/>
    <numFmt numFmtId="165" formatCode="0.0%"/>
    <numFmt numFmtId="166" formatCode="0.000"/>
    <numFmt numFmtId="167" formatCode="#,##0.0"/>
    <numFmt numFmtId="168" formatCode="#,##0.000"/>
    <numFmt numFmtId="169" formatCode="#,##0.00000_ ;[Red]\-#,##0.00000\ "/>
    <numFmt numFmtId="170" formatCode="#,##0.000000"/>
    <numFmt numFmtId="171" formatCode="0_ ;[Red]\-0\ "/>
    <numFmt numFmtId="172" formatCode="_(* #,##0.00_);_(* \(#,##0.00\);_(* &quot;-&quot;??_);_(@_)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2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i/>
      <u/>
      <sz val="16"/>
      <color theme="1"/>
      <name val="Calibri"/>
      <family val="2"/>
    </font>
    <font>
      <b/>
      <i/>
      <u/>
      <sz val="11"/>
      <color theme="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1374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5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5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7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8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8" fontId="24" fillId="0" borderId="0" xfId="6" applyNumberFormat="1" applyFont="1" applyAlignment="1">
      <alignment horizontal="center" vertical="center"/>
    </xf>
    <xf numFmtId="168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0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7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7" fontId="3" fillId="7" borderId="76" xfId="6" applyNumberFormat="1" applyFill="1" applyBorder="1" applyAlignment="1">
      <alignment horizontal="center"/>
    </xf>
    <xf numFmtId="167" fontId="10" fillId="0" borderId="72" xfId="6" applyNumberFormat="1" applyFont="1" applyBorder="1" applyAlignment="1">
      <alignment horizontal="center" vertical="center"/>
    </xf>
    <xf numFmtId="168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7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8" fontId="3" fillId="10" borderId="73" xfId="6" applyNumberFormat="1" applyFill="1" applyBorder="1" applyAlignment="1">
      <alignment horizontal="center" vertical="center"/>
    </xf>
    <xf numFmtId="167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7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8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8" fontId="27" fillId="0" borderId="28" xfId="0" applyNumberFormat="1" applyFont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8" fontId="27" fillId="4" borderId="28" xfId="0" applyNumberFormat="1" applyFont="1" applyFill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8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8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8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8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8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5" fontId="41" fillId="13" borderId="7" xfId="2" applyNumberFormat="1" applyFont="1" applyFill="1" applyBorder="1" applyAlignment="1">
      <alignment horizontal="center" vertical="center"/>
    </xf>
    <xf numFmtId="168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1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1" fontId="24" fillId="0" borderId="0" xfId="0" applyNumberFormat="1" applyFont="1"/>
    <xf numFmtId="171" fontId="25" fillId="0" borderId="125" xfId="10" applyNumberFormat="1" applyFont="1" applyBorder="1" applyAlignment="1">
      <alignment horizontal="center" vertical="center"/>
    </xf>
    <xf numFmtId="171" fontId="25" fillId="0" borderId="126" xfId="10" applyNumberFormat="1" applyFont="1" applyBorder="1" applyAlignment="1">
      <alignment horizontal="center" vertical="center"/>
    </xf>
    <xf numFmtId="171" fontId="54" fillId="0" borderId="126" xfId="10" applyNumberFormat="1" applyFont="1" applyBorder="1" applyAlignment="1">
      <alignment horizontal="center" vertical="center"/>
    </xf>
    <xf numFmtId="171" fontId="54" fillId="0" borderId="127" xfId="10" applyNumberFormat="1" applyFont="1" applyBorder="1" applyAlignment="1">
      <alignment horizontal="center" vertical="center"/>
    </xf>
    <xf numFmtId="171" fontId="22" fillId="0" borderId="128" xfId="10" applyNumberFormat="1" applyFont="1" applyBorder="1" applyAlignment="1">
      <alignment horizontal="center" vertical="center"/>
    </xf>
    <xf numFmtId="171" fontId="22" fillId="0" borderId="117" xfId="10" applyNumberFormat="1" applyFont="1" applyBorder="1" applyAlignment="1">
      <alignment horizontal="center" vertical="center"/>
    </xf>
    <xf numFmtId="171" fontId="24" fillId="0" borderId="117" xfId="10" applyNumberFormat="1" applyFont="1" applyBorder="1" applyAlignment="1">
      <alignment horizontal="center" vertical="center"/>
    </xf>
    <xf numFmtId="171" fontId="24" fillId="0" borderId="129" xfId="10" applyNumberFormat="1" applyFont="1" applyBorder="1" applyAlignment="1">
      <alignment horizontal="center" vertical="center"/>
    </xf>
    <xf numFmtId="171" fontId="25" fillId="0" borderId="128" xfId="10" applyNumberFormat="1" applyFont="1" applyBorder="1" applyAlignment="1">
      <alignment horizontal="center" vertical="center"/>
    </xf>
    <xf numFmtId="171" fontId="25" fillId="0" borderId="117" xfId="10" applyNumberFormat="1" applyFont="1" applyBorder="1" applyAlignment="1">
      <alignment horizontal="center" vertical="center"/>
    </xf>
    <xf numFmtId="171" fontId="54" fillId="0" borderId="117" xfId="10" applyNumberFormat="1" applyFont="1" applyBorder="1" applyAlignment="1">
      <alignment horizontal="center" vertical="center"/>
    </xf>
    <xf numFmtId="171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1" fontId="25" fillId="0" borderId="131" xfId="10" applyNumberFormat="1" applyFont="1" applyBorder="1" applyAlignment="1">
      <alignment horizontal="center" vertical="center"/>
    </xf>
    <xf numFmtId="171" fontId="25" fillId="0" borderId="132" xfId="10" applyNumberFormat="1" applyFont="1" applyBorder="1" applyAlignment="1">
      <alignment horizontal="center" vertical="center"/>
    </xf>
    <xf numFmtId="171" fontId="54" fillId="0" borderId="132" xfId="10" applyNumberFormat="1" applyFont="1" applyBorder="1" applyAlignment="1">
      <alignment horizontal="center" vertical="center"/>
    </xf>
    <xf numFmtId="171" fontId="54" fillId="0" borderId="130" xfId="10" applyNumberFormat="1" applyFont="1" applyBorder="1" applyAlignment="1">
      <alignment horizontal="center" vertical="center"/>
    </xf>
    <xf numFmtId="171" fontId="14" fillId="6" borderId="127" xfId="0" applyNumberFormat="1" applyFont="1" applyFill="1" applyBorder="1" applyAlignment="1">
      <alignment horizontal="center" vertical="center"/>
    </xf>
    <xf numFmtId="171" fontId="24" fillId="0" borderId="129" xfId="9" applyNumberFormat="1" applyFont="1" applyBorder="1" applyAlignment="1">
      <alignment horizontal="center" vertical="center"/>
    </xf>
    <xf numFmtId="171" fontId="14" fillId="6" borderId="129" xfId="9" applyNumberFormat="1" applyFont="1" applyFill="1" applyBorder="1" applyAlignment="1">
      <alignment horizontal="center" vertical="center"/>
    </xf>
    <xf numFmtId="171" fontId="14" fillId="6" borderId="129" xfId="0" applyNumberFormat="1" applyFont="1" applyFill="1" applyBorder="1" applyAlignment="1">
      <alignment horizontal="center" vertical="center"/>
    </xf>
    <xf numFmtId="171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5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5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7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8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6" fontId="0" fillId="0" borderId="135" xfId="0" applyNumberFormat="1" applyBorder="1" applyAlignment="1">
      <alignment horizontal="center" vertical="center"/>
    </xf>
    <xf numFmtId="167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8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9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51" xfId="4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4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4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3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1" fontId="62" fillId="6" borderId="148" xfId="0" applyNumberFormat="1" applyFont="1" applyFill="1" applyBorder="1" applyAlignment="1">
      <alignment horizontal="center" vertical="center"/>
    </xf>
    <xf numFmtId="1" fontId="62" fillId="6" borderId="150" xfId="0" applyNumberFormat="1" applyFont="1" applyFill="1" applyBorder="1" applyAlignment="1">
      <alignment horizontal="center" vertical="center"/>
    </xf>
    <xf numFmtId="1" fontId="62" fillId="6" borderId="15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8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8" xfId="0" applyBorder="1"/>
    <xf numFmtId="0" fontId="0" fillId="0" borderId="157" xfId="0" applyBorder="1"/>
    <xf numFmtId="0" fontId="11" fillId="0" borderId="113" xfId="6" applyFont="1" applyBorder="1"/>
    <xf numFmtId="0" fontId="3" fillId="0" borderId="113" xfId="6" applyBorder="1"/>
    <xf numFmtId="168" fontId="59" fillId="0" borderId="113" xfId="0" applyNumberFormat="1" applyFont="1" applyBorder="1" applyAlignment="1" applyProtection="1">
      <alignment horizontal="center" vertical="center"/>
      <protection locked="0"/>
    </xf>
    <xf numFmtId="168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5" xfId="6" applyBorder="1"/>
    <xf numFmtId="0" fontId="3" fillId="0" borderId="167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8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6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70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3" xfId="0" applyFont="1" applyFill="1" applyBorder="1" applyAlignment="1">
      <alignment horizontal="left" vertical="center"/>
    </xf>
    <xf numFmtId="3" fontId="24" fillId="0" borderId="174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5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4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6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7" xfId="0" applyBorder="1"/>
    <xf numFmtId="0" fontId="0" fillId="0" borderId="13" xfId="0" applyBorder="1"/>
    <xf numFmtId="0" fontId="45" fillId="0" borderId="159" xfId="6" applyFont="1" applyBorder="1"/>
    <xf numFmtId="0" fontId="85" fillId="0" borderId="162" xfId="0" applyFont="1" applyBorder="1" applyAlignment="1">
      <alignment horizontal="left" vertical="center"/>
    </xf>
    <xf numFmtId="0" fontId="47" fillId="0" borderId="159" xfId="0" applyFont="1" applyBorder="1"/>
    <xf numFmtId="0" fontId="47" fillId="0" borderId="51" xfId="6" applyFont="1" applyBorder="1"/>
    <xf numFmtId="0" fontId="47" fillId="0" borderId="157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166" fontId="86" fillId="0" borderId="179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8" fontId="47" fillId="0" borderId="178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6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80" xfId="4" applyFont="1" applyBorder="1" applyAlignment="1">
      <alignment horizontal="center" vertical="center"/>
    </xf>
    <xf numFmtId="0" fontId="47" fillId="0" borderId="181" xfId="6" applyFont="1" applyBorder="1"/>
    <xf numFmtId="0" fontId="47" fillId="0" borderId="159" xfId="0" applyFont="1" applyBorder="1" applyAlignment="1">
      <alignment horizontal="right"/>
    </xf>
    <xf numFmtId="4" fontId="47" fillId="0" borderId="161" xfId="4" applyNumberFormat="1" applyFont="1" applyBorder="1" applyAlignment="1">
      <alignment horizontal="center" vertical="center"/>
    </xf>
    <xf numFmtId="166" fontId="86" fillId="0" borderId="163" xfId="0" applyNumberFormat="1" applyFont="1" applyBorder="1" applyAlignment="1">
      <alignment vertical="center"/>
    </xf>
    <xf numFmtId="166" fontId="86" fillId="0" borderId="52" xfId="0" applyNumberFormat="1" applyFont="1" applyBorder="1" applyAlignment="1">
      <alignment vertical="center"/>
    </xf>
    <xf numFmtId="166" fontId="24" fillId="0" borderId="47" xfId="0" applyNumberFormat="1" applyFont="1" applyFill="1" applyBorder="1" applyAlignment="1">
      <alignment horizontal="center" vertical="center"/>
    </xf>
    <xf numFmtId="166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2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3" xfId="0" applyBorder="1" applyAlignment="1">
      <alignment horizontal="right" vertical="center"/>
    </xf>
    <xf numFmtId="0" fontId="24" fillId="0" borderId="182" xfId="0" applyFont="1" applyBorder="1" applyAlignment="1">
      <alignment horizontal="right" vertical="center"/>
    </xf>
    <xf numFmtId="0" fontId="0" fillId="0" borderId="162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4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5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8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4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7" fontId="24" fillId="0" borderId="168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6" fontId="0" fillId="0" borderId="168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6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6" fontId="10" fillId="0" borderId="47" xfId="0" applyNumberFormat="1" applyFont="1" applyBorder="1" applyAlignment="1">
      <alignment horizontal="center" vertical="center"/>
    </xf>
    <xf numFmtId="164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8" xfId="0" applyFont="1" applyBorder="1" applyAlignment="1">
      <alignment horizontal="left" vertical="center"/>
    </xf>
    <xf numFmtId="0" fontId="89" fillId="0" borderId="169" xfId="0" applyFont="1" applyFill="1" applyBorder="1" applyAlignment="1">
      <alignment horizontal="right" vertical="center"/>
    </xf>
    <xf numFmtId="1" fontId="22" fillId="0" borderId="175" xfId="0" applyNumberFormat="1" applyFont="1" applyFill="1" applyBorder="1" applyAlignment="1">
      <alignment horizontal="center" vertical="center"/>
    </xf>
    <xf numFmtId="0" fontId="22" fillId="0" borderId="172" xfId="0" applyFont="1" applyFill="1" applyBorder="1" applyAlignment="1">
      <alignment horizontal="left" vertical="center"/>
    </xf>
    <xf numFmtId="2" fontId="22" fillId="0" borderId="186" xfId="6" applyNumberFormat="1" applyFont="1" applyBorder="1" applyAlignment="1">
      <alignment horizontal="center"/>
    </xf>
    <xf numFmtId="0" fontId="22" fillId="0" borderId="187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9" xfId="6" applyNumberFormat="1" applyFont="1" applyBorder="1" applyAlignment="1">
      <alignment horizontal="center"/>
    </xf>
    <xf numFmtId="0" fontId="22" fillId="0" borderId="190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4" fontId="0" fillId="0" borderId="21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4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91" xfId="0" applyNumberFormat="1" applyFont="1" applyBorder="1" applyAlignment="1" applyProtection="1">
      <alignment horizontal="center" vertical="center"/>
      <protection locked="0"/>
    </xf>
    <xf numFmtId="3" fontId="10" fillId="0" borderId="166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2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59" xfId="0" applyFont="1" applyBorder="1" applyAlignment="1">
      <alignment horizontal="right" vertical="center"/>
    </xf>
    <xf numFmtId="0" fontId="47" fillId="0" borderId="164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4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7" xfId="6" applyNumberFormat="1" applyFont="1" applyFill="1" applyBorder="1" applyAlignment="1">
      <alignment horizontal="center"/>
    </xf>
    <xf numFmtId="0" fontId="3" fillId="0" borderId="198" xfId="6" applyBorder="1"/>
    <xf numFmtId="0" fontId="3" fillId="0" borderId="199" xfId="6" applyBorder="1"/>
    <xf numFmtId="164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200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6" fontId="86" fillId="0" borderId="181" xfId="0" applyNumberFormat="1" applyFont="1" applyBorder="1" applyAlignment="1">
      <alignment vertical="center"/>
    </xf>
    <xf numFmtId="165" fontId="24" fillId="0" borderId="47" xfId="4" applyNumberFormat="1" applyFont="1" applyFill="1" applyBorder="1" applyAlignment="1">
      <alignment horizontal="center" vertical="center"/>
    </xf>
    <xf numFmtId="165" fontId="47" fillId="0" borderId="178" xfId="4" applyNumberFormat="1" applyFont="1" applyBorder="1" applyAlignment="1">
      <alignment horizontal="center" vertical="center"/>
    </xf>
    <xf numFmtId="165" fontId="47" fillId="0" borderId="37" xfId="4" applyNumberFormat="1" applyFont="1" applyBorder="1" applyAlignment="1">
      <alignment horizontal="center" vertical="center"/>
    </xf>
    <xf numFmtId="166" fontId="0" fillId="0" borderId="184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201" xfId="0" applyBorder="1" applyAlignment="1">
      <alignment horizontal="right" vertical="center"/>
    </xf>
    <xf numFmtId="0" fontId="0" fillId="0" borderId="168" xfId="0" applyBorder="1" applyAlignment="1">
      <alignment horizontal="right" vertical="center"/>
    </xf>
    <xf numFmtId="0" fontId="0" fillId="0" borderId="22" xfId="0" applyBorder="1"/>
    <xf numFmtId="0" fontId="0" fillId="0" borderId="202" xfId="0" applyBorder="1"/>
    <xf numFmtId="0" fontId="47" fillId="0" borderId="164" xfId="6" applyFont="1" applyBorder="1"/>
    <xf numFmtId="0" fontId="47" fillId="0" borderId="164" xfId="0" applyFont="1" applyBorder="1" applyAlignment="1">
      <alignment vertical="center"/>
    </xf>
    <xf numFmtId="0" fontId="47" fillId="0" borderId="164" xfId="0" applyFont="1" applyBorder="1"/>
    <xf numFmtId="0" fontId="47" fillId="0" borderId="203" xfId="0" applyFont="1" applyBorder="1" applyAlignment="1">
      <alignment horizontal="right"/>
    </xf>
    <xf numFmtId="165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8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5" xfId="5" applyFont="1" applyFill="1" applyBorder="1" applyAlignment="1">
      <alignment horizontal="left" vertical="center"/>
    </xf>
    <xf numFmtId="0" fontId="105" fillId="22" borderId="206" xfId="5" applyFont="1" applyFill="1" applyBorder="1" applyAlignment="1">
      <alignment horizontal="center" vertical="center"/>
    </xf>
    <xf numFmtId="166" fontId="105" fillId="22" borderId="207" xfId="5" applyNumberFormat="1" applyFont="1" applyFill="1" applyBorder="1" applyAlignment="1">
      <alignment horizontal="center" vertical="center"/>
    </xf>
    <xf numFmtId="0" fontId="105" fillId="22" borderId="205" xfId="5" applyFont="1" applyFill="1" applyBorder="1" applyAlignment="1">
      <alignment horizontal="center" vertical="center"/>
    </xf>
    <xf numFmtId="0" fontId="25" fillId="0" borderId="209" xfId="5" applyFont="1" applyBorder="1" applyAlignment="1">
      <alignment vertical="center"/>
    </xf>
    <xf numFmtId="0" fontId="42" fillId="0" borderId="210" xfId="5" applyFont="1" applyBorder="1" applyAlignment="1">
      <alignment horizontal="center" vertical="center"/>
    </xf>
    <xf numFmtId="166" fontId="42" fillId="0" borderId="211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9" xfId="5" applyFont="1" applyBorder="1" applyAlignment="1">
      <alignment vertical="center"/>
    </xf>
    <xf numFmtId="3" fontId="42" fillId="0" borderId="210" xfId="5" applyNumberFormat="1" applyFont="1" applyBorder="1" applyAlignment="1">
      <alignment horizontal="center" vertical="center"/>
    </xf>
    <xf numFmtId="10" fontId="109" fillId="0" borderId="211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10" xfId="5" applyFont="1" applyBorder="1" applyAlignment="1">
      <alignment horizontal="center" vertical="center"/>
    </xf>
    <xf numFmtId="3" fontId="109" fillId="0" borderId="211" xfId="5" applyNumberFormat="1" applyFont="1" applyBorder="1" applyAlignment="1">
      <alignment horizontal="center" vertical="center"/>
    </xf>
    <xf numFmtId="165" fontId="101" fillId="2" borderId="213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10" xfId="5" applyNumberFormat="1" applyFont="1" applyFill="1" applyBorder="1" applyAlignment="1" applyProtection="1">
      <alignment horizontal="center" vertical="center"/>
      <protection locked="0"/>
    </xf>
    <xf numFmtId="165" fontId="108" fillId="0" borderId="212" xfId="5" applyNumberFormat="1" applyFont="1" applyBorder="1" applyAlignment="1">
      <alignment horizontal="center" vertical="center" wrapText="1"/>
    </xf>
    <xf numFmtId="165" fontId="111" fillId="0" borderId="212" xfId="5" applyNumberFormat="1" applyFont="1" applyBorder="1" applyAlignment="1">
      <alignment horizontal="center" vertical="center" wrapText="1"/>
    </xf>
    <xf numFmtId="0" fontId="42" fillId="20" borderId="211" xfId="5" applyFont="1" applyFill="1" applyBorder="1" applyAlignment="1" applyProtection="1">
      <alignment horizontal="center" vertical="center"/>
      <protection locked="0"/>
    </xf>
    <xf numFmtId="3" fontId="113" fillId="22" borderId="210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9" xfId="5" applyFont="1" applyBorder="1" applyAlignment="1">
      <alignment vertical="center" wrapText="1"/>
    </xf>
    <xf numFmtId="3" fontId="108" fillId="0" borderId="210" xfId="5" applyNumberFormat="1" applyFont="1" applyBorder="1" applyAlignment="1">
      <alignment horizontal="center" vertical="center"/>
    </xf>
    <xf numFmtId="168" fontId="108" fillId="0" borderId="210" xfId="5" applyNumberFormat="1" applyFont="1" applyBorder="1" applyAlignment="1">
      <alignment horizontal="center" vertical="center"/>
    </xf>
    <xf numFmtId="165" fontId="108" fillId="0" borderId="210" xfId="2" applyNumberFormat="1" applyFont="1" applyFill="1" applyBorder="1" applyAlignment="1">
      <alignment horizontal="center" vertical="center"/>
    </xf>
    <xf numFmtId="0" fontId="109" fillId="0" borderId="210" xfId="5" applyFont="1" applyBorder="1" applyAlignment="1">
      <alignment horizontal="center" vertical="center" wrapText="1"/>
    </xf>
    <xf numFmtId="166" fontId="109" fillId="0" borderId="211" xfId="5" applyNumberFormat="1" applyFont="1" applyBorder="1" applyAlignment="1">
      <alignment horizontal="center" vertical="center"/>
    </xf>
    <xf numFmtId="0" fontId="42" fillId="0" borderId="214" xfId="5" applyFont="1" applyBorder="1" applyAlignment="1">
      <alignment horizontal="left" vertical="center"/>
    </xf>
    <xf numFmtId="3" fontId="42" fillId="0" borderId="216" xfId="5" applyNumberFormat="1" applyFont="1" applyBorder="1" applyAlignment="1">
      <alignment horizontal="center" vertical="center"/>
    </xf>
    <xf numFmtId="10" fontId="109" fillId="0" borderId="215" xfId="5" applyNumberFormat="1" applyFont="1" applyBorder="1" applyAlignment="1">
      <alignment horizontal="center" vertical="center"/>
    </xf>
    <xf numFmtId="3" fontId="108" fillId="22" borderId="210" xfId="5" applyNumberFormat="1" applyFont="1" applyFill="1" applyBorder="1" applyAlignment="1">
      <alignment horizontal="center" vertical="center"/>
    </xf>
    <xf numFmtId="0" fontId="109" fillId="0" borderId="214" xfId="5" applyFont="1" applyBorder="1" applyAlignment="1">
      <alignment vertical="center"/>
    </xf>
    <xf numFmtId="0" fontId="109" fillId="0" borderId="216" xfId="5" applyFont="1" applyBorder="1" applyAlignment="1">
      <alignment horizontal="center" vertical="center"/>
    </xf>
    <xf numFmtId="166" fontId="109" fillId="0" borderId="215" xfId="5" applyNumberFormat="1" applyFont="1" applyBorder="1" applyAlignment="1">
      <alignment horizontal="center" vertical="center"/>
    </xf>
    <xf numFmtId="165" fontId="111" fillId="0" borderId="210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5" xfId="5" applyFont="1" applyFill="1" applyBorder="1" applyAlignment="1">
      <alignment horizontal="left" vertical="center"/>
    </xf>
    <xf numFmtId="0" fontId="115" fillId="22" borderId="206" xfId="5" applyFont="1" applyFill="1" applyBorder="1" applyAlignment="1">
      <alignment horizontal="center" vertical="center"/>
    </xf>
    <xf numFmtId="166" fontId="115" fillId="22" borderId="207" xfId="5" applyNumberFormat="1" applyFont="1" applyFill="1" applyBorder="1" applyAlignment="1">
      <alignment horizontal="center" vertical="center"/>
    </xf>
    <xf numFmtId="0" fontId="117" fillId="23" borderId="217" xfId="5" applyFont="1" applyFill="1" applyBorder="1" applyAlignment="1">
      <alignment horizontal="left" vertical="center"/>
    </xf>
    <xf numFmtId="166" fontId="115" fillId="22" borderId="218" xfId="5" applyNumberFormat="1" applyFont="1" applyFill="1" applyBorder="1" applyAlignment="1">
      <alignment horizontal="center" vertical="center"/>
    </xf>
    <xf numFmtId="168" fontId="108" fillId="14" borderId="0" xfId="5" applyNumberFormat="1" applyFont="1" applyFill="1" applyAlignment="1">
      <alignment horizontal="center" vertical="center"/>
    </xf>
    <xf numFmtId="0" fontId="22" fillId="0" borderId="209" xfId="5" applyFont="1" applyBorder="1" applyAlignment="1">
      <alignment vertical="center" wrapText="1"/>
    </xf>
    <xf numFmtId="9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9" xfId="5" applyFont="1" applyBorder="1" applyAlignment="1">
      <alignment vertical="center" wrapText="1"/>
    </xf>
    <xf numFmtId="168" fontId="109" fillId="0" borderId="211" xfId="5" applyNumberFormat="1" applyFont="1" applyBorder="1" applyAlignment="1">
      <alignment horizontal="center" vertical="center"/>
    </xf>
    <xf numFmtId="164" fontId="101" fillId="14" borderId="0" xfId="5" applyNumberFormat="1" applyFont="1" applyFill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25" fillId="0" borderId="210" xfId="5" applyFont="1" applyBorder="1" applyAlignment="1">
      <alignment horizontal="center" vertical="center"/>
    </xf>
    <xf numFmtId="165" fontId="25" fillId="2" borderId="211" xfId="2" applyNumberFormat="1" applyFont="1" applyFill="1" applyBorder="1" applyAlignment="1" applyProtection="1">
      <alignment horizontal="center" vertical="center"/>
      <protection locked="0"/>
    </xf>
    <xf numFmtId="0" fontId="25" fillId="0" borderId="209" xfId="5" applyFont="1" applyBorder="1" applyAlignment="1">
      <alignment vertical="center" wrapText="1"/>
    </xf>
    <xf numFmtId="168" fontId="42" fillId="0" borderId="211" xfId="5" applyNumberFormat="1" applyFont="1" applyBorder="1" applyAlignment="1">
      <alignment horizontal="center" vertical="center"/>
    </xf>
    <xf numFmtId="0" fontId="109" fillId="0" borderId="214" xfId="5" applyFont="1" applyBorder="1" applyAlignment="1">
      <alignment vertical="center" wrapText="1"/>
    </xf>
    <xf numFmtId="165" fontId="42" fillId="20" borderId="211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11" xfId="5" applyNumberFormat="1" applyFont="1" applyBorder="1" applyAlignment="1">
      <alignment horizontal="center" vertical="center"/>
    </xf>
    <xf numFmtId="3" fontId="42" fillId="0" borderId="215" xfId="5" applyNumberFormat="1" applyFont="1" applyBorder="1" applyAlignment="1">
      <alignment horizontal="center" vertical="center"/>
    </xf>
    <xf numFmtId="0" fontId="134" fillId="22" borderId="210" xfId="5" applyFont="1" applyFill="1" applyBorder="1" applyAlignment="1">
      <alignment horizontal="center" vertical="center"/>
    </xf>
    <xf numFmtId="3" fontId="136" fillId="0" borderId="210" xfId="5" applyNumberFormat="1" applyFont="1" applyBorder="1" applyAlignment="1">
      <alignment horizontal="center" vertical="center"/>
    </xf>
    <xf numFmtId="1" fontId="136" fillId="0" borderId="210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5" xfId="5" applyFont="1" applyBorder="1" applyAlignment="1">
      <alignment vertical="center"/>
    </xf>
    <xf numFmtId="3" fontId="108" fillId="0" borderId="208" xfId="5" applyNumberFormat="1" applyFont="1" applyBorder="1" applyAlignment="1">
      <alignment horizontal="center" vertical="center"/>
    </xf>
    <xf numFmtId="3" fontId="101" fillId="0" borderId="225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8" xfId="5" applyFont="1" applyFill="1" applyBorder="1" applyAlignment="1">
      <alignment vertical="center"/>
    </xf>
    <xf numFmtId="0" fontId="101" fillId="14" borderId="208" xfId="5" applyFont="1" applyFill="1" applyBorder="1" applyAlignment="1">
      <alignment vertical="center"/>
    </xf>
    <xf numFmtId="174" fontId="142" fillId="0" borderId="210" xfId="5" applyNumberFormat="1" applyFont="1" applyBorder="1" applyAlignment="1">
      <alignment horizontal="center" vertical="center" wrapText="1"/>
    </xf>
    <xf numFmtId="0" fontId="135" fillId="22" borderId="210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horizontal="center" vertical="center" wrapText="1"/>
    </xf>
    <xf numFmtId="0" fontId="143" fillId="23" borderId="222" xfId="5" applyFont="1" applyFill="1" applyBorder="1" applyAlignment="1">
      <alignment horizontal="center" vertical="center" wrapText="1"/>
    </xf>
    <xf numFmtId="0" fontId="141" fillId="14" borderId="225" xfId="5" applyFont="1" applyFill="1" applyBorder="1" applyAlignment="1">
      <alignment vertical="center"/>
    </xf>
    <xf numFmtId="0" fontId="101" fillId="14" borderId="225" xfId="5" applyFont="1" applyFill="1" applyBorder="1" applyAlignment="1">
      <alignment vertical="center"/>
    </xf>
    <xf numFmtId="0" fontId="142" fillId="0" borderId="212" xfId="5" applyFont="1" applyBorder="1" applyAlignment="1">
      <alignment vertical="center" wrapText="1"/>
    </xf>
    <xf numFmtId="9" fontId="142" fillId="20" borderId="210" xfId="5" applyNumberFormat="1" applyFont="1" applyFill="1" applyBorder="1" applyAlignment="1" applyProtection="1">
      <alignment horizontal="center" vertical="center" wrapText="1"/>
      <protection locked="0"/>
    </xf>
    <xf numFmtId="165" fontId="101" fillId="0" borderId="210" xfId="5" applyNumberFormat="1" applyFont="1" applyBorder="1" applyAlignment="1">
      <alignment horizontal="center" vertical="center"/>
    </xf>
    <xf numFmtId="0" fontId="109" fillId="0" borderId="224" xfId="5" applyFont="1" applyBorder="1" applyAlignment="1">
      <alignment vertical="center"/>
    </xf>
    <xf numFmtId="0" fontId="109" fillId="0" borderId="210" xfId="5" applyFont="1" applyBorder="1" applyAlignment="1">
      <alignment vertical="center"/>
    </xf>
    <xf numFmtId="0" fontId="135" fillId="22" borderId="222" xfId="5" applyFont="1" applyFill="1" applyBorder="1" applyAlignment="1">
      <alignment horizontal="center" vertical="center" wrapText="1"/>
    </xf>
    <xf numFmtId="0" fontId="109" fillId="14" borderId="225" xfId="5" applyFont="1" applyFill="1" applyBorder="1" applyAlignment="1">
      <alignment vertical="center"/>
    </xf>
    <xf numFmtId="0" fontId="39" fillId="0" borderId="210" xfId="5" applyFont="1" applyBorder="1" applyAlignment="1">
      <alignment horizontal="center" vertical="center"/>
    </xf>
    <xf numFmtId="0" fontId="39" fillId="26" borderId="210" xfId="5" applyFont="1" applyFill="1" applyBorder="1" applyAlignment="1">
      <alignment horizontal="center" vertical="center"/>
    </xf>
    <xf numFmtId="0" fontId="145" fillId="0" borderId="223" xfId="5" applyFont="1" applyBorder="1" applyAlignment="1">
      <alignment horizontal="left" vertical="center" wrapText="1"/>
    </xf>
    <xf numFmtId="0" fontId="145" fillId="0" borderId="223" xfId="5" applyFont="1" applyBorder="1" applyAlignment="1">
      <alignment vertical="center" wrapText="1"/>
    </xf>
    <xf numFmtId="0" fontId="101" fillId="0" borderId="223" xfId="5" applyFont="1" applyBorder="1" applyAlignment="1">
      <alignment vertical="center"/>
    </xf>
    <xf numFmtId="0" fontId="101" fillId="0" borderId="223" xfId="5" applyFont="1" applyBorder="1" applyAlignment="1">
      <alignment horizontal="center" vertical="center"/>
    </xf>
    <xf numFmtId="0" fontId="39" fillId="0" borderId="224" xfId="5" applyFont="1" applyBorder="1" applyAlignment="1">
      <alignment horizontal="center" vertical="center" wrapText="1"/>
    </xf>
    <xf numFmtId="0" fontId="39" fillId="20" borderId="210" xfId="5" applyFont="1" applyFill="1" applyBorder="1" applyAlignment="1" applyProtection="1">
      <alignment horizontal="center" vertical="center" wrapText="1"/>
      <protection locked="0"/>
    </xf>
    <xf numFmtId="175" fontId="39" fillId="20" borderId="222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10" xfId="5" applyNumberFormat="1" applyFont="1" applyBorder="1" applyAlignment="1">
      <alignment horizontal="center" vertical="center"/>
    </xf>
    <xf numFmtId="176" fontId="141" fillId="26" borderId="210" xfId="5" applyNumberFormat="1" applyFont="1" applyFill="1" applyBorder="1" applyAlignment="1">
      <alignment horizontal="center" vertical="center"/>
    </xf>
    <xf numFmtId="1" fontId="137" fillId="20" borderId="210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10" xfId="5" applyNumberFormat="1" applyFont="1" applyBorder="1" applyAlignment="1">
      <alignment horizontal="center" vertical="center"/>
    </xf>
    <xf numFmtId="167" fontId="101" fillId="0" borderId="210" xfId="5" applyNumberFormat="1" applyFont="1" applyBorder="1" applyAlignment="1">
      <alignment horizontal="center" vertical="center"/>
    </xf>
    <xf numFmtId="1" fontId="101" fillId="0" borderId="210" xfId="5" applyNumberFormat="1" applyFont="1" applyBorder="1" applyAlignment="1">
      <alignment horizontal="center" vertical="center"/>
    </xf>
    <xf numFmtId="3" fontId="108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10" xfId="5" applyNumberFormat="1" applyFont="1" applyBorder="1" applyAlignment="1">
      <alignment horizontal="center" vertical="center"/>
    </xf>
    <xf numFmtId="176" fontId="109" fillId="26" borderId="210" xfId="5" applyNumberFormat="1" applyFont="1" applyFill="1" applyBorder="1" applyAlignment="1">
      <alignment horizontal="center" vertical="center"/>
    </xf>
    <xf numFmtId="167" fontId="101" fillId="0" borderId="223" xfId="5" applyNumberFormat="1" applyFont="1" applyBorder="1" applyAlignment="1">
      <alignment horizontal="center" vertical="center"/>
    </xf>
    <xf numFmtId="1" fontId="101" fillId="0" borderId="223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10" xfId="5" applyNumberFormat="1" applyFont="1" applyBorder="1" applyAlignment="1">
      <alignment horizontal="center" vertical="center"/>
    </xf>
    <xf numFmtId="0" fontId="147" fillId="14" borderId="226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2" xfId="5" applyNumberFormat="1" applyFont="1" applyBorder="1" applyAlignment="1">
      <alignment horizontal="center" vertical="center" wrapText="1"/>
    </xf>
    <xf numFmtId="0" fontId="142" fillId="0" borderId="210" xfId="5" applyFont="1" applyBorder="1" applyAlignment="1">
      <alignment vertical="center" wrapText="1"/>
    </xf>
    <xf numFmtId="0" fontId="101" fillId="14" borderId="223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1" fontId="101" fillId="0" borderId="228" xfId="5" applyNumberFormat="1" applyFont="1" applyBorder="1" applyAlignment="1">
      <alignment horizontal="center" vertical="center"/>
    </xf>
    <xf numFmtId="1" fontId="101" fillId="0" borderId="229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4" xfId="5" applyFont="1" applyBorder="1" applyAlignment="1">
      <alignment horizontal="center" vertical="center"/>
    </xf>
    <xf numFmtId="0" fontId="39" fillId="0" borderId="210" xfId="5" applyFont="1" applyBorder="1" applyAlignment="1">
      <alignment horizontal="center" vertical="center" wrapText="1"/>
    </xf>
    <xf numFmtId="175" fontId="39" fillId="0" borderId="222" xfId="5" applyNumberFormat="1" applyFont="1" applyBorder="1" applyAlignment="1">
      <alignment horizontal="center" vertical="center" wrapText="1"/>
    </xf>
    <xf numFmtId="176" fontId="141" fillId="0" borderId="224" xfId="5" applyNumberFormat="1" applyFont="1" applyBorder="1" applyAlignment="1">
      <alignment horizontal="center" vertical="center"/>
    </xf>
    <xf numFmtId="176" fontId="109" fillId="0" borderId="224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7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4" fontId="0" fillId="5" borderId="32" xfId="0" applyNumberFormat="1" applyFill="1" applyBorder="1" applyAlignment="1" applyProtection="1">
      <alignment horizontal="center" vertical="center"/>
      <protection locked="0"/>
    </xf>
    <xf numFmtId="164" fontId="0" fillId="5" borderId="33" xfId="0" applyNumberFormat="1" applyFill="1" applyBorder="1" applyAlignment="1" applyProtection="1">
      <alignment horizontal="center" vertical="center"/>
      <protection locked="0"/>
    </xf>
    <xf numFmtId="164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6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71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61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8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6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4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8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3" xfId="0" applyNumberFormat="1" applyFont="1" applyBorder="1" applyAlignment="1">
      <alignment horizontal="center" vertical="center"/>
    </xf>
    <xf numFmtId="167" fontId="10" fillId="0" borderId="234" xfId="0" applyNumberFormat="1" applyFont="1" applyBorder="1" applyAlignment="1">
      <alignment horizontal="center" vertical="center"/>
    </xf>
    <xf numFmtId="0" fontId="10" fillId="0" borderId="235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7" fontId="11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7" fontId="4" fillId="0" borderId="0" xfId="0" applyNumberFormat="1" applyFont="1" applyFill="1" applyBorder="1" applyAlignment="1">
      <alignment horizontal="center" vertical="center"/>
    </xf>
    <xf numFmtId="164" fontId="22" fillId="0" borderId="117" xfId="4" applyNumberFormat="1" applyFont="1" applyFill="1" applyBorder="1" applyAlignment="1">
      <alignment horizontal="center" vertical="center"/>
    </xf>
    <xf numFmtId="167" fontId="22" fillId="2" borderId="117" xfId="0" applyNumberFormat="1" applyFont="1" applyFill="1" applyBorder="1" applyAlignment="1">
      <alignment horizontal="center" vertical="center"/>
    </xf>
    <xf numFmtId="167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7" fontId="43" fillId="0" borderId="0" xfId="0" applyNumberFormat="1" applyFont="1" applyFill="1" applyBorder="1" applyAlignment="1">
      <alignment horizontal="center" vertical="center"/>
    </xf>
    <xf numFmtId="167" fontId="0" fillId="0" borderId="242" xfId="0" applyNumberFormat="1" applyFill="1" applyBorder="1" applyAlignment="1">
      <alignment horizontal="center" vertical="center"/>
    </xf>
    <xf numFmtId="167" fontId="0" fillId="0" borderId="126" xfId="0" applyNumberForma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0" fontId="9" fillId="12" borderId="244" xfId="0" applyFont="1" applyFill="1" applyBorder="1" applyAlignment="1">
      <alignment horizontal="center" vertical="center"/>
    </xf>
    <xf numFmtId="0" fontId="9" fillId="12" borderId="245" xfId="0" applyFont="1" applyFill="1" applyBorder="1" applyAlignment="1">
      <alignment horizontal="center" vertical="center"/>
    </xf>
    <xf numFmtId="164" fontId="10" fillId="0" borderId="246" xfId="0" applyNumberFormat="1" applyFont="1" applyBorder="1" applyAlignment="1">
      <alignment horizontal="center" vertical="center"/>
    </xf>
    <xf numFmtId="164" fontId="10" fillId="0" borderId="247" xfId="0" applyNumberFormat="1" applyFont="1" applyBorder="1" applyAlignment="1">
      <alignment horizontal="center" vertical="center"/>
    </xf>
    <xf numFmtId="164" fontId="10" fillId="0" borderId="248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3" xfId="0" applyFont="1" applyBorder="1" applyAlignment="1">
      <alignment horizontal="right" vertical="center"/>
    </xf>
    <xf numFmtId="1" fontId="0" fillId="0" borderId="194" xfId="0" applyNumberFormat="1" applyBorder="1" applyAlignment="1">
      <alignment horizontal="center" vertical="center"/>
    </xf>
    <xf numFmtId="1" fontId="0" fillId="0" borderId="195" xfId="0" applyNumberFormat="1" applyBorder="1" applyAlignment="1">
      <alignment horizontal="center" vertical="center"/>
    </xf>
    <xf numFmtId="1" fontId="0" fillId="0" borderId="196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5" fillId="12" borderId="198" xfId="0" applyFont="1" applyFill="1" applyBorder="1" applyAlignment="1">
      <alignment horizontal="center" vertical="center"/>
    </xf>
    <xf numFmtId="3" fontId="5" fillId="12" borderId="204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4" xfId="0" applyFont="1" applyFill="1" applyBorder="1" applyAlignment="1">
      <alignment horizontal="left"/>
    </xf>
    <xf numFmtId="0" fontId="3" fillId="0" borderId="249" xfId="6" applyBorder="1" applyAlignment="1">
      <alignment vertical="center"/>
    </xf>
    <xf numFmtId="0" fontId="10" fillId="0" borderId="0" xfId="0" applyFont="1" applyAlignment="1">
      <alignment horizontal="right"/>
    </xf>
    <xf numFmtId="165" fontId="0" fillId="0" borderId="238" xfId="4" applyNumberFormat="1" applyFont="1" applyFill="1" applyBorder="1" applyAlignment="1">
      <alignment horizontal="center" vertical="center"/>
    </xf>
    <xf numFmtId="165" fontId="0" fillId="0" borderId="240" xfId="4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4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4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5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6" fontId="24" fillId="0" borderId="97" xfId="0" applyNumberFormat="1" applyFont="1" applyFill="1" applyBorder="1" applyAlignment="1">
      <alignment horizontal="center" vertical="center"/>
    </xf>
    <xf numFmtId="9" fontId="24" fillId="0" borderId="174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7" fontId="0" fillId="0" borderId="0" xfId="4" applyNumberFormat="1" applyFont="1" applyAlignment="1">
      <alignment horizont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10" xfId="5" applyFont="1" applyBorder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2" fontId="22" fillId="0" borderId="117" xfId="4" applyNumberFormat="1" applyFont="1" applyFill="1" applyBorder="1" applyAlignment="1">
      <alignment horizontal="center" vertical="center"/>
    </xf>
    <xf numFmtId="9" fontId="0" fillId="2" borderId="117" xfId="4" applyFont="1" applyFill="1" applyBorder="1" applyAlignment="1">
      <alignment horizontal="center" vertical="center"/>
    </xf>
    <xf numFmtId="167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4" fontId="42" fillId="20" borderId="211" xfId="5" applyNumberFormat="1" applyFont="1" applyFill="1" applyBorder="1" applyAlignment="1" applyProtection="1">
      <alignment horizontal="center" vertical="center"/>
      <protection locked="0"/>
    </xf>
    <xf numFmtId="167" fontId="42" fillId="0" borderId="215" xfId="5" applyNumberFormat="1" applyFont="1" applyBorder="1" applyAlignment="1">
      <alignment horizontal="center" vertical="center"/>
    </xf>
    <xf numFmtId="4" fontId="42" fillId="0" borderId="215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7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0" fontId="5" fillId="12" borderId="244" xfId="0" applyFont="1" applyFill="1" applyBorder="1" applyAlignment="1">
      <alignment horizontal="center" vertical="center"/>
    </xf>
    <xf numFmtId="0" fontId="5" fillId="12" borderId="245" xfId="0" applyFont="1" applyFill="1" applyBorder="1" applyAlignment="1">
      <alignment horizontal="center" vertical="center"/>
    </xf>
    <xf numFmtId="3" fontId="4" fillId="0" borderId="246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3" xfId="0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vertical="center"/>
    </xf>
    <xf numFmtId="168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8" fontId="0" fillId="0" borderId="6" xfId="4" applyNumberFormat="1" applyFont="1" applyBorder="1" applyAlignment="1">
      <alignment horizontal="center" vertical="center"/>
    </xf>
    <xf numFmtId="167" fontId="0" fillId="0" borderId="6" xfId="4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3" fontId="0" fillId="0" borderId="5" xfId="0" applyNumberFormat="1" applyBorder="1" applyAlignment="1">
      <alignment horizontal="center"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50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9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5" fillId="12" borderId="197" xfId="0" applyFont="1" applyFill="1" applyBorder="1" applyAlignment="1">
      <alignment horizontal="right" vertical="center"/>
    </xf>
    <xf numFmtId="0" fontId="5" fillId="12" borderId="237" xfId="0" applyFont="1" applyFill="1" applyBorder="1" applyAlignment="1">
      <alignment horizontal="right" vertical="center"/>
    </xf>
    <xf numFmtId="0" fontId="9" fillId="12" borderId="232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6" xfId="0" applyFont="1" applyFill="1" applyBorder="1" applyAlignment="1">
      <alignment horizontal="right" vertical="center"/>
    </xf>
    <xf numFmtId="0" fontId="9" fillId="12" borderId="231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241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6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8" xfId="0" applyFont="1" applyBorder="1" applyAlignment="1">
      <alignment horizontal="center" vertical="center"/>
    </xf>
    <xf numFmtId="0" fontId="25" fillId="0" borderId="189" xfId="0" applyFont="1" applyBorder="1" applyAlignment="1">
      <alignment horizontal="center" vertical="center"/>
    </xf>
    <xf numFmtId="0" fontId="25" fillId="0" borderId="185" xfId="0" applyFont="1" applyBorder="1" applyAlignment="1">
      <alignment horizontal="center" vertical="center"/>
    </xf>
    <xf numFmtId="0" fontId="25" fillId="0" borderId="186" xfId="0" applyFont="1" applyBorder="1" applyAlignment="1">
      <alignment horizontal="center" vertical="center"/>
    </xf>
    <xf numFmtId="0" fontId="10" fillId="2" borderId="156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51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6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6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5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5" fontId="29" fillId="13" borderId="2" xfId="2" applyNumberFormat="1" applyFont="1" applyFill="1" applyBorder="1" applyAlignment="1">
      <alignment horizontal="center" vertical="center"/>
    </xf>
    <xf numFmtId="165" fontId="29" fillId="13" borderId="3" xfId="2" applyNumberFormat="1" applyFont="1" applyFill="1" applyBorder="1" applyAlignment="1">
      <alignment horizontal="center" vertical="center"/>
    </xf>
    <xf numFmtId="165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2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10" xfId="5" applyFont="1" applyBorder="1" applyAlignment="1" applyProtection="1">
      <alignment vertical="center"/>
      <protection locked="0"/>
    </xf>
    <xf numFmtId="0" fontId="146" fillId="0" borderId="210" xfId="5" applyFont="1" applyBorder="1" applyAlignment="1" applyProtection="1">
      <alignment horizontal="center" vertical="center"/>
      <protection locked="0"/>
    </xf>
    <xf numFmtId="2" fontId="136" fillId="20" borderId="222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2" xfId="5" applyFont="1" applyBorder="1" applyAlignment="1" applyProtection="1">
      <alignment vertical="center"/>
      <protection locked="0"/>
    </xf>
    <xf numFmtId="3" fontId="101" fillId="0" borderId="210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0" fontId="101" fillId="0" borderId="210" xfId="5" applyFont="1" applyBorder="1" applyAlignment="1">
      <alignment horizontal="center" vertical="center"/>
    </xf>
    <xf numFmtId="0" fontId="143" fillId="23" borderId="224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vertical="center"/>
    </xf>
    <xf numFmtId="0" fontId="143" fillId="23" borderId="210" xfId="5" applyFont="1" applyFill="1" applyBorder="1" applyAlignment="1">
      <alignment horizontal="center" vertical="center"/>
    </xf>
    <xf numFmtId="0" fontId="139" fillId="22" borderId="210" xfId="5" applyFont="1" applyFill="1" applyBorder="1" applyAlignment="1">
      <alignment horizontal="center" vertical="center" wrapText="1"/>
    </xf>
    <xf numFmtId="0" fontId="140" fillId="23" borderId="210" xfId="5" applyFont="1" applyFill="1" applyBorder="1" applyAlignment="1">
      <alignment horizontal="center" vertical="center"/>
    </xf>
    <xf numFmtId="0" fontId="125" fillId="22" borderId="210" xfId="5" applyFont="1" applyFill="1" applyBorder="1" applyAlignment="1">
      <alignment horizontal="center" vertical="center" wrapText="1"/>
    </xf>
    <xf numFmtId="0" fontId="126" fillId="23" borderId="210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horizontal="center" vertical="center"/>
    </xf>
    <xf numFmtId="0" fontId="126" fillId="23" borderId="210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5" fillId="22" borderId="224" xfId="5" applyFont="1" applyFill="1" applyBorder="1" applyAlignment="1">
      <alignment horizontal="center" vertical="center" wrapText="1"/>
    </xf>
    <xf numFmtId="0" fontId="126" fillId="23" borderId="222" xfId="5" applyFont="1" applyFill="1" applyBorder="1" applyAlignment="1">
      <alignment horizontal="center" vertical="center"/>
    </xf>
    <xf numFmtId="0" fontId="126" fillId="23" borderId="224" xfId="5" applyFont="1" applyFill="1" applyBorder="1" applyAlignment="1">
      <alignment horizontal="center" vertical="center"/>
    </xf>
    <xf numFmtId="0" fontId="122" fillId="22" borderId="224" xfId="5" applyFont="1" applyFill="1" applyBorder="1" applyAlignment="1">
      <alignment horizontal="left" vertical="center" wrapText="1"/>
    </xf>
    <xf numFmtId="0" fontId="124" fillId="23" borderId="210" xfId="5" applyFont="1" applyFill="1" applyBorder="1" applyAlignment="1">
      <alignment horizontal="left" vertical="center"/>
    </xf>
    <xf numFmtId="2" fontId="136" fillId="0" borderId="208" xfId="5" applyNumberFormat="1" applyFont="1" applyBorder="1" applyAlignment="1">
      <alignment horizontal="center" vertical="center" wrapText="1"/>
    </xf>
    <xf numFmtId="2" fontId="136" fillId="0" borderId="225" xfId="5" applyNumberFormat="1" applyFont="1" applyBorder="1" applyAlignment="1">
      <alignment horizontal="center" vertical="center" wrapText="1"/>
    </xf>
    <xf numFmtId="2" fontId="136" fillId="0" borderId="212" xfId="5" applyNumberFormat="1" applyFont="1" applyBorder="1" applyAlignment="1">
      <alignment horizontal="center" vertical="center" wrapText="1"/>
    </xf>
    <xf numFmtId="166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166" fontId="146" fillId="0" borderId="210" xfId="5" applyNumberFormat="1" applyFont="1" applyBorder="1" applyAlignment="1" applyProtection="1">
      <alignment vertical="center"/>
      <protection locked="0"/>
    </xf>
    <xf numFmtId="3" fontId="101" fillId="0" borderId="212" xfId="5" applyNumberFormat="1" applyFont="1" applyBorder="1" applyAlignment="1">
      <alignment horizontal="center" vertical="center"/>
    </xf>
    <xf numFmtId="3" fontId="101" fillId="0" borderId="208" xfId="5" applyNumberFormat="1" applyFont="1" applyBorder="1" applyAlignment="1">
      <alignment horizontal="center" vertical="center"/>
    </xf>
    <xf numFmtId="0" fontId="101" fillId="0" borderId="212" xfId="5" applyFont="1" applyBorder="1" applyAlignment="1">
      <alignment horizontal="center" vertical="center"/>
    </xf>
    <xf numFmtId="165" fontId="101" fillId="2" borderId="208" xfId="2" applyNumberFormat="1" applyFont="1" applyFill="1" applyBorder="1" applyAlignment="1" applyProtection="1">
      <alignment horizontal="center" vertical="center"/>
      <protection locked="0"/>
    </xf>
    <xf numFmtId="165" fontId="101" fillId="2" borderId="212" xfId="2" applyNumberFormat="1" applyFont="1" applyFill="1" applyBorder="1" applyAlignment="1" applyProtection="1">
      <alignment horizontal="center" vertical="center"/>
      <protection locked="0"/>
    </xf>
    <xf numFmtId="0" fontId="122" fillId="22" borderId="222" xfId="5" applyFont="1" applyFill="1" applyBorder="1" applyAlignment="1">
      <alignment horizontal="center" vertical="center"/>
    </xf>
    <xf numFmtId="0" fontId="124" fillId="23" borderId="223" xfId="5" applyFont="1" applyFill="1" applyBorder="1" applyAlignment="1">
      <alignment vertical="center"/>
    </xf>
    <xf numFmtId="0" fontId="124" fillId="23" borderId="224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/>
    </xf>
    <xf numFmtId="0" fontId="126" fillId="23" borderId="223" xfId="5" applyFont="1" applyFill="1" applyBorder="1" applyAlignment="1">
      <alignment vertical="center"/>
    </xf>
    <xf numFmtId="0" fontId="126" fillId="23" borderId="224" xfId="5" applyFont="1" applyFill="1" applyBorder="1" applyAlignment="1">
      <alignment vertical="center"/>
    </xf>
    <xf numFmtId="0" fontId="127" fillId="21" borderId="223" xfId="5" applyFont="1" applyFill="1" applyBorder="1" applyAlignment="1">
      <alignment horizontal="center" vertical="center"/>
    </xf>
    <xf numFmtId="0" fontId="129" fillId="25" borderId="223" xfId="5" applyFont="1" applyFill="1" applyBorder="1" applyAlignment="1">
      <alignment vertical="center"/>
    </xf>
    <xf numFmtId="0" fontId="130" fillId="21" borderId="224" xfId="5" applyFont="1" applyFill="1" applyBorder="1" applyAlignment="1">
      <alignment horizontal="left" vertical="center" wrapText="1"/>
    </xf>
    <xf numFmtId="0" fontId="133" fillId="25" borderId="210" xfId="5" applyFont="1" applyFill="1" applyBorder="1" applyAlignment="1">
      <alignment horizontal="left" vertical="center"/>
    </xf>
    <xf numFmtId="0" fontId="133" fillId="25" borderId="224" xfId="5" applyFont="1" applyFill="1" applyBorder="1" applyAlignment="1">
      <alignment horizontal="left" vertical="center"/>
    </xf>
    <xf numFmtId="0" fontId="135" fillId="22" borderId="210" xfId="5" applyFont="1" applyFill="1" applyBorder="1" applyAlignment="1">
      <alignment horizontal="center" vertical="center" wrapText="1"/>
    </xf>
    <xf numFmtId="0" fontId="138" fillId="23" borderId="210" xfId="5" applyFont="1" applyFill="1" applyBorder="1" applyAlignment="1">
      <alignment horizontal="center" vertical="center"/>
    </xf>
    <xf numFmtId="0" fontId="138" fillId="23" borderId="208" xfId="5" applyFont="1" applyFill="1" applyBorder="1" applyAlignment="1">
      <alignment horizontal="center" vertical="center"/>
    </xf>
    <xf numFmtId="3" fontId="42" fillId="20" borderId="209" xfId="5" applyNumberFormat="1" applyFont="1" applyFill="1" applyBorder="1" applyAlignment="1" applyProtection="1">
      <alignment horizontal="center" vertical="center"/>
      <protection locked="0"/>
    </xf>
    <xf numFmtId="3" fontId="42" fillId="20" borderId="214" xfId="5" applyNumberFormat="1" applyFont="1" applyFill="1" applyBorder="1" applyAlignment="1" applyProtection="1">
      <alignment horizontal="center" vertical="center"/>
      <protection locked="0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165" fontId="42" fillId="20" borderId="215" xfId="5" applyNumberFormat="1" applyFont="1" applyFill="1" applyBorder="1" applyAlignment="1" applyProtection="1">
      <alignment horizontal="center" vertical="center"/>
      <protection locked="0"/>
    </xf>
    <xf numFmtId="0" fontId="42" fillId="0" borderId="219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8" xfId="5" applyFont="1" applyBorder="1" applyAlignment="1">
      <alignment horizontal="center" vertical="center"/>
    </xf>
    <xf numFmtId="0" fontId="42" fillId="0" borderId="221" xfId="5" applyFont="1" applyBorder="1" applyAlignment="1">
      <alignment horizontal="center" vertical="center"/>
    </xf>
    <xf numFmtId="9" fontId="42" fillId="20" borderId="220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5" xfId="5" applyFont="1" applyFill="1" applyBorder="1" applyAlignment="1">
      <alignment horizontal="center" vertical="center"/>
    </xf>
    <xf numFmtId="0" fontId="121" fillId="22" borderId="206" xfId="5" applyFont="1" applyFill="1" applyBorder="1" applyAlignment="1">
      <alignment horizontal="center" vertical="center"/>
    </xf>
    <xf numFmtId="0" fontId="121" fillId="22" borderId="207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11" xfId="5" applyNumberFormat="1" applyFont="1" applyFill="1" applyBorder="1" applyAlignment="1">
      <alignment horizontal="center" vertical="center" wrapText="1"/>
    </xf>
    <xf numFmtId="3" fontId="108" fillId="23" borderId="208" xfId="5" applyNumberFormat="1" applyFont="1" applyFill="1" applyBorder="1" applyAlignment="1">
      <alignment horizontal="left" vertical="center" wrapText="1"/>
    </xf>
    <xf numFmtId="3" fontId="108" fillId="23" borderId="212" xfId="5" applyNumberFormat="1" applyFont="1" applyFill="1" applyBorder="1" applyAlignment="1">
      <alignment horizontal="left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60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69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7.xml"/><Relationship Id="rId18" Type="http://schemas.openxmlformats.org/officeDocument/2006/relationships/chartsheet" Target="chartsheets/sheet8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chartsheet" Target="chartsheets/sheet13.xml"/><Relationship Id="rId50" Type="http://schemas.openxmlformats.org/officeDocument/2006/relationships/worksheet" Target="worksheets/sheet37.xml"/><Relationship Id="rId55" Type="http://schemas.openxmlformats.org/officeDocument/2006/relationships/sharedStrings" Target="sharedStrings.xml"/><Relationship Id="rId7" Type="http://schemas.openxmlformats.org/officeDocument/2006/relationships/chartsheet" Target="chartsheets/sheet3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worksheet" Target="worksheets/sheet16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worksheet" Target="worksheets/sheet29.xml"/><Relationship Id="rId45" Type="http://schemas.openxmlformats.org/officeDocument/2006/relationships/worksheet" Target="worksheets/sheet33.xml"/><Relationship Id="rId53" Type="http://schemas.openxmlformats.org/officeDocument/2006/relationships/theme" Target="theme/theme1.xml"/><Relationship Id="rId5" Type="http://schemas.openxmlformats.org/officeDocument/2006/relationships/worksheet" Target="worksheets/sheet4.xml"/><Relationship Id="rId19" Type="http://schemas.openxmlformats.org/officeDocument/2006/relationships/worksheet" Target="worksheets/sheet11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5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worksheet" Target="worksheets/sheet21.xml"/><Relationship Id="rId35" Type="http://schemas.openxmlformats.org/officeDocument/2006/relationships/worksheet" Target="worksheets/sheet25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openxmlformats.org/officeDocument/2006/relationships/calcChain" Target="calcChain.xml"/><Relationship Id="rId8" Type="http://schemas.openxmlformats.org/officeDocument/2006/relationships/chartsheet" Target="chartsheets/sheet4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0.xml"/><Relationship Id="rId25" Type="http://schemas.openxmlformats.org/officeDocument/2006/relationships/chartsheet" Target="chartsheets/sheet9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worksheet" Target="worksheets/sheet34.xml"/><Relationship Id="rId20" Type="http://schemas.openxmlformats.org/officeDocument/2006/relationships/worksheet" Target="worksheets/sheet12.xml"/><Relationship Id="rId41" Type="http://schemas.openxmlformats.org/officeDocument/2006/relationships/chartsheet" Target="chartsheets/sheet12.xml"/><Relationship Id="rId54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2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chartsheet" Target="chartsheets/sheet11.xml"/><Relationship Id="rId49" Type="http://schemas.openxmlformats.org/officeDocument/2006/relationships/worksheet" Target="worksheets/sheet36.xml"/><Relationship Id="rId57" Type="http://schemas.microsoft.com/office/2006/relationships/vbaProject" Target="vbaProject.bin"/><Relationship Id="rId10" Type="http://schemas.openxmlformats.org/officeDocument/2006/relationships/chartsheet" Target="chartsheets/sheet6.xml"/><Relationship Id="rId31" Type="http://schemas.openxmlformats.org/officeDocument/2006/relationships/chartsheet" Target="chartsheets/sheet10.xml"/><Relationship Id="rId44" Type="http://schemas.openxmlformats.org/officeDocument/2006/relationships/worksheet" Target="worksheets/sheet32.xml"/><Relationship Id="rId52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17.176589954834565</c:v>
                </c:pt>
                <c:pt idx="1">
                  <c:v>20.702684621260754</c:v>
                </c:pt>
                <c:pt idx="2">
                  <c:v>21.692700705652644</c:v>
                </c:pt>
                <c:pt idx="3">
                  <c:v>16.846571494112723</c:v>
                </c:pt>
                <c:pt idx="4">
                  <c:v>24.471688482887515</c:v>
                </c:pt>
                <c:pt idx="5">
                  <c:v>20.025303987413281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391.54169667154207</c:v>
                </c:pt>
                <c:pt idx="1">
                  <c:v>283.44028878284308</c:v>
                </c:pt>
                <c:pt idx="2">
                  <c:v>265.65692637024705</c:v>
                </c:pt>
                <c:pt idx="3">
                  <c:v>347.12855280245776</c:v>
                </c:pt>
                <c:pt idx="4">
                  <c:v>221.08250466792802</c:v>
                </c:pt>
                <c:pt idx="5">
                  <c:v>385.70599340456459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194.04416378833895</c:v>
                </c:pt>
                <c:pt idx="1">
                  <c:v>169.3065915268435</c:v>
                </c:pt>
                <c:pt idx="2">
                  <c:v>166.27248459357131</c:v>
                </c:pt>
                <c:pt idx="3">
                  <c:v>213.35993580589169</c:v>
                </c:pt>
                <c:pt idx="4">
                  <c:v>153.64115133990111</c:v>
                </c:pt>
                <c:pt idx="5">
                  <c:v>121.08747361994028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431.20453699273503</c:v>
                </c:pt>
                <c:pt idx="1">
                  <c:v>473.91607117424104</c:v>
                </c:pt>
                <c:pt idx="2">
                  <c:v>438.41607117424104</c:v>
                </c:pt>
                <c:pt idx="3">
                  <c:v>290.13113369405085</c:v>
                </c:pt>
                <c:pt idx="4">
                  <c:v>448.82802470399298</c:v>
                </c:pt>
                <c:pt idx="5">
                  <c:v>974.00388302938234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33.604847434197069</c:v>
                </c:pt>
                <c:pt idx="1">
                  <c:v>37.070716807649475</c:v>
                </c:pt>
                <c:pt idx="2">
                  <c:v>33.168088811064479</c:v>
                </c:pt>
                <c:pt idx="3">
                  <c:v>32.194552303679266</c:v>
                </c:pt>
                <c:pt idx="4">
                  <c:v>38.223840142863281</c:v>
                </c:pt>
                <c:pt idx="5">
                  <c:v>57.106121849485511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132.24706536907837</c:v>
                </c:pt>
                <c:pt idx="1">
                  <c:v>145.88649802798753</c:v>
                </c:pt>
                <c:pt idx="2">
                  <c:v>130.52826434499914</c:v>
                </c:pt>
                <c:pt idx="3">
                  <c:v>126.69705081595511</c:v>
                </c:pt>
                <c:pt idx="4">
                  <c:v>150.42444980382106</c:v>
                </c:pt>
                <c:pt idx="5">
                  <c:v>224.73296580178061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161.68420218828629</c:v>
                </c:pt>
                <c:pt idx="1">
                  <c:v>161.68420218828629</c:v>
                </c:pt>
                <c:pt idx="2">
                  <c:v>161.68420218828629</c:v>
                </c:pt>
                <c:pt idx="3">
                  <c:v>127.31583440114407</c:v>
                </c:pt>
                <c:pt idx="4">
                  <c:v>167.26017607085541</c:v>
                </c:pt>
                <c:pt idx="5">
                  <c:v>296.5578012251043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98.387838306984222</c:v>
                </c:pt>
                <c:pt idx="1">
                  <c:v>98.387838306984222</c:v>
                </c:pt>
                <c:pt idx="2">
                  <c:v>98.387838306984222</c:v>
                </c:pt>
                <c:pt idx="3">
                  <c:v>102.55105673163109</c:v>
                </c:pt>
                <c:pt idx="4">
                  <c:v>88.891558361789492</c:v>
                </c:pt>
                <c:pt idx="5">
                  <c:v>50.314687919141505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1696.9437133373474</c:v>
                </c:pt>
                <c:pt idx="1">
                  <c:v>1865.0288404600265</c:v>
                </c:pt>
                <c:pt idx="2">
                  <c:v>1725.323673525545</c:v>
                </c:pt>
                <c:pt idx="3">
                  <c:v>1141.769534242753</c:v>
                </c:pt>
                <c:pt idx="4">
                  <c:v>1766.2984258068986</c:v>
                </c:pt>
                <c:pt idx="5">
                  <c:v>3833.0528189705074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280.84661016732178</c:v>
                </c:pt>
                <c:pt idx="1">
                  <c:v>280.84661016732178</c:v>
                </c:pt>
                <c:pt idx="2">
                  <c:v>280.84661016732178</c:v>
                </c:pt>
                <c:pt idx="3">
                  <c:v>222.09756642237258</c:v>
                </c:pt>
                <c:pt idx="4">
                  <c:v>285.34190971736228</c:v>
                </c:pt>
                <c:pt idx="5">
                  <c:v>516.88162273991293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514.22374388217202</c:v>
                </c:pt>
                <c:pt idx="1">
                  <c:v>514.22374388217202</c:v>
                </c:pt>
                <c:pt idx="2">
                  <c:v>514.22374388217202</c:v>
                </c:pt>
                <c:pt idx="3">
                  <c:v>455.47470013722278</c:v>
                </c:pt>
                <c:pt idx="4">
                  <c:v>518.71904343221252</c:v>
                </c:pt>
                <c:pt idx="5">
                  <c:v>750.2587564547631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-94.192351899839821</c:v>
                </c:pt>
                <c:pt idx="1">
                  <c:v>-65.619816949882249</c:v>
                </c:pt>
                <c:pt idx="2">
                  <c:v>-57.597551001765339</c:v>
                </c:pt>
                <c:pt idx="3">
                  <c:v>-96.866546694690015</c:v>
                </c:pt>
                <c:pt idx="4">
                  <c:v>-35.078948155794251</c:v>
                </c:pt>
                <c:pt idx="5">
                  <c:v>-71.108745542558836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139.18478181501041</c:v>
                </c:pt>
                <c:pt idx="1">
                  <c:v>167.75731676496798</c:v>
                </c:pt>
                <c:pt idx="2">
                  <c:v>175.77958271308489</c:v>
                </c:pt>
                <c:pt idx="3">
                  <c:v>136.51058702016019</c:v>
                </c:pt>
                <c:pt idx="4">
                  <c:v>198.29818555905598</c:v>
                </c:pt>
                <c:pt idx="5">
                  <c:v>162.26838817229134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285.77410432723599</c:v>
                </c:pt>
                <c:pt idx="1">
                  <c:v>244.87200614309177</c:v>
                </c:pt>
                <c:pt idx="2">
                  <c:v>244.37308562026203</c:v>
                </c:pt>
                <c:pt idx="3">
                  <c:v>212.00067845053178</c:v>
                </c:pt>
                <c:pt idx="4">
                  <c:v>238.3236471892223</c:v>
                </c:pt>
                <c:pt idx="5">
                  <c:v>389.77015303895246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375.03896206716161</c:v>
                </c:pt>
                <c:pt idx="1">
                  <c:v>346.46642711720403</c:v>
                </c:pt>
                <c:pt idx="2">
                  <c:v>338.44416116908712</c:v>
                </c:pt>
                <c:pt idx="3">
                  <c:v>318.9641131170626</c:v>
                </c:pt>
                <c:pt idx="4">
                  <c:v>320.42085787315654</c:v>
                </c:pt>
                <c:pt idx="5">
                  <c:v>587.99036828247176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1.9404416378833895</c:v>
                </c:pt>
                <c:pt idx="1">
                  <c:v>1.6930659152684351</c:v>
                </c:pt>
                <c:pt idx="2">
                  <c:v>1.6627248459357131</c:v>
                </c:pt>
                <c:pt idx="3">
                  <c:v>2.133599358058917</c:v>
                </c:pt>
                <c:pt idx="4">
                  <c:v>1.5364115133990111</c:v>
                </c:pt>
                <c:pt idx="5">
                  <c:v>1.2108747361994028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3.9154169667154206</c:v>
                </c:pt>
                <c:pt idx="1">
                  <c:v>2.8344028878284306</c:v>
                </c:pt>
                <c:pt idx="2">
                  <c:v>2.6565692637024703</c:v>
                </c:pt>
                <c:pt idx="3">
                  <c:v>3.4712855280245778</c:v>
                </c:pt>
                <c:pt idx="4">
                  <c:v>2.2108250466792803</c:v>
                </c:pt>
                <c:pt idx="5">
                  <c:v>3.8570599340456457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16.863187372212348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36.522913414865883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23.337872230099038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50.340544496010359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55.756038073578374</c:v>
                </c:pt>
                <c:pt idx="1">
                  <c:v>55.756038073578374</c:v>
                </c:pt>
                <c:pt idx="2">
                  <c:v>55.756038073578374</c:v>
                </c:pt>
                <c:pt idx="3">
                  <c:v>53.493953401009257</c:v>
                </c:pt>
                <c:pt idx="4">
                  <c:v>61.314400573348294</c:v>
                </c:pt>
                <c:pt idx="5">
                  <c:v>88.417619371256308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130.8244706266106</c:v>
                </c:pt>
                <c:pt idx="1">
                  <c:v>130.8244706266106</c:v>
                </c:pt>
                <c:pt idx="2">
                  <c:v>130.8244706266106</c:v>
                </c:pt>
                <c:pt idx="3">
                  <c:v>114.41038796979075</c:v>
                </c:pt>
                <c:pt idx="4">
                  <c:v>117.23774669862155</c:v>
                </c:pt>
                <c:pt idx="5">
                  <c:v>92.415395186689025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58.992536024735635</c:v>
                </c:pt>
                <c:pt idx="1">
                  <c:v>58.291497442902795</c:v>
                </c:pt>
                <c:pt idx="2">
                  <c:v>57.792576920073074</c:v>
                </c:pt>
                <c:pt idx="3">
                  <c:v>44.096337079731754</c:v>
                </c:pt>
                <c:pt idx="4">
                  <c:v>59.771499917252477</c:v>
                </c:pt>
                <c:pt idx="5">
                  <c:v>122.07368057013085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375.03896206716161</c:v>
                </c:pt>
                <c:pt idx="1">
                  <c:v>346.46642711720403</c:v>
                </c:pt>
                <c:pt idx="2">
                  <c:v>338.44416116908712</c:v>
                </c:pt>
                <c:pt idx="3">
                  <c:v>318.9641131170626</c:v>
                </c:pt>
                <c:pt idx="4">
                  <c:v>320.42085787315654</c:v>
                </c:pt>
                <c:pt idx="5">
                  <c:v>587.99036828247176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1.9404416378833895</c:v>
                </c:pt>
                <c:pt idx="1">
                  <c:v>1.6930659152684351</c:v>
                </c:pt>
                <c:pt idx="2">
                  <c:v>1.6627248459357131</c:v>
                </c:pt>
                <c:pt idx="3">
                  <c:v>2.133599358058917</c:v>
                </c:pt>
                <c:pt idx="4">
                  <c:v>1.5364115133990111</c:v>
                </c:pt>
                <c:pt idx="5">
                  <c:v>1.2108747361994028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3.9154169667154206</c:v>
                </c:pt>
                <c:pt idx="1">
                  <c:v>2.8344028878284306</c:v>
                </c:pt>
                <c:pt idx="2">
                  <c:v>2.6565692637024703</c:v>
                </c:pt>
                <c:pt idx="3">
                  <c:v>3.4712855280245778</c:v>
                </c:pt>
                <c:pt idx="4">
                  <c:v>2.2108250466792803</c:v>
                </c:pt>
                <c:pt idx="5">
                  <c:v>3.8570599340456457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4.6677919970699024</c:v>
                </c:pt>
                <c:pt idx="2">
                  <c:v>6.5465782758905382</c:v>
                </c:pt>
                <c:pt idx="3">
                  <c:v>3.2732891379452691</c:v>
                </c:pt>
                <c:pt idx="4">
                  <c:v>6.3015191960443682</c:v>
                </c:pt>
                <c:pt idx="5">
                  <c:v>4.9011815969233972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5.8950592064508109</c:v>
                </c:pt>
                <c:pt idx="14">
                  <c:v>8.2678205370472622</c:v>
                </c:pt>
                <c:pt idx="15">
                  <c:v>4.1339102685236311</c:v>
                </c:pt>
                <c:pt idx="16">
                  <c:v>7.9583299287085953</c:v>
                </c:pt>
                <c:pt idx="17">
                  <c:v>6.1898121667733506</c:v>
                </c:pt>
                <c:pt idx="19">
                  <c:v>4.5781084490610509</c:v>
                </c:pt>
                <c:pt idx="20">
                  <c:v>6.4207970998081239</c:v>
                </c:pt>
                <c:pt idx="21">
                  <c:v>3.2103985499040619</c:v>
                </c:pt>
                <c:pt idx="22">
                  <c:v>6.1804464062324183</c:v>
                </c:pt>
                <c:pt idx="23">
                  <c:v>4.8070138715141031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5.4419389376545197</c:v>
                </c:pt>
                <c:pt idx="32">
                  <c:v>7.632319360060464</c:v>
                </c:pt>
                <c:pt idx="33">
                  <c:v>3.816159680030232</c:v>
                </c:pt>
                <c:pt idx="34">
                  <c:v>7.3466175658336024</c:v>
                </c:pt>
                <c:pt idx="35">
                  <c:v>5.7140358845372452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27.853590057515561</c:v>
                </c:pt>
                <c:pt idx="2">
                  <c:v>22.259363547015081</c:v>
                </c:pt>
                <c:pt idx="3">
                  <c:v>7.8205395418138393</c:v>
                </c:pt>
                <c:pt idx="4">
                  <c:v>30.912191093519198</c:v>
                </c:pt>
                <c:pt idx="5">
                  <c:v>67.139623795354666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35.176923608493198</c:v>
                </c:pt>
                <c:pt idx="14">
                  <c:v>28.111849476141462</c:v>
                </c:pt>
                <c:pt idx="15">
                  <c:v>9.876734793307433</c:v>
                </c:pt>
                <c:pt idx="16">
                  <c:v>39.039699457860863</c:v>
                </c:pt>
                <c:pt idx="17">
                  <c:v>84.792136757785855</c:v>
                </c:pt>
                <c:pt idx="19">
                  <c:v>26.800819124359528</c:v>
                </c:pt>
                <c:pt idx="20">
                  <c:v>21.831688384846689</c:v>
                </c:pt>
                <c:pt idx="21">
                  <c:v>7.5249497562882404</c:v>
                </c:pt>
                <c:pt idx="22">
                  <c:v>29.743815448001975</c:v>
                </c:pt>
                <c:pt idx="23">
                  <c:v>64.601974456478558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32.47307000453533</c:v>
                </c:pt>
                <c:pt idx="32">
                  <c:v>25.951048652113911</c:v>
                </c:pt>
                <c:pt idx="33">
                  <c:v>9.1175653655473354</c:v>
                </c:pt>
                <c:pt idx="34">
                  <c:v>36.03893585353353</c:v>
                </c:pt>
                <c:pt idx="35">
                  <c:v>78.274638891529179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40.843179974361647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59.514347962641253</c:v>
                </c:pt>
                <c:pt idx="5">
                  <c:v>80.519411949455815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51.581768056444595</c:v>
                </c:pt>
                <c:pt idx="14">
                  <c:v>93.012981041781714</c:v>
                </c:pt>
                <c:pt idx="15">
                  <c:v>46.506490520890857</c:v>
                </c:pt>
                <c:pt idx="16">
                  <c:v>75.162004882247842</c:v>
                </c:pt>
                <c:pt idx="17">
                  <c:v>101.68977131127649</c:v>
                </c:pt>
                <c:pt idx="19">
                  <c:v>40.058448929284197</c:v>
                </c:pt>
                <c:pt idx="20">
                  <c:v>72.233967372841391</c:v>
                </c:pt>
                <c:pt idx="21">
                  <c:v>36.116983686420696</c:v>
                </c:pt>
                <c:pt idx="22">
                  <c:v>58.370882725528404</c:v>
                </c:pt>
                <c:pt idx="23">
                  <c:v>78.972370746303127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47.616965704477046</c:v>
                </c:pt>
                <c:pt idx="32">
                  <c:v>85.863592800680223</c:v>
                </c:pt>
                <c:pt idx="33">
                  <c:v>42.931796400340112</c:v>
                </c:pt>
                <c:pt idx="34">
                  <c:v>69.384721455095132</c:v>
                </c:pt>
                <c:pt idx="35">
                  <c:v>93.873446674540446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4.6677919970699024</c:v>
                </c:pt>
                <c:pt idx="2">
                  <c:v>6.5465782758905382</c:v>
                </c:pt>
                <c:pt idx="3">
                  <c:v>3.2732891379452691</c:v>
                </c:pt>
                <c:pt idx="4">
                  <c:v>6.1614854361322706</c:v>
                </c:pt>
                <c:pt idx="5">
                  <c:v>4.9011815969233972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5.8950592064508109</c:v>
                </c:pt>
                <c:pt idx="14">
                  <c:v>8.2678205370472622</c:v>
                </c:pt>
                <c:pt idx="15">
                  <c:v>4.1339102685236311</c:v>
                </c:pt>
                <c:pt idx="16">
                  <c:v>7.9583299287085953</c:v>
                </c:pt>
                <c:pt idx="17">
                  <c:v>6.1898121667733506</c:v>
                </c:pt>
                <c:pt idx="19">
                  <c:v>4.5781084490610509</c:v>
                </c:pt>
                <c:pt idx="20">
                  <c:v>6.4207970998081239</c:v>
                </c:pt>
                <c:pt idx="21">
                  <c:v>3.2103985499040619</c:v>
                </c:pt>
                <c:pt idx="22">
                  <c:v>6.1804464062324183</c:v>
                </c:pt>
                <c:pt idx="23">
                  <c:v>4.8070138715141031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5.4419389376545197</c:v>
                </c:pt>
                <c:pt idx="32">
                  <c:v>7.632319360060464</c:v>
                </c:pt>
                <c:pt idx="33">
                  <c:v>3.816159680030232</c:v>
                </c:pt>
                <c:pt idx="34">
                  <c:v>7.3466175658336024</c:v>
                </c:pt>
                <c:pt idx="35">
                  <c:v>5.7140358845372452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27.853590057515561</c:v>
                </c:pt>
                <c:pt idx="2">
                  <c:v>22.259363547015081</c:v>
                </c:pt>
                <c:pt idx="3">
                  <c:v>7.8205395418138393</c:v>
                </c:pt>
                <c:pt idx="4">
                  <c:v>30.745901003623587</c:v>
                </c:pt>
                <c:pt idx="5">
                  <c:v>67.139623795354666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35.176923608493198</c:v>
                </c:pt>
                <c:pt idx="14">
                  <c:v>28.111849476141462</c:v>
                </c:pt>
                <c:pt idx="15">
                  <c:v>9.876734793307433</c:v>
                </c:pt>
                <c:pt idx="16">
                  <c:v>39.039699457860863</c:v>
                </c:pt>
                <c:pt idx="17">
                  <c:v>84.792136757785855</c:v>
                </c:pt>
                <c:pt idx="19">
                  <c:v>27.318431510881489</c:v>
                </c:pt>
                <c:pt idx="20">
                  <c:v>21.831688384846689</c:v>
                </c:pt>
                <c:pt idx="21">
                  <c:v>7.6702814039418747</c:v>
                </c:pt>
                <c:pt idx="22">
                  <c:v>30.318266819315323</c:v>
                </c:pt>
                <c:pt idx="23">
                  <c:v>65.849652074736724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32.47307000453533</c:v>
                </c:pt>
                <c:pt idx="32">
                  <c:v>25.951048652113911</c:v>
                </c:pt>
                <c:pt idx="33">
                  <c:v>9.1175653655473354</c:v>
                </c:pt>
                <c:pt idx="34">
                  <c:v>36.03893585353353</c:v>
                </c:pt>
                <c:pt idx="35">
                  <c:v>78.274638891529179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40.843179974361647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59.339305762751138</c:v>
                </c:pt>
                <c:pt idx="5">
                  <c:v>80.519411949455815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51.581768056444595</c:v>
                </c:pt>
                <c:pt idx="14">
                  <c:v>93.012981041781714</c:v>
                </c:pt>
                <c:pt idx="15">
                  <c:v>46.506490520890857</c:v>
                </c:pt>
                <c:pt idx="16">
                  <c:v>75.162004882247842</c:v>
                </c:pt>
                <c:pt idx="17">
                  <c:v>101.68977131127649</c:v>
                </c:pt>
                <c:pt idx="19">
                  <c:v>40.058448929284197</c:v>
                </c:pt>
                <c:pt idx="20">
                  <c:v>72.233967372841391</c:v>
                </c:pt>
                <c:pt idx="21">
                  <c:v>36.116983686420696</c:v>
                </c:pt>
                <c:pt idx="22">
                  <c:v>58.370882725528404</c:v>
                </c:pt>
                <c:pt idx="23">
                  <c:v>78.972370746303127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47.616965704477046</c:v>
                </c:pt>
                <c:pt idx="32">
                  <c:v>85.863592800680223</c:v>
                </c:pt>
                <c:pt idx="33">
                  <c:v>42.931796400340112</c:v>
                </c:pt>
                <c:pt idx="34">
                  <c:v>69.384721455095132</c:v>
                </c:pt>
                <c:pt idx="35">
                  <c:v>93.873446674540446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280.84661016732178</c:v>
                </c:pt>
                <c:pt idx="6">
                  <c:v>263.98342279510945</c:v>
                </c:pt>
                <c:pt idx="9">
                  <c:v>240.64555056501041</c:v>
                </c:pt>
                <c:pt idx="15">
                  <c:v>139.18478181501041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280.84661016732178</c:v>
                </c:pt>
                <c:pt idx="3">
                  <c:v>0</c:v>
                </c:pt>
                <c:pt idx="4">
                  <c:v>263.98342279510945</c:v>
                </c:pt>
                <c:pt idx="5">
                  <c:v>263.98342279510945</c:v>
                </c:pt>
                <c:pt idx="6">
                  <c:v>0</c:v>
                </c:pt>
                <c:pt idx="7">
                  <c:v>240.64555056501041</c:v>
                </c:pt>
                <c:pt idx="8">
                  <c:v>240.64555056501041</c:v>
                </c:pt>
                <c:pt idx="9">
                  <c:v>0</c:v>
                </c:pt>
                <c:pt idx="10">
                  <c:v>240.64555056501041</c:v>
                </c:pt>
                <c:pt idx="11">
                  <c:v>240.64555056501041</c:v>
                </c:pt>
                <c:pt idx="12">
                  <c:v>240.64555056501041</c:v>
                </c:pt>
                <c:pt idx="13">
                  <c:v>240.64555056501041</c:v>
                </c:pt>
                <c:pt idx="14">
                  <c:v>139.18478181501041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16.863187372212348</c:v>
                </c:pt>
                <c:pt idx="5">
                  <c:v>0</c:v>
                </c:pt>
                <c:pt idx="6">
                  <c:v>0</c:v>
                </c:pt>
                <c:pt idx="7">
                  <c:v>23.337872230099038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0</c:v>
                </c:pt>
                <c:pt idx="2">
                  <c:v>0</c:v>
                </c:pt>
                <c:pt idx="3">
                  <c:v>280.84661016732178</c:v>
                </c:pt>
                <c:pt idx="4">
                  <c:v>16.863187372212348</c:v>
                </c:pt>
                <c:pt idx="5">
                  <c:v>0</c:v>
                </c:pt>
                <c:pt idx="6">
                  <c:v>263.98342279510945</c:v>
                </c:pt>
                <c:pt idx="7">
                  <c:v>23.337872230099038</c:v>
                </c:pt>
                <c:pt idx="8">
                  <c:v>0</c:v>
                </c:pt>
                <c:pt idx="9">
                  <c:v>240.64555056501041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139.18478181501041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280.84661016732178</c:v>
                </c:pt>
                <c:pt idx="6">
                  <c:v>297.17168152330146</c:v>
                </c:pt>
                <c:pt idx="9">
                  <c:v>291.7779461413586</c:v>
                </c:pt>
                <c:pt idx="15">
                  <c:v>167.75731676496798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280.84661016732178</c:v>
                </c:pt>
                <c:pt idx="4">
                  <c:v>280.84661016732178</c:v>
                </c:pt>
                <c:pt idx="5">
                  <c:v>297.17168152330146</c:v>
                </c:pt>
                <c:pt idx="6">
                  <c:v>0</c:v>
                </c:pt>
                <c:pt idx="7">
                  <c:v>297.17168152330146</c:v>
                </c:pt>
                <c:pt idx="8">
                  <c:v>291.7779461413586</c:v>
                </c:pt>
                <c:pt idx="9">
                  <c:v>0</c:v>
                </c:pt>
                <c:pt idx="10">
                  <c:v>291.7779461413586</c:v>
                </c:pt>
                <c:pt idx="11">
                  <c:v>269.21808551496798</c:v>
                </c:pt>
                <c:pt idx="12">
                  <c:v>269.21808551496798</c:v>
                </c:pt>
                <c:pt idx="13">
                  <c:v>269.21808551496798</c:v>
                </c:pt>
                <c:pt idx="14">
                  <c:v>167.75731676496798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2.628530566174025</c:v>
                </c:pt>
                <c:pt idx="6">
                  <c:v>0</c:v>
                </c:pt>
                <c:pt idx="7">
                  <c:v>0</c:v>
                </c:pt>
                <c:pt idx="8">
                  <c:v>5.3937353819428733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0</c:v>
                </c:pt>
                <c:pt idx="2">
                  <c:v>0</c:v>
                </c:pt>
                <c:pt idx="3">
                  <c:v>280.84661016732178</c:v>
                </c:pt>
                <c:pt idx="4">
                  <c:v>18.953601922153705</c:v>
                </c:pt>
                <c:pt idx="5">
                  <c:v>2.628530566174025</c:v>
                </c:pt>
                <c:pt idx="6">
                  <c:v>297.17168152330146</c:v>
                </c:pt>
                <c:pt idx="7">
                  <c:v>0</c:v>
                </c:pt>
                <c:pt idx="8">
                  <c:v>5.3937353819428733</c:v>
                </c:pt>
                <c:pt idx="9">
                  <c:v>291.7779461413586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167.75731676496798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280.84661016732178</c:v>
                </c:pt>
                <c:pt idx="6">
                  <c:v>299.80021208947551</c:v>
                </c:pt>
                <c:pt idx="9">
                  <c:v>299.80021208947551</c:v>
                </c:pt>
                <c:pt idx="15">
                  <c:v>175.77958271308489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280.84661016732178</c:v>
                </c:pt>
                <c:pt idx="4">
                  <c:v>280.84661016732178</c:v>
                </c:pt>
                <c:pt idx="5">
                  <c:v>299.80021208947551</c:v>
                </c:pt>
                <c:pt idx="6">
                  <c:v>0</c:v>
                </c:pt>
                <c:pt idx="7">
                  <c:v>299.80021208947551</c:v>
                </c:pt>
                <c:pt idx="8">
                  <c:v>299.80021208947551</c:v>
                </c:pt>
                <c:pt idx="9">
                  <c:v>0</c:v>
                </c:pt>
                <c:pt idx="10">
                  <c:v>299.80021208947551</c:v>
                </c:pt>
                <c:pt idx="11">
                  <c:v>277.24035146308489</c:v>
                </c:pt>
                <c:pt idx="12">
                  <c:v>277.24035146308489</c:v>
                </c:pt>
                <c:pt idx="13">
                  <c:v>277.24035146308489</c:v>
                </c:pt>
                <c:pt idx="14">
                  <c:v>175.77958271308489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0</c:v>
                </c:pt>
                <c:pt idx="2">
                  <c:v>0</c:v>
                </c:pt>
                <c:pt idx="3">
                  <c:v>280.84661016732178</c:v>
                </c:pt>
                <c:pt idx="4">
                  <c:v>18.953601922153705</c:v>
                </c:pt>
                <c:pt idx="5">
                  <c:v>0</c:v>
                </c:pt>
                <c:pt idx="6">
                  <c:v>299.80021208947551</c:v>
                </c:pt>
                <c:pt idx="7">
                  <c:v>0</c:v>
                </c:pt>
                <c:pt idx="8">
                  <c:v>0</c:v>
                </c:pt>
                <c:pt idx="9">
                  <c:v>299.80021208947551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175.77958271308489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222.09756642237258</c:v>
                </c:pt>
                <c:pt idx="3">
                  <c:v>222.09756642237258</c:v>
                </c:pt>
                <c:pt idx="6">
                  <c:v>237.97135577016022</c:v>
                </c:pt>
                <c:pt idx="9">
                  <c:v>237.97135577016022</c:v>
                </c:pt>
                <c:pt idx="15">
                  <c:v>136.51058702016019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222.09756642237258</c:v>
                </c:pt>
                <c:pt idx="2">
                  <c:v>222.09756642237258</c:v>
                </c:pt>
                <c:pt idx="4">
                  <c:v>222.09756642237258</c:v>
                </c:pt>
                <c:pt idx="5">
                  <c:v>237.97135577016022</c:v>
                </c:pt>
                <c:pt idx="6">
                  <c:v>0</c:v>
                </c:pt>
                <c:pt idx="7">
                  <c:v>237.97135577016022</c:v>
                </c:pt>
                <c:pt idx="8">
                  <c:v>237.97135577016022</c:v>
                </c:pt>
                <c:pt idx="9">
                  <c:v>0</c:v>
                </c:pt>
                <c:pt idx="10">
                  <c:v>237.97135577016022</c:v>
                </c:pt>
                <c:pt idx="11">
                  <c:v>237.97135577016022</c:v>
                </c:pt>
                <c:pt idx="12">
                  <c:v>237.97135577016022</c:v>
                </c:pt>
                <c:pt idx="13">
                  <c:v>237.97135577016022</c:v>
                </c:pt>
                <c:pt idx="14">
                  <c:v>136.51058702016019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15.87378934778763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222.09756642237258</c:v>
                </c:pt>
                <c:pt idx="1">
                  <c:v>0</c:v>
                </c:pt>
                <c:pt idx="2">
                  <c:v>0</c:v>
                </c:pt>
                <c:pt idx="3">
                  <c:v>222.09756642237258</c:v>
                </c:pt>
                <c:pt idx="4">
                  <c:v>15.87378934778763</c:v>
                </c:pt>
                <c:pt idx="5">
                  <c:v>0</c:v>
                </c:pt>
                <c:pt idx="6">
                  <c:v>237.97135577016022</c:v>
                </c:pt>
                <c:pt idx="7">
                  <c:v>0</c:v>
                </c:pt>
                <c:pt idx="8">
                  <c:v>0</c:v>
                </c:pt>
                <c:pt idx="9">
                  <c:v>237.97135577016022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136.51058702016019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285.34190971736228</c:v>
                </c:pt>
                <c:pt idx="3">
                  <c:v>285.34190971736228</c:v>
                </c:pt>
                <c:pt idx="6">
                  <c:v>299.75895430905598</c:v>
                </c:pt>
                <c:pt idx="9">
                  <c:v>299.75895430905598</c:v>
                </c:pt>
                <c:pt idx="15">
                  <c:v>198.29818555905598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285.34190971736228</c:v>
                </c:pt>
                <c:pt idx="2">
                  <c:v>285.34190971736228</c:v>
                </c:pt>
                <c:pt idx="4">
                  <c:v>285.34190971736228</c:v>
                </c:pt>
                <c:pt idx="5">
                  <c:v>299.75895430905598</c:v>
                </c:pt>
                <c:pt idx="6">
                  <c:v>0</c:v>
                </c:pt>
                <c:pt idx="7">
                  <c:v>299.75895430905598</c:v>
                </c:pt>
                <c:pt idx="8">
                  <c:v>299.75895430905598</c:v>
                </c:pt>
                <c:pt idx="9">
                  <c:v>0</c:v>
                </c:pt>
                <c:pt idx="10">
                  <c:v>299.75895430905598</c:v>
                </c:pt>
                <c:pt idx="11">
                  <c:v>299.75895430905598</c:v>
                </c:pt>
                <c:pt idx="12">
                  <c:v>299.75895430905598</c:v>
                </c:pt>
                <c:pt idx="13">
                  <c:v>299.75895430905598</c:v>
                </c:pt>
                <c:pt idx="14">
                  <c:v>198.29818555905598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14.417044591693713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285.34190971736228</c:v>
                </c:pt>
                <c:pt idx="1">
                  <c:v>0</c:v>
                </c:pt>
                <c:pt idx="2">
                  <c:v>0</c:v>
                </c:pt>
                <c:pt idx="3">
                  <c:v>285.34190971736228</c:v>
                </c:pt>
                <c:pt idx="4">
                  <c:v>14.417044591693713</c:v>
                </c:pt>
                <c:pt idx="5">
                  <c:v>0</c:v>
                </c:pt>
                <c:pt idx="6">
                  <c:v>299.75895430905598</c:v>
                </c:pt>
                <c:pt idx="7">
                  <c:v>0</c:v>
                </c:pt>
                <c:pt idx="8">
                  <c:v>0</c:v>
                </c:pt>
                <c:pt idx="9">
                  <c:v>299.75895430905598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198.29818555905598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516.88162273991293</c:v>
                </c:pt>
                <c:pt idx="6">
                  <c:v>480.35870932504702</c:v>
                </c:pt>
                <c:pt idx="9">
                  <c:v>430.01816482903666</c:v>
                </c:pt>
                <c:pt idx="15">
                  <c:v>162.26838817229134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516.88162273991293</c:v>
                </c:pt>
                <c:pt idx="4">
                  <c:v>480.35870932504702</c:v>
                </c:pt>
                <c:pt idx="5">
                  <c:v>480.35870932504702</c:v>
                </c:pt>
                <c:pt idx="6">
                  <c:v>0</c:v>
                </c:pt>
                <c:pt idx="7">
                  <c:v>430.01816482903666</c:v>
                </c:pt>
                <c:pt idx="8">
                  <c:v>430.01816482903666</c:v>
                </c:pt>
                <c:pt idx="9">
                  <c:v>0</c:v>
                </c:pt>
                <c:pt idx="10">
                  <c:v>219.27045424886151</c:v>
                </c:pt>
                <c:pt idx="11">
                  <c:v>219.27045424886151</c:v>
                </c:pt>
                <c:pt idx="12">
                  <c:v>219.27045424886151</c:v>
                </c:pt>
                <c:pt idx="13">
                  <c:v>219.27045424886151</c:v>
                </c:pt>
                <c:pt idx="14">
                  <c:v>162.26838817229134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0</c:v>
                </c:pt>
                <c:pt idx="2">
                  <c:v>0</c:v>
                </c:pt>
                <c:pt idx="3">
                  <c:v>516.88162273991293</c:v>
                </c:pt>
                <c:pt idx="4">
                  <c:v>36.522913414865883</c:v>
                </c:pt>
                <c:pt idx="5">
                  <c:v>0</c:v>
                </c:pt>
                <c:pt idx="6">
                  <c:v>480.35870932504702</c:v>
                </c:pt>
                <c:pt idx="7">
                  <c:v>50.340544496010359</c:v>
                </c:pt>
                <c:pt idx="8">
                  <c:v>0</c:v>
                </c:pt>
                <c:pt idx="9">
                  <c:v>430.01816482903666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162.26838817229134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516.88162273991293</c:v>
                </c:pt>
                <c:pt idx="6">
                  <c:v>480.35870932504702</c:v>
                </c:pt>
                <c:pt idx="9">
                  <c:v>430.01816482903666</c:v>
                </c:pt>
                <c:pt idx="15">
                  <c:v>162.26838817229134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516.88162273991293</c:v>
                </c:pt>
                <c:pt idx="4">
                  <c:v>480.35870932504702</c:v>
                </c:pt>
                <c:pt idx="5">
                  <c:v>480.35870932504702</c:v>
                </c:pt>
                <c:pt idx="6">
                  <c:v>0</c:v>
                </c:pt>
                <c:pt idx="7">
                  <c:v>430.01816482903666</c:v>
                </c:pt>
                <c:pt idx="8">
                  <c:v>430.01816482903666</c:v>
                </c:pt>
                <c:pt idx="9">
                  <c:v>0</c:v>
                </c:pt>
                <c:pt idx="10">
                  <c:v>219.27045424886151</c:v>
                </c:pt>
                <c:pt idx="11">
                  <c:v>219.27045424886151</c:v>
                </c:pt>
                <c:pt idx="12">
                  <c:v>219.27045424886151</c:v>
                </c:pt>
                <c:pt idx="13">
                  <c:v>219.27045424886151</c:v>
                </c:pt>
                <c:pt idx="14">
                  <c:v>162.26838817229134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0</c:v>
                </c:pt>
                <c:pt idx="2">
                  <c:v>0</c:v>
                </c:pt>
                <c:pt idx="3">
                  <c:v>516.88162273991293</c:v>
                </c:pt>
                <c:pt idx="4">
                  <c:v>36.522913414865883</c:v>
                </c:pt>
                <c:pt idx="5">
                  <c:v>0</c:v>
                </c:pt>
                <c:pt idx="6">
                  <c:v>480.35870932504702</c:v>
                </c:pt>
                <c:pt idx="7">
                  <c:v>50.340544496010359</c:v>
                </c:pt>
                <c:pt idx="8">
                  <c:v>0</c:v>
                </c:pt>
                <c:pt idx="9">
                  <c:v>430.01816482903666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162.26838817229134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zoomScale="70" zoomScaleNormal="70" workbookViewId="0">
      <selection activeCell="I48" sqref="I48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28"/>
      <c r="E1" s="728"/>
      <c r="F1" s="728"/>
      <c r="G1" s="728"/>
      <c r="H1" s="728"/>
      <c r="I1" s="728"/>
      <c r="J1" s="728"/>
      <c r="K1" s="728"/>
      <c r="L1" s="728"/>
      <c r="M1" s="728"/>
    </row>
    <row r="2" spans="2:29" s="683" customFormat="1" ht="30" customHeight="1" thickTop="1" thickBot="1" x14ac:dyDescent="0.3">
      <c r="B2" s="5"/>
      <c r="C2" s="1150" t="s">
        <v>491</v>
      </c>
      <c r="D2" s="1151"/>
      <c r="E2" s="1151"/>
      <c r="F2" s="1151"/>
      <c r="G2" s="1151"/>
      <c r="H2" s="1151"/>
      <c r="I2" s="1151"/>
      <c r="J2" s="1151"/>
      <c r="K2" s="1151"/>
      <c r="L2" s="1151"/>
      <c r="M2" s="1151"/>
      <c r="N2" s="1151"/>
      <c r="O2" s="1151"/>
      <c r="P2" s="1151"/>
      <c r="Q2" s="1151"/>
      <c r="R2" s="1151"/>
      <c r="S2" s="1151"/>
      <c r="T2" s="1151"/>
      <c r="U2" s="1152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96" t="s">
        <v>482</v>
      </c>
      <c r="D4" s="1168" t="s">
        <v>13</v>
      </c>
      <c r="E4" s="1169"/>
      <c r="F4" s="1169"/>
      <c r="G4" s="1169"/>
      <c r="H4" s="1169"/>
      <c r="I4" s="1169"/>
      <c r="J4" s="1169"/>
      <c r="K4" s="1169"/>
      <c r="L4" s="1169"/>
      <c r="M4" s="1170"/>
      <c r="O4" s="1165" t="s">
        <v>42</v>
      </c>
      <c r="Q4" s="1193" t="s">
        <v>480</v>
      </c>
      <c r="S4" s="1147" t="s">
        <v>486</v>
      </c>
      <c r="U4" s="1147" t="s">
        <v>487</v>
      </c>
    </row>
    <row r="5" spans="2:29" ht="15" customHeight="1" x14ac:dyDescent="0.25">
      <c r="B5" s="5"/>
      <c r="C5" s="1197"/>
      <c r="D5" s="1171"/>
      <c r="E5" s="1172"/>
      <c r="F5" s="1172"/>
      <c r="G5" s="1172"/>
      <c r="H5" s="1172"/>
      <c r="I5" s="1172"/>
      <c r="J5" s="1172"/>
      <c r="K5" s="1172"/>
      <c r="L5" s="1172"/>
      <c r="M5" s="1173"/>
      <c r="O5" s="1166"/>
      <c r="Q5" s="1194"/>
      <c r="S5" s="1148"/>
      <c r="U5" s="1148"/>
    </row>
    <row r="6" spans="2:29" ht="15" customHeight="1" collapsed="1" thickBot="1" x14ac:dyDescent="0.3">
      <c r="C6" s="1197"/>
      <c r="D6" s="1174"/>
      <c r="E6" s="1175"/>
      <c r="F6" s="1175"/>
      <c r="G6" s="1175"/>
      <c r="H6" s="1175"/>
      <c r="I6" s="1175"/>
      <c r="J6" s="1175"/>
      <c r="K6" s="1175"/>
      <c r="L6" s="1175"/>
      <c r="M6" s="1176"/>
      <c r="O6" s="1167"/>
      <c r="Q6" s="1195"/>
      <c r="S6" s="1149"/>
      <c r="U6" s="1149"/>
    </row>
    <row r="7" spans="2:29" ht="15" hidden="1" customHeight="1" outlineLevel="1" thickBot="1" x14ac:dyDescent="0.3">
      <c r="C7" s="946"/>
      <c r="D7" s="949" t="str">
        <f>C8</f>
        <v>Álvares Machado</v>
      </c>
      <c r="E7" s="950" t="str">
        <f>C9</f>
        <v>Caiabu</v>
      </c>
      <c r="F7" s="950" t="str">
        <f>C10</f>
        <v>Martinópolis</v>
      </c>
      <c r="G7" s="950" t="str">
        <f>C11</f>
        <v>Paraguaçu Paulista</v>
      </c>
      <c r="H7" s="950" t="str">
        <f>C12</f>
        <v>Presidente Bernardes</v>
      </c>
      <c r="I7" s="950" t="str">
        <f>C13</f>
        <v>Presidente Prudente</v>
      </c>
      <c r="J7" s="950" t="str">
        <f>C14</f>
        <v>Rancharia</v>
      </c>
      <c r="K7" s="950" t="str">
        <f>C15</f>
        <v>Regente Feijó</v>
      </c>
      <c r="L7" s="950" t="str">
        <f>C16</f>
        <v>Santo Anastácio</v>
      </c>
      <c r="M7" s="951" t="str">
        <f>C17</f>
        <v>Santo Expedito</v>
      </c>
      <c r="O7" s="943" t="s">
        <v>12</v>
      </c>
      <c r="Q7" s="940" t="s">
        <v>476</v>
      </c>
      <c r="S7" s="939" t="s">
        <v>476</v>
      </c>
      <c r="U7" s="939" t="s">
        <v>14</v>
      </c>
    </row>
    <row r="8" spans="2:29" ht="15" hidden="1" customHeight="1" outlineLevel="1" thickTop="1" thickBot="1" x14ac:dyDescent="0.3">
      <c r="B8" s="3"/>
      <c r="C8" s="952" t="s">
        <v>15</v>
      </c>
      <c r="D8" s="959">
        <v>0</v>
      </c>
      <c r="E8" s="960">
        <v>52.5</v>
      </c>
      <c r="F8" s="961">
        <v>40.799999999999997</v>
      </c>
      <c r="G8" s="961">
        <v>122</v>
      </c>
      <c r="H8" s="961">
        <v>16.7</v>
      </c>
      <c r="I8" s="962">
        <v>15.2</v>
      </c>
      <c r="J8" s="963">
        <v>71.5</v>
      </c>
      <c r="K8" s="963">
        <v>30</v>
      </c>
      <c r="L8" s="963">
        <v>25.6</v>
      </c>
      <c r="M8" s="964">
        <v>36</v>
      </c>
      <c r="N8" s="3"/>
      <c r="O8" s="918">
        <f>26.67*365/312</f>
        <v>31.200480769230772</v>
      </c>
      <c r="P8" s="3"/>
      <c r="Q8" s="918">
        <v>275</v>
      </c>
      <c r="R8" s="3"/>
      <c r="S8" s="918">
        <v>83.394247808065074</v>
      </c>
      <c r="T8" s="3"/>
      <c r="U8" s="921">
        <v>0.65</v>
      </c>
      <c r="V8" s="3"/>
      <c r="X8" s="725"/>
      <c r="Y8" s="3"/>
      <c r="Z8" s="3"/>
      <c r="AA8" s="3"/>
      <c r="AB8" s="3"/>
      <c r="AC8" s="3"/>
    </row>
    <row r="9" spans="2:29" ht="15" hidden="1" customHeight="1" outlineLevel="1" thickBot="1" x14ac:dyDescent="0.3">
      <c r="B9" s="3"/>
      <c r="C9" s="953" t="s">
        <v>16</v>
      </c>
      <c r="D9" s="965">
        <f>E8</f>
        <v>52.5</v>
      </c>
      <c r="E9" s="966">
        <v>0</v>
      </c>
      <c r="F9" s="967">
        <v>19.2</v>
      </c>
      <c r="G9" s="968">
        <v>92.3</v>
      </c>
      <c r="H9" s="968">
        <v>65.2</v>
      </c>
      <c r="I9" s="969">
        <v>40.4</v>
      </c>
      <c r="J9" s="970">
        <v>50.9</v>
      </c>
      <c r="K9" s="970">
        <v>38.4</v>
      </c>
      <c r="L9" s="970">
        <v>70.099999999999994</v>
      </c>
      <c r="M9" s="971">
        <v>53.9</v>
      </c>
      <c r="N9" s="3"/>
      <c r="O9" s="919">
        <f>1.19*365/312</f>
        <v>1.3921474358974357</v>
      </c>
      <c r="P9" s="3"/>
      <c r="Q9" s="919">
        <v>500</v>
      </c>
      <c r="R9" s="3"/>
      <c r="S9" s="919">
        <v>1008.2987797858868</v>
      </c>
      <c r="T9" s="3"/>
      <c r="U9" s="922">
        <v>0.9</v>
      </c>
      <c r="V9" s="3"/>
      <c r="X9" s="725"/>
      <c r="Y9" s="3"/>
      <c r="Z9" s="3"/>
      <c r="AA9" s="3"/>
      <c r="AB9" s="3"/>
      <c r="AC9" s="3"/>
    </row>
    <row r="10" spans="2:29" ht="15" hidden="1" customHeight="1" outlineLevel="1" thickBot="1" x14ac:dyDescent="0.3">
      <c r="B10" s="3"/>
      <c r="C10" s="953" t="s">
        <v>17</v>
      </c>
      <c r="D10" s="972">
        <f>F8</f>
        <v>40.799999999999997</v>
      </c>
      <c r="E10" s="973">
        <f>F9</f>
        <v>19.2</v>
      </c>
      <c r="F10" s="966">
        <v>0</v>
      </c>
      <c r="G10" s="967">
        <v>74.400000000000006</v>
      </c>
      <c r="H10" s="968">
        <v>52.8</v>
      </c>
      <c r="I10" s="969">
        <v>27.9</v>
      </c>
      <c r="J10" s="970">
        <v>34.299999999999997</v>
      </c>
      <c r="K10" s="970">
        <v>26.7</v>
      </c>
      <c r="L10" s="970">
        <v>61.4</v>
      </c>
      <c r="M10" s="971">
        <v>53.7</v>
      </c>
      <c r="N10" s="3"/>
      <c r="O10" s="919">
        <f>19.49*365/312</f>
        <v>22.800801282051282</v>
      </c>
      <c r="P10" s="3"/>
      <c r="Q10" s="919">
        <v>275</v>
      </c>
      <c r="R10" s="3"/>
      <c r="S10" s="919">
        <v>65.788894199343474</v>
      </c>
      <c r="T10" s="3"/>
      <c r="U10" s="922">
        <v>0.75</v>
      </c>
      <c r="V10" s="3"/>
      <c r="X10" s="725"/>
      <c r="Y10" s="3"/>
      <c r="Z10" s="3"/>
      <c r="AA10" s="3"/>
      <c r="AB10" s="3"/>
      <c r="AC10" s="3"/>
    </row>
    <row r="11" spans="2:29" ht="15" hidden="1" customHeight="1" outlineLevel="1" thickBot="1" x14ac:dyDescent="0.3">
      <c r="B11" s="3"/>
      <c r="C11" s="953" t="s">
        <v>18</v>
      </c>
      <c r="D11" s="972">
        <f>G8</f>
        <v>122</v>
      </c>
      <c r="E11" s="974">
        <f>G9</f>
        <v>92.3</v>
      </c>
      <c r="F11" s="973">
        <f>G10</f>
        <v>74.400000000000006</v>
      </c>
      <c r="G11" s="966">
        <v>0</v>
      </c>
      <c r="H11" s="967">
        <v>134</v>
      </c>
      <c r="I11" s="969">
        <v>100</v>
      </c>
      <c r="J11" s="970">
        <v>42.3</v>
      </c>
      <c r="K11" s="970">
        <v>100</v>
      </c>
      <c r="L11" s="970">
        <v>143</v>
      </c>
      <c r="M11" s="971">
        <v>127</v>
      </c>
      <c r="N11" s="3"/>
      <c r="O11" s="919">
        <f>30.39*365/312</f>
        <v>35.552403846153844</v>
      </c>
      <c r="P11" s="3"/>
      <c r="Q11" s="919">
        <v>275</v>
      </c>
      <c r="R11" s="3"/>
      <c r="S11" s="919">
        <v>73.736906516653377</v>
      </c>
      <c r="T11" s="3"/>
      <c r="U11" s="922">
        <v>0.65</v>
      </c>
      <c r="V11" s="3"/>
      <c r="X11" s="725"/>
      <c r="Y11" s="3"/>
      <c r="Z11" s="3"/>
      <c r="AA11" s="3"/>
      <c r="AB11" s="3"/>
      <c r="AC11" s="3"/>
    </row>
    <row r="12" spans="2:29" ht="15" hidden="1" customHeight="1" outlineLevel="1" thickBot="1" x14ac:dyDescent="0.3">
      <c r="B12" s="3"/>
      <c r="C12" s="953" t="s">
        <v>19</v>
      </c>
      <c r="D12" s="972">
        <f>H8</f>
        <v>16.7</v>
      </c>
      <c r="E12" s="974">
        <f>H9</f>
        <v>65.2</v>
      </c>
      <c r="F12" s="974">
        <f>H10</f>
        <v>52.8</v>
      </c>
      <c r="G12" s="973">
        <f>H11</f>
        <v>134</v>
      </c>
      <c r="H12" s="966">
        <v>0</v>
      </c>
      <c r="I12" s="975">
        <v>26.7</v>
      </c>
      <c r="J12" s="970">
        <v>85.2</v>
      </c>
      <c r="K12" s="970">
        <v>42.4</v>
      </c>
      <c r="L12" s="970">
        <v>16.899999999999999</v>
      </c>
      <c r="M12" s="971">
        <v>34.200000000000003</v>
      </c>
      <c r="N12" s="3"/>
      <c r="O12" s="919">
        <f>12.64*365/312</f>
        <v>14.787179487179488</v>
      </c>
      <c r="P12" s="3"/>
      <c r="Q12" s="919">
        <v>500</v>
      </c>
      <c r="R12" s="3"/>
      <c r="S12" s="919">
        <v>99.003207907057373</v>
      </c>
      <c r="T12" s="3"/>
      <c r="U12" s="922">
        <v>0.75</v>
      </c>
      <c r="V12" s="3"/>
      <c r="X12" s="725"/>
      <c r="Y12" s="3"/>
      <c r="Z12" s="3"/>
      <c r="AA12" s="3"/>
      <c r="AB12" s="3"/>
      <c r="AC12" s="3"/>
    </row>
    <row r="13" spans="2:29" ht="15" hidden="1" customHeight="1" outlineLevel="1" thickBot="1" x14ac:dyDescent="0.3">
      <c r="B13" s="3"/>
      <c r="C13" s="953" t="s">
        <v>20</v>
      </c>
      <c r="D13" s="972">
        <f>I8</f>
        <v>15.2</v>
      </c>
      <c r="E13" s="974">
        <f>I9</f>
        <v>40.4</v>
      </c>
      <c r="F13" s="974">
        <f>I10</f>
        <v>27.9</v>
      </c>
      <c r="G13" s="974">
        <f>I11</f>
        <v>100</v>
      </c>
      <c r="H13" s="973">
        <f>I12</f>
        <v>26.7</v>
      </c>
      <c r="I13" s="966">
        <v>0</v>
      </c>
      <c r="J13" s="975">
        <v>60.3</v>
      </c>
      <c r="K13" s="970">
        <v>17.399999999999999</v>
      </c>
      <c r="L13" s="970">
        <v>34</v>
      </c>
      <c r="M13" s="971">
        <v>41.7</v>
      </c>
      <c r="N13" s="3"/>
      <c r="O13" s="919">
        <f>262.25*365/312</f>
        <v>306.79887820512823</v>
      </c>
      <c r="P13" s="3"/>
      <c r="Q13" s="919">
        <v>100</v>
      </c>
      <c r="R13" s="3"/>
      <c r="S13" s="919">
        <v>29.886212570354019</v>
      </c>
      <c r="T13" s="3"/>
      <c r="U13" s="922">
        <v>0.5</v>
      </c>
      <c r="V13" s="3"/>
      <c r="X13" s="725"/>
      <c r="Y13" s="3"/>
      <c r="Z13" s="3"/>
      <c r="AA13" s="3"/>
      <c r="AB13" s="3"/>
      <c r="AC13" s="3"/>
    </row>
    <row r="14" spans="2:29" ht="15" hidden="1" customHeight="1" outlineLevel="1" thickBot="1" x14ac:dyDescent="0.3">
      <c r="B14" s="3"/>
      <c r="C14" s="953" t="s">
        <v>21</v>
      </c>
      <c r="D14" s="972">
        <f>J8</f>
        <v>71.5</v>
      </c>
      <c r="E14" s="974">
        <f>J9</f>
        <v>50.9</v>
      </c>
      <c r="F14" s="974">
        <f>J10</f>
        <v>34.299999999999997</v>
      </c>
      <c r="G14" s="974">
        <f>J11</f>
        <v>42.3</v>
      </c>
      <c r="H14" s="974">
        <f>J12</f>
        <v>85.2</v>
      </c>
      <c r="I14" s="973">
        <f>J13</f>
        <v>60.3</v>
      </c>
      <c r="J14" s="966">
        <v>0</v>
      </c>
      <c r="K14" s="975">
        <v>57.4</v>
      </c>
      <c r="L14" s="970">
        <v>92.1</v>
      </c>
      <c r="M14" s="971">
        <v>85.3</v>
      </c>
      <c r="N14" s="3"/>
      <c r="O14" s="919">
        <f>19.43*365/312</f>
        <v>22.730608974358972</v>
      </c>
      <c r="P14" s="3"/>
      <c r="Q14" s="919">
        <v>275</v>
      </c>
      <c r="R14" s="3"/>
      <c r="S14" s="919">
        <v>65.978154809326071</v>
      </c>
      <c r="T14" s="3"/>
      <c r="U14" s="922">
        <v>0.75</v>
      </c>
      <c r="V14" s="3"/>
      <c r="X14" s="725"/>
      <c r="Y14" s="3"/>
      <c r="Z14" s="3"/>
      <c r="AA14" s="3"/>
      <c r="AB14" s="3"/>
      <c r="AC14" s="3"/>
    </row>
    <row r="15" spans="2:29" ht="15" hidden="1" customHeight="1" outlineLevel="1" thickBot="1" x14ac:dyDescent="0.3">
      <c r="B15" s="3"/>
      <c r="C15" s="953" t="s">
        <v>22</v>
      </c>
      <c r="D15" s="972">
        <f>K8</f>
        <v>30</v>
      </c>
      <c r="E15" s="974">
        <f>K9</f>
        <v>38.4</v>
      </c>
      <c r="F15" s="974">
        <f>K10</f>
        <v>26.7</v>
      </c>
      <c r="G15" s="974">
        <f>K11</f>
        <v>100</v>
      </c>
      <c r="H15" s="976">
        <f>K12</f>
        <v>42.4</v>
      </c>
      <c r="I15" s="977">
        <f>K13</f>
        <v>17.399999999999999</v>
      </c>
      <c r="J15" s="978">
        <f>K14</f>
        <v>57.4</v>
      </c>
      <c r="K15" s="966">
        <v>0</v>
      </c>
      <c r="L15" s="975">
        <v>50.5</v>
      </c>
      <c r="M15" s="971">
        <v>61.5</v>
      </c>
      <c r="N15" s="3"/>
      <c r="O15" s="919">
        <f>13.72*365/312</f>
        <v>16.050641025641028</v>
      </c>
      <c r="P15" s="3"/>
      <c r="Q15" s="919">
        <v>275</v>
      </c>
      <c r="R15" s="3"/>
      <c r="S15" s="919">
        <v>91.564179879388121</v>
      </c>
      <c r="T15" s="3"/>
      <c r="U15" s="922">
        <v>0.75</v>
      </c>
      <c r="V15" s="3"/>
      <c r="X15" s="725"/>
      <c r="Y15" s="3"/>
      <c r="Z15" s="3"/>
      <c r="AA15" s="3"/>
      <c r="AB15" s="3"/>
      <c r="AC15" s="3"/>
    </row>
    <row r="16" spans="2:29" ht="15" hidden="1" customHeight="1" outlineLevel="1" thickBot="1" x14ac:dyDescent="0.3">
      <c r="B16" s="3"/>
      <c r="C16" s="953" t="s">
        <v>24</v>
      </c>
      <c r="D16" s="972">
        <f>L8</f>
        <v>25.6</v>
      </c>
      <c r="E16" s="974">
        <f>L9</f>
        <v>70.099999999999994</v>
      </c>
      <c r="F16" s="974">
        <f>L10</f>
        <v>61.4</v>
      </c>
      <c r="G16" s="974">
        <f>L11</f>
        <v>143</v>
      </c>
      <c r="H16" s="974">
        <f>L12</f>
        <v>16.899999999999999</v>
      </c>
      <c r="I16" s="977">
        <f>L13</f>
        <v>34</v>
      </c>
      <c r="J16" s="979">
        <f>L14</f>
        <v>92.1</v>
      </c>
      <c r="K16" s="978">
        <f>L15</f>
        <v>50.5</v>
      </c>
      <c r="L16" s="966">
        <v>0</v>
      </c>
      <c r="M16" s="980">
        <v>52.3</v>
      </c>
      <c r="N16" s="3"/>
      <c r="O16" s="919">
        <f>16.78*365/312</f>
        <v>19.63044871794872</v>
      </c>
      <c r="P16" s="3"/>
      <c r="Q16" s="919">
        <v>275</v>
      </c>
      <c r="R16" s="3"/>
      <c r="S16" s="919">
        <v>75.68716018743774</v>
      </c>
      <c r="T16" s="3"/>
      <c r="U16" s="922">
        <v>0.75</v>
      </c>
      <c r="V16" s="3"/>
      <c r="X16" s="725"/>
      <c r="Y16" s="3"/>
      <c r="Z16" s="3"/>
      <c r="AA16" s="3"/>
      <c r="AB16" s="3"/>
      <c r="AC16" s="3"/>
    </row>
    <row r="17" spans="1:56" ht="15" hidden="1" customHeight="1" outlineLevel="1" thickBot="1" x14ac:dyDescent="0.3">
      <c r="B17" s="3"/>
      <c r="C17" s="954" t="s">
        <v>23</v>
      </c>
      <c r="D17" s="981">
        <f>M8</f>
        <v>36</v>
      </c>
      <c r="E17" s="982">
        <f>M9</f>
        <v>53.9</v>
      </c>
      <c r="F17" s="982">
        <f>M10</f>
        <v>53.7</v>
      </c>
      <c r="G17" s="982">
        <f>M11</f>
        <v>127</v>
      </c>
      <c r="H17" s="982">
        <f>M12</f>
        <v>34.200000000000003</v>
      </c>
      <c r="I17" s="983">
        <f>M13</f>
        <v>41.7</v>
      </c>
      <c r="J17" s="984">
        <f>M14</f>
        <v>85.3</v>
      </c>
      <c r="K17" s="984">
        <f>M15</f>
        <v>61.5</v>
      </c>
      <c r="L17" s="985">
        <f>M16</f>
        <v>52.3</v>
      </c>
      <c r="M17" s="966">
        <v>0</v>
      </c>
      <c r="N17" s="3"/>
      <c r="O17" s="920">
        <f>1.81*365/312</f>
        <v>2.1174679487179486</v>
      </c>
      <c r="P17" s="3"/>
      <c r="Q17" s="920">
        <v>500</v>
      </c>
      <c r="R17" s="3"/>
      <c r="S17" s="920">
        <v>664.45610383713006</v>
      </c>
      <c r="T17" s="3"/>
      <c r="U17" s="923">
        <v>0.9</v>
      </c>
      <c r="V17" s="3"/>
      <c r="X17" s="725"/>
      <c r="Y17" s="3"/>
      <c r="Z17" s="3"/>
      <c r="AA17" s="3"/>
      <c r="AB17" s="3"/>
      <c r="AC17" s="3"/>
    </row>
    <row r="18" spans="1:56" ht="4.9000000000000004" hidden="1" customHeight="1" outlineLevel="1" thickTop="1" thickBot="1" x14ac:dyDescent="0.3">
      <c r="B18" s="3"/>
      <c r="C18" s="1005"/>
      <c r="D18" s="1006"/>
      <c r="E18" s="1006"/>
      <c r="F18" s="1006"/>
      <c r="G18" s="1006"/>
      <c r="H18" s="1006"/>
      <c r="I18" s="1006"/>
      <c r="J18" s="1006"/>
      <c r="K18" s="1007"/>
      <c r="L18" s="1006"/>
      <c r="M18" s="1006"/>
      <c r="N18" s="3"/>
      <c r="O18" s="1005"/>
      <c r="P18" s="3"/>
      <c r="Q18" s="1008"/>
      <c r="R18" s="3"/>
      <c r="S18" s="1008"/>
      <c r="T18" s="3"/>
      <c r="U18" s="1007"/>
      <c r="V18" s="947"/>
      <c r="W18" s="1009"/>
      <c r="X18" s="1006"/>
      <c r="Y18" s="1006"/>
      <c r="Z18" s="1006"/>
      <c r="AA18" s="1006"/>
      <c r="AB18" s="1006"/>
      <c r="AC18" s="1006"/>
      <c r="AD18" s="1006"/>
      <c r="AE18" s="1006"/>
      <c r="AF18" s="1006"/>
      <c r="AG18" s="1006"/>
      <c r="AH18" s="1006"/>
      <c r="AI18" s="1006"/>
      <c r="AJ18" s="1006"/>
      <c r="AK18" s="1006"/>
      <c r="AL18" s="1006"/>
      <c r="AM18" s="1006"/>
      <c r="AN18" s="1006"/>
      <c r="AO18" s="1006"/>
      <c r="AP18" s="1006"/>
      <c r="AQ18" s="1006"/>
      <c r="AR18" s="1006"/>
      <c r="AS18" s="1006"/>
      <c r="AT18" s="1006"/>
      <c r="AU18" s="1005"/>
      <c r="AV18" s="1006"/>
      <c r="AW18" s="1006"/>
      <c r="AX18" s="1006"/>
      <c r="AY18" s="1006"/>
      <c r="AZ18" s="1006"/>
      <c r="BA18" s="3"/>
    </row>
    <row r="19" spans="1:56" ht="16.5" hidden="1" outlineLevel="1" thickTop="1" thickBot="1" x14ac:dyDescent="0.3">
      <c r="B19" s="3"/>
      <c r="C19" s="1010" t="s">
        <v>43</v>
      </c>
      <c r="D19" s="1011">
        <f>AVERAGE(D8:D17)</f>
        <v>41.03</v>
      </c>
      <c r="E19" s="1012">
        <f t="shared" ref="E19:M19" si="0">AVERAGE(E8:E17)</f>
        <v>48.289999999999985</v>
      </c>
      <c r="F19" s="1012">
        <f t="shared" si="0"/>
        <v>39.11999999999999</v>
      </c>
      <c r="G19" s="1012">
        <f t="shared" si="0"/>
        <v>93.5</v>
      </c>
      <c r="H19" s="1012">
        <f t="shared" si="0"/>
        <v>47.409999999999989</v>
      </c>
      <c r="I19" s="1012">
        <f t="shared" si="0"/>
        <v>36.36</v>
      </c>
      <c r="J19" s="1012">
        <f t="shared" si="0"/>
        <v>57.929999999999993</v>
      </c>
      <c r="K19" s="1012">
        <f t="shared" si="0"/>
        <v>42.43</v>
      </c>
      <c r="L19" s="1012">
        <f t="shared" si="0"/>
        <v>54.589999999999996</v>
      </c>
      <c r="M19" s="1013">
        <f t="shared" si="0"/>
        <v>54.56</v>
      </c>
      <c r="N19" s="3"/>
      <c r="O19" s="957">
        <f>SUM(O8:O17)</f>
        <v>473.06105769230766</v>
      </c>
      <c r="P19" s="3"/>
      <c r="Q19" s="941">
        <f>(O8*Q8+O9*Q9+O10*Q10+O11*Q11+O12*Q12+O13*Q13+O14*Q14+O15*Q15+O16*Q16+O17*Q17)/$O$19</f>
        <v>170.20797784207534</v>
      </c>
      <c r="R19" s="3"/>
      <c r="S19" s="941">
        <f>(O8*S8+O9*S9+O10*S10+O11*S11+O12*S12+O13*S13+O14*S14+O15*S15+O16*S16+O17*S17)/$O$19</f>
        <v>52.049020106026582</v>
      </c>
      <c r="T19" s="3"/>
      <c r="U19" s="681">
        <f>(O8*U8+O9*U9+O10*U10+O11*U11+O12*U12+O13*U13+O14*U14+O15*U15+O16*U16+O17*U17)/$O$19</f>
        <v>0.57486707718178909</v>
      </c>
      <c r="V19" s="3"/>
      <c r="W19" s="947"/>
      <c r="X19" s="947"/>
      <c r="Y19" s="947"/>
      <c r="Z19" s="947"/>
      <c r="AA19" s="947"/>
      <c r="AB19" s="947"/>
      <c r="AC19" s="947"/>
      <c r="AD19" s="947"/>
      <c r="AE19" s="947"/>
      <c r="AF19" s="947"/>
      <c r="AG19" s="947"/>
      <c r="AH19" s="947"/>
      <c r="AI19" s="947"/>
      <c r="AJ19" s="947"/>
      <c r="AK19" s="947"/>
      <c r="AL19" s="947"/>
      <c r="AM19" s="947"/>
      <c r="AN19" s="947"/>
      <c r="AO19" s="947"/>
      <c r="AP19" s="947"/>
      <c r="AQ19" s="947"/>
      <c r="AR19" s="947"/>
      <c r="AS19" s="947"/>
      <c r="AT19" s="947"/>
      <c r="AU19" s="947"/>
      <c r="AV19" s="947"/>
      <c r="AW19" s="947"/>
      <c r="AX19" s="947"/>
      <c r="AY19" s="947"/>
      <c r="AZ19" s="947"/>
      <c r="BA19" s="23"/>
      <c r="BB19" s="24"/>
    </row>
    <row r="20" spans="1:56" ht="16.5" hidden="1" outlineLevel="1" thickTop="1" thickBot="1" x14ac:dyDescent="0.3">
      <c r="B20" s="3"/>
      <c r="C20" s="1010" t="s">
        <v>488</v>
      </c>
      <c r="D20" s="1014">
        <f>STDEV(D8:D17)</f>
        <v>34.870906370656769</v>
      </c>
      <c r="E20" s="1015">
        <f t="shared" ref="E20:M20" si="1">STDEV(E8:E17)</f>
        <v>26.018645024076292</v>
      </c>
      <c r="F20" s="1015">
        <f t="shared" si="1"/>
        <v>22.04585120959397</v>
      </c>
      <c r="G20" s="1015">
        <f t="shared" si="1"/>
        <v>44.521455501813961</v>
      </c>
      <c r="H20" s="1015">
        <f t="shared" si="1"/>
        <v>39.470986531600381</v>
      </c>
      <c r="I20" s="1015">
        <f t="shared" si="1"/>
        <v>27.824337867733313</v>
      </c>
      <c r="J20" s="1015">
        <f t="shared" si="1"/>
        <v>28.004723807878481</v>
      </c>
      <c r="K20" s="1015">
        <f t="shared" si="1"/>
        <v>27.511979209064542</v>
      </c>
      <c r="L20" s="1015">
        <f t="shared" si="1"/>
        <v>41.092320180026071</v>
      </c>
      <c r="M20" s="1016">
        <f t="shared" si="1"/>
        <v>33.579299178710272</v>
      </c>
      <c r="N20" s="682"/>
      <c r="O20" s="956">
        <f>O19*312</f>
        <v>147595.04999999999</v>
      </c>
      <c r="P20" s="682"/>
      <c r="Q20" s="958" t="s">
        <v>5</v>
      </c>
      <c r="R20" s="947"/>
      <c r="S20" s="1017"/>
      <c r="T20" s="947"/>
      <c r="U20" s="1017"/>
      <c r="V20" s="947"/>
      <c r="W20" s="947"/>
      <c r="X20" s="947"/>
      <c r="Y20" s="947"/>
      <c r="Z20" s="947"/>
      <c r="AA20" s="947"/>
      <c r="AB20" s="947"/>
      <c r="AC20" s="947"/>
      <c r="AD20" s="947"/>
      <c r="AE20" s="947"/>
      <c r="AF20" s="947"/>
      <c r="AG20" s="947"/>
      <c r="AH20" s="947"/>
      <c r="AI20" s="947"/>
      <c r="AJ20" s="947"/>
      <c r="AK20" s="947"/>
      <c r="AL20" s="947"/>
      <c r="AM20" s="947"/>
      <c r="AN20" s="947"/>
      <c r="AO20" s="947"/>
      <c r="AP20" s="947"/>
      <c r="AQ20" s="947"/>
      <c r="AR20" s="947"/>
      <c r="AS20" s="947"/>
      <c r="AT20" s="947"/>
      <c r="AU20" s="947"/>
      <c r="AV20" s="947"/>
      <c r="AW20" s="947"/>
      <c r="AX20" s="947"/>
      <c r="AY20" s="947"/>
      <c r="AZ20" s="947"/>
      <c r="BA20" s="23"/>
      <c r="BB20" s="24"/>
    </row>
    <row r="21" spans="1:56" ht="15.75" hidden="1" outlineLevel="1" thickTop="1" x14ac:dyDescent="0.25">
      <c r="A21" s="2"/>
      <c r="B21" s="3"/>
      <c r="F21" s="1018"/>
      <c r="G21" s="1018"/>
      <c r="H21" s="1018"/>
      <c r="M21" s="1018"/>
      <c r="N21" s="753"/>
      <c r="P21" s="3"/>
      <c r="Q21" s="21"/>
      <c r="R21" s="21"/>
      <c r="S21" s="21"/>
      <c r="T21" s="753"/>
      <c r="U21" s="948"/>
      <c r="V21" s="753"/>
      <c r="W21" s="753"/>
      <c r="X21" s="753"/>
      <c r="Y21" s="753"/>
      <c r="Z21" s="753"/>
      <c r="AA21" s="753"/>
      <c r="AB21" s="753"/>
      <c r="AC21" s="753"/>
      <c r="AD21" s="753"/>
      <c r="AE21" s="753"/>
      <c r="AF21" s="753"/>
      <c r="AG21" s="753"/>
      <c r="AH21" s="753"/>
      <c r="AI21" s="753"/>
      <c r="AJ21" s="753"/>
      <c r="AK21" s="753"/>
      <c r="AL21" s="753"/>
      <c r="AM21" s="753"/>
      <c r="AN21" s="753"/>
      <c r="AO21" s="753"/>
      <c r="AP21" s="753"/>
      <c r="AQ21" s="753"/>
      <c r="AR21" s="753"/>
      <c r="AS21" s="753"/>
      <c r="AT21" s="753"/>
      <c r="AU21" s="753"/>
      <c r="AV21" s="753"/>
      <c r="AW21" s="753"/>
      <c r="AX21" s="753"/>
      <c r="AY21" s="753"/>
      <c r="AZ21" s="753"/>
      <c r="BA21" s="1005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53"/>
      <c r="U22" s="948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43" t="str">
        <f>O7</f>
        <v>t.(d)-1</v>
      </c>
      <c r="P23" s="1">
        <f t="shared" ref="P23:U23" si="2">P7</f>
        <v>0</v>
      </c>
      <c r="Q23" s="940" t="str">
        <f t="shared" si="2"/>
        <v>R$.(t RSU)-1</v>
      </c>
      <c r="R23" s="1">
        <f t="shared" si="2"/>
        <v>0</v>
      </c>
      <c r="S23" s="939" t="str">
        <f t="shared" si="2"/>
        <v>R$.(t RSU)-1</v>
      </c>
      <c r="T23" s="1">
        <f t="shared" si="2"/>
        <v>0</v>
      </c>
      <c r="U23" s="939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6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34">
        <f t="shared" ref="O24:U24" si="4">O8</f>
        <v>31.200480769230772</v>
      </c>
      <c r="P24" s="363">
        <f t="shared" si="4"/>
        <v>0</v>
      </c>
      <c r="Q24" s="1034">
        <f t="shared" si="4"/>
        <v>275</v>
      </c>
      <c r="R24" s="363">
        <f t="shared" si="4"/>
        <v>0</v>
      </c>
      <c r="S24" s="1034">
        <f t="shared" si="4"/>
        <v>83.394247808065074</v>
      </c>
      <c r="T24" s="363">
        <f t="shared" si="4"/>
        <v>0</v>
      </c>
      <c r="U24" s="1035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6">
        <f t="shared" ref="O25:U25" si="6">O9</f>
        <v>1.3921474358974357</v>
      </c>
      <c r="P25" s="363">
        <f t="shared" si="6"/>
        <v>0</v>
      </c>
      <c r="Q25" s="1036">
        <f t="shared" si="6"/>
        <v>500</v>
      </c>
      <c r="R25" s="363">
        <f t="shared" si="6"/>
        <v>0</v>
      </c>
      <c r="S25" s="1036">
        <f t="shared" si="6"/>
        <v>1008.2987797858868</v>
      </c>
      <c r="T25" s="363">
        <f t="shared" si="6"/>
        <v>0</v>
      </c>
      <c r="U25" s="1037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6">
        <f t="shared" ref="O26:U26" si="8">O10</f>
        <v>22.800801282051282</v>
      </c>
      <c r="P26" s="363">
        <f t="shared" si="8"/>
        <v>0</v>
      </c>
      <c r="Q26" s="1036">
        <f t="shared" si="8"/>
        <v>275</v>
      </c>
      <c r="R26" s="363">
        <f t="shared" si="8"/>
        <v>0</v>
      </c>
      <c r="S26" s="1036">
        <f t="shared" si="8"/>
        <v>65.788894199343474</v>
      </c>
      <c r="T26" s="363">
        <f t="shared" si="8"/>
        <v>0</v>
      </c>
      <c r="U26" s="1037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6">
        <f t="shared" ref="O27:U27" si="10">O11</f>
        <v>35.552403846153844</v>
      </c>
      <c r="P27" s="363">
        <f t="shared" si="10"/>
        <v>0</v>
      </c>
      <c r="Q27" s="1036">
        <f t="shared" si="10"/>
        <v>275</v>
      </c>
      <c r="R27" s="363">
        <f t="shared" si="10"/>
        <v>0</v>
      </c>
      <c r="S27" s="1036">
        <f t="shared" si="10"/>
        <v>73.736906516653377</v>
      </c>
      <c r="T27" s="363">
        <f t="shared" si="10"/>
        <v>0</v>
      </c>
      <c r="U27" s="1037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6">
        <f t="shared" ref="O28:U28" si="12">O12</f>
        <v>14.787179487179488</v>
      </c>
      <c r="P28" s="363">
        <f t="shared" si="12"/>
        <v>0</v>
      </c>
      <c r="Q28" s="1036">
        <f t="shared" si="12"/>
        <v>500</v>
      </c>
      <c r="R28" s="363">
        <f t="shared" si="12"/>
        <v>0</v>
      </c>
      <c r="S28" s="1036">
        <f t="shared" si="12"/>
        <v>99.003207907057373</v>
      </c>
      <c r="T28" s="363">
        <f t="shared" si="12"/>
        <v>0</v>
      </c>
      <c r="U28" s="1037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6">
        <f t="shared" ref="O29:U29" si="14">O13</f>
        <v>306.79887820512823</v>
      </c>
      <c r="P29" s="363">
        <f t="shared" si="14"/>
        <v>0</v>
      </c>
      <c r="Q29" s="1036">
        <f t="shared" si="14"/>
        <v>100</v>
      </c>
      <c r="R29" s="363">
        <f t="shared" si="14"/>
        <v>0</v>
      </c>
      <c r="S29" s="1036">
        <f t="shared" si="14"/>
        <v>29.886212570354019</v>
      </c>
      <c r="T29" s="363">
        <f t="shared" si="14"/>
        <v>0</v>
      </c>
      <c r="U29" s="1037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6">
        <f t="shared" ref="O30:U30" si="16">O14</f>
        <v>22.730608974358972</v>
      </c>
      <c r="P30" s="363">
        <f t="shared" si="16"/>
        <v>0</v>
      </c>
      <c r="Q30" s="1036">
        <f t="shared" si="16"/>
        <v>275</v>
      </c>
      <c r="R30" s="363">
        <f t="shared" si="16"/>
        <v>0</v>
      </c>
      <c r="S30" s="1036">
        <f t="shared" si="16"/>
        <v>65.978154809326071</v>
      </c>
      <c r="T30" s="363">
        <f t="shared" si="16"/>
        <v>0</v>
      </c>
      <c r="U30" s="1037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6">
        <f t="shared" ref="O31:U31" si="18">O15</f>
        <v>16.050641025641028</v>
      </c>
      <c r="P31" s="363">
        <f t="shared" si="18"/>
        <v>0</v>
      </c>
      <c r="Q31" s="1036">
        <f t="shared" si="18"/>
        <v>275</v>
      </c>
      <c r="R31" s="363">
        <f t="shared" si="18"/>
        <v>0</v>
      </c>
      <c r="S31" s="1036">
        <f t="shared" si="18"/>
        <v>91.564179879388121</v>
      </c>
      <c r="T31" s="363">
        <f t="shared" si="18"/>
        <v>0</v>
      </c>
      <c r="U31" s="1037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6">
        <f t="shared" ref="O32:U32" si="20">O16</f>
        <v>19.63044871794872</v>
      </c>
      <c r="P32" s="363">
        <f t="shared" si="20"/>
        <v>0</v>
      </c>
      <c r="Q32" s="1036">
        <f t="shared" si="20"/>
        <v>275</v>
      </c>
      <c r="R32" s="363">
        <f t="shared" si="20"/>
        <v>0</v>
      </c>
      <c r="S32" s="1036">
        <f t="shared" si="20"/>
        <v>75.68716018743774</v>
      </c>
      <c r="T32" s="363">
        <f t="shared" si="20"/>
        <v>0</v>
      </c>
      <c r="U32" s="1037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8">
        <f t="shared" ref="O33:U33" si="22">O17</f>
        <v>2.1174679487179486</v>
      </c>
      <c r="P33" s="363">
        <f t="shared" si="22"/>
        <v>0</v>
      </c>
      <c r="Q33" s="1038">
        <f t="shared" si="22"/>
        <v>500</v>
      </c>
      <c r="R33" s="363">
        <f t="shared" si="22"/>
        <v>0</v>
      </c>
      <c r="S33" s="1038">
        <f t="shared" si="22"/>
        <v>664.45610383713006</v>
      </c>
      <c r="T33" s="363">
        <f t="shared" si="22"/>
        <v>0</v>
      </c>
      <c r="U33" s="1039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5"/>
      <c r="D34" s="1006"/>
      <c r="E34" s="1006"/>
      <c r="F34" s="1006"/>
      <c r="G34" s="1006"/>
      <c r="H34" s="1006"/>
      <c r="I34" s="1006"/>
      <c r="J34" s="1006"/>
      <c r="K34" s="1007"/>
      <c r="L34" s="1006"/>
      <c r="M34" s="1006"/>
      <c r="N34" s="3"/>
      <c r="O34" s="1005"/>
      <c r="P34" s="3">
        <f>P18</f>
        <v>0</v>
      </c>
      <c r="Q34" s="1008"/>
      <c r="R34" s="3">
        <f>R18</f>
        <v>0</v>
      </c>
      <c r="S34" s="1008"/>
      <c r="T34" s="3">
        <f>T18</f>
        <v>0</v>
      </c>
      <c r="U34" s="1007"/>
      <c r="V34" s="3"/>
      <c r="W34" s="1006"/>
      <c r="X34" s="1006"/>
      <c r="Y34" s="1006"/>
      <c r="Z34" s="1006"/>
      <c r="AA34" s="1006"/>
      <c r="AB34" s="1006"/>
      <c r="AC34" s="1006"/>
      <c r="AD34" s="1006"/>
      <c r="AE34" s="1006"/>
      <c r="AF34" s="1006"/>
      <c r="AG34" s="1006"/>
      <c r="AH34" s="1006"/>
      <c r="AI34" s="1006"/>
      <c r="AJ34" s="1006"/>
      <c r="AK34" s="1006"/>
      <c r="AL34" s="1006"/>
      <c r="AM34" s="1006"/>
      <c r="AN34" s="1006"/>
      <c r="AO34" s="1006"/>
      <c r="AP34" s="1006"/>
      <c r="AQ34" s="1006"/>
      <c r="AR34" s="1006"/>
      <c r="AS34" s="1006"/>
      <c r="AT34" s="1006"/>
      <c r="AU34" s="1005"/>
      <c r="AV34" s="1006"/>
      <c r="AW34" s="1006"/>
      <c r="AX34" s="1006"/>
      <c r="AY34" s="1006"/>
      <c r="AZ34" s="1006"/>
      <c r="BA34" s="3"/>
    </row>
    <row r="35" spans="1:54" ht="16.5" thickTop="1" thickBot="1" x14ac:dyDescent="0.3">
      <c r="B35" s="3"/>
      <c r="C35" s="1010" t="s">
        <v>43</v>
      </c>
      <c r="D35" s="1019">
        <f>AVERAGE(D24:D33)</f>
        <v>41.03</v>
      </c>
      <c r="E35" s="1020">
        <f t="shared" ref="E35:M35" si="23">AVERAGE(E24:E33)</f>
        <v>48.289999999999985</v>
      </c>
      <c r="F35" s="1020">
        <f t="shared" si="23"/>
        <v>39.11999999999999</v>
      </c>
      <c r="G35" s="1020">
        <f t="shared" si="23"/>
        <v>93.5</v>
      </c>
      <c r="H35" s="1020">
        <f t="shared" si="23"/>
        <v>47.409999999999989</v>
      </c>
      <c r="I35" s="1020">
        <f t="shared" si="23"/>
        <v>36.36</v>
      </c>
      <c r="J35" s="1020">
        <f t="shared" si="23"/>
        <v>57.929999999999993</v>
      </c>
      <c r="K35" s="1020">
        <f t="shared" si="23"/>
        <v>42.43</v>
      </c>
      <c r="L35" s="1020">
        <f t="shared" si="23"/>
        <v>54.589999999999996</v>
      </c>
      <c r="M35" s="1021">
        <f t="shared" si="23"/>
        <v>54.56</v>
      </c>
      <c r="N35" s="3"/>
      <c r="O35" s="957">
        <f t="shared" ref="O35:U35" si="24">O19</f>
        <v>473.06105769230766</v>
      </c>
      <c r="P35" s="3">
        <f t="shared" si="24"/>
        <v>0</v>
      </c>
      <c r="Q35" s="941">
        <f t="shared" si="24"/>
        <v>170.20797784207534</v>
      </c>
      <c r="R35" s="3">
        <f t="shared" si="24"/>
        <v>0</v>
      </c>
      <c r="S35" s="941">
        <f t="shared" si="24"/>
        <v>52.049020106026582</v>
      </c>
      <c r="T35" s="3">
        <f t="shared" si="24"/>
        <v>0</v>
      </c>
      <c r="U35" s="681">
        <f t="shared" si="24"/>
        <v>0.57486707718178909</v>
      </c>
      <c r="V35" s="3"/>
      <c r="W35" s="23"/>
      <c r="X35" s="947"/>
      <c r="Y35" s="947"/>
      <c r="Z35" s="947"/>
      <c r="AA35" s="947"/>
      <c r="AB35" s="947"/>
      <c r="AC35" s="947"/>
      <c r="AD35" s="947"/>
      <c r="AE35" s="947"/>
      <c r="AF35" s="947"/>
      <c r="AG35" s="947"/>
      <c r="AH35" s="947"/>
      <c r="AI35" s="947"/>
      <c r="AJ35" s="947"/>
      <c r="AK35" s="947"/>
      <c r="AL35" s="947"/>
      <c r="AM35" s="947"/>
      <c r="AN35" s="947"/>
      <c r="AO35" s="947"/>
      <c r="AP35" s="947"/>
      <c r="AQ35" s="947"/>
      <c r="AR35" s="947"/>
      <c r="AS35" s="947"/>
      <c r="AT35" s="947"/>
      <c r="AU35" s="947"/>
      <c r="AV35" s="947"/>
      <c r="AW35" s="947"/>
      <c r="AX35" s="947"/>
      <c r="AY35" s="947"/>
      <c r="AZ35" s="947"/>
      <c r="BA35" s="23"/>
      <c r="BB35" s="24"/>
    </row>
    <row r="36" spans="1:54" ht="16.5" thickTop="1" thickBot="1" x14ac:dyDescent="0.3">
      <c r="B36" s="3"/>
      <c r="C36" s="1010" t="s">
        <v>488</v>
      </c>
      <c r="D36" s="1022">
        <f>STDEV(D24:D33)</f>
        <v>34.870906370656769</v>
      </c>
      <c r="E36" s="1023">
        <f>STDEV(E24:E33)</f>
        <v>26.018645024076292</v>
      </c>
      <c r="F36" s="1023">
        <f t="shared" ref="F36:M36" si="25">STDEV(F24:F33)</f>
        <v>22.04585120959397</v>
      </c>
      <c r="G36" s="1023">
        <f t="shared" si="25"/>
        <v>44.521455501813961</v>
      </c>
      <c r="H36" s="1023">
        <f t="shared" si="25"/>
        <v>39.470986531600381</v>
      </c>
      <c r="I36" s="1023">
        <f t="shared" si="25"/>
        <v>27.824337867733313</v>
      </c>
      <c r="J36" s="1023">
        <f t="shared" si="25"/>
        <v>28.004723807878481</v>
      </c>
      <c r="K36" s="1023">
        <f t="shared" si="25"/>
        <v>27.511979209064542</v>
      </c>
      <c r="L36" s="1023">
        <f t="shared" si="25"/>
        <v>41.092320180026071</v>
      </c>
      <c r="M36" s="1024">
        <f t="shared" si="25"/>
        <v>33.579299178710272</v>
      </c>
      <c r="N36" s="3"/>
      <c r="O36" s="956">
        <f t="shared" ref="O36:R36" si="26">O20</f>
        <v>147595.04999999999</v>
      </c>
      <c r="P36" s="682">
        <f t="shared" si="26"/>
        <v>0</v>
      </c>
      <c r="Q36" s="958" t="str">
        <f t="shared" si="26"/>
        <v>t/a</v>
      </c>
      <c r="R36" s="947">
        <f t="shared" si="26"/>
        <v>0</v>
      </c>
      <c r="S36" s="1017"/>
      <c r="T36" s="947"/>
      <c r="U36" s="1017"/>
      <c r="V36" s="3"/>
      <c r="W36" s="23"/>
      <c r="X36" s="947"/>
      <c r="Y36" s="947"/>
      <c r="Z36" s="947"/>
      <c r="AA36" s="947"/>
      <c r="AB36" s="947"/>
      <c r="AC36" s="947"/>
      <c r="AD36" s="947"/>
      <c r="AE36" s="947"/>
      <c r="AF36" s="947"/>
      <c r="AG36" s="947"/>
      <c r="AH36" s="947"/>
      <c r="AI36" s="947"/>
      <c r="AJ36" s="947"/>
      <c r="AK36" s="947"/>
      <c r="AL36" s="947"/>
      <c r="AM36" s="947"/>
      <c r="AN36" s="947"/>
      <c r="AO36" s="947"/>
      <c r="AP36" s="947"/>
      <c r="AQ36" s="947"/>
      <c r="AR36" s="947"/>
      <c r="AS36" s="947"/>
      <c r="AT36" s="947"/>
      <c r="AU36" s="947"/>
      <c r="AV36" s="947"/>
      <c r="AW36" s="947"/>
      <c r="AX36" s="947"/>
      <c r="AY36" s="947"/>
      <c r="AZ36" s="947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5"/>
      <c r="B38" s="955"/>
      <c r="C38" s="1188" t="s">
        <v>481</v>
      </c>
      <c r="D38" s="1189"/>
      <c r="E38" s="1189"/>
      <c r="F38" s="1189"/>
      <c r="G38" s="1189"/>
      <c r="H38" s="1189"/>
      <c r="I38" s="1189"/>
      <c r="J38" s="1189"/>
      <c r="K38" s="1189"/>
      <c r="L38" s="1189"/>
      <c r="M38" s="1190"/>
      <c r="N38" s="3"/>
      <c r="P38" s="3"/>
      <c r="Q38" s="1005"/>
      <c r="R38" s="3"/>
      <c r="S38" s="1005"/>
      <c r="T38" s="3"/>
      <c r="U38" s="1005"/>
      <c r="V38" s="3"/>
      <c r="W38" s="1005"/>
      <c r="X38" s="1005"/>
      <c r="Y38" s="1005"/>
      <c r="Z38" s="1005"/>
      <c r="AA38" s="1005"/>
      <c r="AB38" s="1005"/>
      <c r="AC38" s="1005"/>
      <c r="AD38" s="1005"/>
      <c r="AE38" s="1005"/>
      <c r="AF38" s="1005"/>
      <c r="AG38" s="1005"/>
      <c r="AH38" s="1005"/>
      <c r="AI38" s="1005"/>
      <c r="AJ38" s="1005"/>
      <c r="AK38" s="1005"/>
      <c r="AL38" s="1005"/>
      <c r="AM38" s="1005"/>
      <c r="AN38" s="1005"/>
      <c r="AO38" s="1005"/>
      <c r="AP38" s="1005"/>
      <c r="AQ38" s="1005"/>
      <c r="AR38" s="1005"/>
      <c r="AS38" s="1005"/>
      <c r="AT38" s="1005"/>
      <c r="AU38" s="1005"/>
      <c r="AV38" s="1005"/>
      <c r="AW38" s="1005"/>
      <c r="AX38" s="1005"/>
      <c r="AY38" s="1005"/>
      <c r="AZ38" s="1005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53" t="s">
        <v>485</v>
      </c>
      <c r="D40" s="1154"/>
      <c r="E40" s="1154"/>
      <c r="F40" s="1154"/>
      <c r="G40" s="1155"/>
      <c r="H40" s="992">
        <f>Q19</f>
        <v>170.20797784207534</v>
      </c>
      <c r="I40" s="988"/>
      <c r="J40" s="988"/>
      <c r="K40" s="988"/>
      <c r="L40" s="988"/>
      <c r="M40" s="988"/>
      <c r="O40" s="21"/>
    </row>
    <row r="41" spans="1:54" ht="4.9000000000000004" customHeight="1" x14ac:dyDescent="0.25">
      <c r="C41" s="989"/>
      <c r="D41" s="989"/>
      <c r="E41" s="989"/>
      <c r="F41" s="989"/>
      <c r="G41" s="989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56" t="s">
        <v>592</v>
      </c>
      <c r="D42" s="1157"/>
      <c r="E42" s="1157"/>
      <c r="F42" s="1157"/>
      <c r="G42" s="1158"/>
      <c r="H42" s="993" t="s">
        <v>20</v>
      </c>
      <c r="I42" s="988"/>
      <c r="J42" s="988"/>
      <c r="K42" s="988"/>
      <c r="L42" s="988"/>
      <c r="M42" s="988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4"/>
      <c r="D44" s="999" t="str">
        <f t="shared" ref="D44:M44" si="27">D7</f>
        <v>Álvares Machado</v>
      </c>
      <c r="E44" s="1000" t="str">
        <f t="shared" si="27"/>
        <v>Caiabu</v>
      </c>
      <c r="F44" s="1000" t="str">
        <f t="shared" si="27"/>
        <v>Martinópolis</v>
      </c>
      <c r="G44" s="1000" t="str">
        <f t="shared" si="27"/>
        <v>Paraguaçu Paulista</v>
      </c>
      <c r="H44" s="1000" t="str">
        <f t="shared" si="27"/>
        <v>Presidente Bernardes</v>
      </c>
      <c r="I44" s="1000" t="str">
        <f t="shared" si="27"/>
        <v>Presidente Prudente</v>
      </c>
      <c r="J44" s="1000" t="str">
        <f t="shared" si="27"/>
        <v>Rancharia</v>
      </c>
      <c r="K44" s="1000" t="str">
        <f t="shared" si="27"/>
        <v>Regente Feijó</v>
      </c>
      <c r="L44" s="1000" t="str">
        <f t="shared" si="27"/>
        <v>Santo Anastácio</v>
      </c>
      <c r="M44" s="1001" t="str">
        <f t="shared" si="27"/>
        <v>Santo Expedito</v>
      </c>
      <c r="N44" s="1"/>
      <c r="O44" s="21"/>
    </row>
    <row r="45" spans="1:54" s="5" customFormat="1" ht="15" customHeight="1" x14ac:dyDescent="0.25">
      <c r="C45" s="945"/>
      <c r="D45" s="1002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1003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1003">
        <f t="shared" si="28"/>
        <v>71.811167520523213</v>
      </c>
      <c r="G45" s="1003">
        <f t="shared" si="28"/>
        <v>104.81282812838238</v>
      </c>
      <c r="H45" s="1003">
        <f t="shared" si="28"/>
        <v>74.863308628914055</v>
      </c>
      <c r="I45" s="1003">
        <f t="shared" si="28"/>
        <v>63.169155872774866</v>
      </c>
      <c r="J45" s="1003">
        <f t="shared" si="28"/>
        <v>84.776886045636346</v>
      </c>
      <c r="K45" s="1003">
        <f t="shared" si="28"/>
        <v>69.811324802220668</v>
      </c>
      <c r="L45" s="1003">
        <f t="shared" si="28"/>
        <v>78.773460222751382</v>
      </c>
      <c r="M45" s="1004">
        <f t="shared" si="28"/>
        <v>82.470793234596968</v>
      </c>
      <c r="N45" s="2"/>
      <c r="O45" s="21"/>
    </row>
    <row r="46" spans="1:54" ht="4.9000000000000004" customHeight="1" x14ac:dyDescent="0.25">
      <c r="C46" s="989"/>
      <c r="D46" s="989"/>
      <c r="E46" s="989"/>
      <c r="F46" s="989"/>
      <c r="G46" s="989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56" t="s">
        <v>483</v>
      </c>
      <c r="D47" s="1191"/>
      <c r="E47" s="1191"/>
      <c r="F47" s="1191"/>
      <c r="G47" s="1192"/>
      <c r="H47" s="998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8"/>
      <c r="J47" s="988"/>
      <c r="K47" s="6"/>
      <c r="L47" s="988"/>
      <c r="M47" s="988"/>
      <c r="O47" s="21"/>
    </row>
    <row r="48" spans="1:54" s="5" customFormat="1" ht="15" customHeight="1" x14ac:dyDescent="0.25">
      <c r="C48" s="1156" t="s">
        <v>484</v>
      </c>
      <c r="D48" s="1157"/>
      <c r="E48" s="1157"/>
      <c r="F48" s="1157"/>
      <c r="G48" s="1158"/>
      <c r="H48" s="994"/>
      <c r="I48" s="988"/>
      <c r="J48" s="988"/>
      <c r="K48" s="6"/>
      <c r="L48" s="988"/>
      <c r="M48" s="988"/>
      <c r="O48" s="21"/>
    </row>
    <row r="49" spans="1:55" ht="4.9000000000000004" customHeight="1" x14ac:dyDescent="0.25">
      <c r="C49" s="989"/>
      <c r="D49" s="989"/>
      <c r="E49" s="989"/>
      <c r="F49" s="989"/>
      <c r="G49" s="989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77" t="s">
        <v>478</v>
      </c>
      <c r="D50" s="1178"/>
      <c r="E50" s="1178"/>
      <c r="F50" s="1178"/>
      <c r="G50" s="1179"/>
      <c r="H50" s="993" t="s">
        <v>17</v>
      </c>
      <c r="I50" s="6"/>
      <c r="J50" s="6"/>
      <c r="K50" s="988"/>
      <c r="L50" s="988"/>
      <c r="M50" s="988"/>
      <c r="O50" s="21"/>
      <c r="Q50" s="1066"/>
    </row>
    <row r="51" spans="1:55" s="5" customFormat="1" ht="15" customHeight="1" x14ac:dyDescent="0.25">
      <c r="C51" s="1177" t="s">
        <v>593</v>
      </c>
      <c r="D51" s="1178"/>
      <c r="E51" s="1178"/>
      <c r="F51" s="1178"/>
      <c r="G51" s="1179"/>
      <c r="H51" s="994">
        <f>VLOOKUP(H42,C7:M17,MATCH(H50,C7:M7,0),0)</f>
        <v>27.9</v>
      </c>
      <c r="J51" s="988"/>
      <c r="K51" s="988"/>
      <c r="L51" s="988"/>
      <c r="M51" s="988"/>
      <c r="O51" s="21"/>
      <c r="Q51" s="1066"/>
    </row>
    <row r="52" spans="1:55" s="5" customFormat="1" ht="15" customHeight="1" x14ac:dyDescent="0.25">
      <c r="C52" s="1177" t="s">
        <v>594</v>
      </c>
      <c r="D52" s="1178"/>
      <c r="E52" s="1178"/>
      <c r="F52" s="1178"/>
      <c r="G52" s="1179"/>
      <c r="H52" s="1062"/>
      <c r="I52" s="1063">
        <v>0.8</v>
      </c>
      <c r="J52" s="1064" t="s">
        <v>558</v>
      </c>
      <c r="K52" s="988"/>
      <c r="L52" s="988"/>
      <c r="M52" s="988"/>
      <c r="O52" s="21"/>
      <c r="Q52" s="1066"/>
    </row>
    <row r="53" spans="1:55" ht="4.9000000000000004" customHeight="1" thickBot="1" x14ac:dyDescent="0.3">
      <c r="C53" s="989"/>
      <c r="D53" s="990"/>
      <c r="E53" s="989"/>
      <c r="F53" s="989"/>
      <c r="G53" s="989"/>
      <c r="H53" s="23"/>
      <c r="I53" s="23"/>
      <c r="J53" s="23"/>
      <c r="K53" s="23"/>
      <c r="L53" s="23"/>
      <c r="M53" s="23"/>
      <c r="Q53" s="17"/>
    </row>
    <row r="54" spans="1:55" s="995" customFormat="1" ht="19.899999999999999" customHeight="1" thickBot="1" x14ac:dyDescent="0.3">
      <c r="C54" s="1180" t="s">
        <v>489</v>
      </c>
      <c r="D54" s="1181"/>
      <c r="E54" s="1181"/>
      <c r="F54" s="1181"/>
      <c r="G54" s="1181"/>
      <c r="H54" s="1025" t="s">
        <v>477</v>
      </c>
      <c r="I54" s="1025" t="s">
        <v>215</v>
      </c>
      <c r="J54" s="1025" t="s">
        <v>216</v>
      </c>
      <c r="K54" s="1026" t="s">
        <v>217</v>
      </c>
      <c r="L54" s="996"/>
      <c r="M54" s="996"/>
      <c r="O54" s="1065"/>
      <c r="Q54" s="1066"/>
    </row>
    <row r="55" spans="1:55" s="5" customFormat="1" ht="15" customHeight="1" x14ac:dyDescent="0.25">
      <c r="C55" s="1182" t="s">
        <v>479</v>
      </c>
      <c r="D55" s="1183"/>
      <c r="E55" s="1183"/>
      <c r="F55" s="1183"/>
      <c r="G55" s="1184"/>
      <c r="H55" s="1032">
        <v>0.61299999999999999</v>
      </c>
      <c r="I55" s="1032">
        <v>0.59599999999999997</v>
      </c>
      <c r="J55" s="1032">
        <v>0.65</v>
      </c>
      <c r="K55" s="1033">
        <v>0.80200000000000005</v>
      </c>
      <c r="L55" s="988"/>
      <c r="M55" s="988"/>
      <c r="O55" s="21"/>
    </row>
    <row r="56" spans="1:55" s="5" customFormat="1" ht="15" customHeight="1" thickBot="1" x14ac:dyDescent="0.3">
      <c r="C56" s="1185" t="s">
        <v>595</v>
      </c>
      <c r="D56" s="1186"/>
      <c r="E56" s="1186"/>
      <c r="F56" s="1186"/>
      <c r="G56" s="1187"/>
      <c r="H56" s="997">
        <f>($O$19*(1-H55)*$H$52*$H$51)/$O$19</f>
        <v>0</v>
      </c>
      <c r="I56" s="997">
        <f>($O$19*(1-I55)*$H$52*$H$51)/$O$19</f>
        <v>0</v>
      </c>
      <c r="J56" s="997">
        <f>($O$19*(1-J55)*$H$52*$H$51)/$O$19</f>
        <v>0</v>
      </c>
      <c r="K56" s="997">
        <f>($O$19*(1-K55)*$H$52*$H$51)/$O$19</f>
        <v>0</v>
      </c>
      <c r="L56" s="988"/>
      <c r="M56" s="988"/>
      <c r="O56" s="21"/>
    </row>
    <row r="57" spans="1:55" ht="4.9000000000000004" customHeight="1" thickBot="1" x14ac:dyDescent="0.3">
      <c r="C57" s="989"/>
      <c r="D57" s="990"/>
      <c r="E57" s="989"/>
      <c r="F57" s="989"/>
      <c r="G57" s="989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62" t="s">
        <v>490</v>
      </c>
      <c r="D58" s="1163"/>
      <c r="E58" s="1163"/>
      <c r="F58" s="1163"/>
      <c r="G58" s="1164"/>
      <c r="H58" s="1027">
        <f>$H$48+H56</f>
        <v>0</v>
      </c>
      <c r="I58" s="1027">
        <f>$H$48+I56</f>
        <v>0</v>
      </c>
      <c r="J58" s="1027">
        <f>$H$48+J56</f>
        <v>0</v>
      </c>
      <c r="K58" s="1028">
        <f>$H$48+K56</f>
        <v>0</v>
      </c>
      <c r="L58" s="991"/>
      <c r="M58" s="991"/>
      <c r="O58" s="942"/>
    </row>
    <row r="59" spans="1:55" s="5" customFormat="1" ht="15" customHeight="1" thickTop="1" x14ac:dyDescent="0.25">
      <c r="C59" s="986"/>
      <c r="D59" s="987"/>
      <c r="E59" s="987"/>
      <c r="F59" s="987"/>
      <c r="G59" s="987"/>
      <c r="H59" s="727"/>
      <c r="I59" s="727"/>
      <c r="J59" s="727"/>
      <c r="K59" s="727"/>
      <c r="L59" s="727"/>
      <c r="M59" s="727"/>
      <c r="O59" s="21"/>
    </row>
    <row r="60" spans="1:55" s="2" customFormat="1" ht="15.75" thickBot="1" x14ac:dyDescent="0.3">
      <c r="B60" s="1005"/>
      <c r="C60" s="1005"/>
      <c r="D60" s="1005"/>
      <c r="E60" s="1005"/>
      <c r="F60" s="1005"/>
      <c r="G60" s="1005"/>
      <c r="H60" s="1005"/>
      <c r="I60" s="1091">
        <f>AVERAGE(H58:K58)</f>
        <v>0</v>
      </c>
      <c r="J60" s="1005"/>
      <c r="K60" s="1005"/>
      <c r="L60" s="1005"/>
      <c r="M60" s="1005"/>
      <c r="N60" s="1005"/>
      <c r="O60" s="1005"/>
      <c r="P60" s="1005"/>
      <c r="Q60" s="1005"/>
      <c r="R60" s="1005"/>
      <c r="S60" s="1005"/>
      <c r="T60" s="1005"/>
      <c r="U60" s="1005"/>
      <c r="V60" s="1005"/>
      <c r="W60" s="1005"/>
      <c r="X60" s="1005"/>
      <c r="Y60" s="1005"/>
      <c r="Z60" s="1005"/>
      <c r="AA60" s="1005"/>
      <c r="AB60" s="1005"/>
      <c r="AC60" s="1005"/>
      <c r="AD60" s="1005"/>
      <c r="AE60" s="1005"/>
      <c r="AF60" s="1005"/>
      <c r="AG60" s="1005"/>
      <c r="AH60" s="1005"/>
      <c r="AI60" s="1005"/>
      <c r="AJ60" s="1005"/>
      <c r="AK60" s="1005"/>
      <c r="AL60" s="1005"/>
      <c r="AM60" s="1005"/>
      <c r="AN60" s="1005"/>
      <c r="AO60" s="1005"/>
      <c r="AP60" s="1005"/>
      <c r="AQ60" s="1005"/>
      <c r="AR60" s="1005"/>
      <c r="AS60" s="1005"/>
      <c r="AT60" s="1005"/>
      <c r="AU60" s="1005"/>
      <c r="AV60" s="1005"/>
      <c r="AW60" s="1005"/>
      <c r="AX60" s="1005"/>
      <c r="AY60" s="1005"/>
      <c r="AZ60" s="1005"/>
      <c r="BB60" s="1"/>
      <c r="BC60" s="1"/>
    </row>
    <row r="61" spans="1:55" ht="25.15" customHeight="1" thickTop="1" thickBot="1" x14ac:dyDescent="0.3">
      <c r="A61" s="955"/>
      <c r="B61" s="955"/>
      <c r="C61" s="1"/>
      <c r="D61" s="1159" t="s">
        <v>596</v>
      </c>
      <c r="E61" s="1160"/>
      <c r="F61" s="1160"/>
      <c r="G61" s="1160"/>
      <c r="H61" s="1160"/>
      <c r="I61" s="1160"/>
      <c r="J61" s="1160"/>
      <c r="K61" s="1160"/>
      <c r="L61" s="1160"/>
      <c r="M61" s="1161"/>
      <c r="N61" s="3"/>
      <c r="P61" s="3"/>
      <c r="Q61" s="1005"/>
      <c r="R61" s="3"/>
      <c r="S61" s="1005"/>
      <c r="T61" s="3"/>
      <c r="U61" s="1005"/>
      <c r="V61" s="3"/>
      <c r="W61" s="1005"/>
      <c r="X61" s="1005"/>
      <c r="Y61" s="1005"/>
      <c r="Z61" s="1005"/>
      <c r="AA61" s="1005"/>
      <c r="AB61" s="1005"/>
      <c r="AC61" s="1005"/>
      <c r="AD61" s="1005"/>
      <c r="AE61" s="1005"/>
      <c r="AF61" s="1005"/>
      <c r="AG61" s="1005"/>
      <c r="AH61" s="1005"/>
      <c r="AI61" s="1005"/>
      <c r="AJ61" s="1005"/>
      <c r="AK61" s="1005"/>
      <c r="AL61" s="1005"/>
      <c r="AM61" s="1005"/>
      <c r="AN61" s="1005"/>
      <c r="AO61" s="1005"/>
      <c r="AP61" s="1005"/>
      <c r="AQ61" s="1005"/>
      <c r="AR61" s="1005"/>
      <c r="AS61" s="1005"/>
      <c r="AT61" s="1005"/>
      <c r="AU61" s="1005"/>
      <c r="AV61" s="1005"/>
      <c r="AW61" s="1005"/>
      <c r="AX61" s="1005"/>
      <c r="AY61" s="1005"/>
      <c r="AZ61" s="1005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5"/>
      <c r="C63" s="14"/>
      <c r="D63" s="1092" t="s">
        <v>15</v>
      </c>
      <c r="E63" s="1093" t="s">
        <v>16</v>
      </c>
      <c r="F63" s="1093" t="s">
        <v>17</v>
      </c>
      <c r="G63" s="1093" t="s">
        <v>18</v>
      </c>
      <c r="H63" s="1093" t="s">
        <v>19</v>
      </c>
      <c r="I63" s="1093" t="s">
        <v>20</v>
      </c>
      <c r="J63" s="1093" t="s">
        <v>21</v>
      </c>
      <c r="K63" s="1093" t="s">
        <v>22</v>
      </c>
      <c r="L63" s="1093" t="s">
        <v>24</v>
      </c>
      <c r="M63" s="1094" t="s">
        <v>23</v>
      </c>
      <c r="N63" s="21"/>
      <c r="O63" s="1005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95">
        <f>(D65-$I$60)*$C$65</f>
        <v>62437548.633617923</v>
      </c>
      <c r="E64" s="1095">
        <f t="shared" ref="E64:M64" si="29">(E65-$I$60)*$C$65</f>
        <v>64163376.274213672</v>
      </c>
      <c r="F64" s="1095">
        <f t="shared" si="29"/>
        <v>61498653.549453549</v>
      </c>
      <c r="G64" s="1095">
        <f t="shared" si="29"/>
        <v>72795086.96078153</v>
      </c>
      <c r="H64" s="1095">
        <f t="shared" si="29"/>
        <v>64339735.089565538</v>
      </c>
      <c r="I64" s="1095">
        <f t="shared" si="29"/>
        <v>60394097.215475053</v>
      </c>
      <c r="J64" s="1095">
        <f t="shared" si="29"/>
        <v>66135128.4397211</v>
      </c>
      <c r="K64" s="1095">
        <f t="shared" si="29"/>
        <v>62034972.477615945</v>
      </c>
      <c r="L64" s="1095">
        <f t="shared" si="29"/>
        <v>65669758.441432528</v>
      </c>
      <c r="M64" s="1095">
        <f t="shared" si="29"/>
        <v>66308054.465076961</v>
      </c>
      <c r="O64" s="16"/>
    </row>
    <row r="65" spans="3:15" ht="18.75" x14ac:dyDescent="0.25">
      <c r="C65" s="1089">
        <f>'C-Dados RT1 Simplif.'!C105</f>
        <v>254106.56440966635</v>
      </c>
      <c r="D65" s="1090">
        <v>245.71403253068721</v>
      </c>
      <c r="E65" s="1090">
        <v>252.50578009771741</v>
      </c>
      <c r="F65" s="1090">
        <v>242.01914536259855</v>
      </c>
      <c r="G65" s="1090">
        <v>286.47464157369234</v>
      </c>
      <c r="H65" s="1090">
        <v>253.19981496360754</v>
      </c>
      <c r="I65" s="1090">
        <v>237.6723220660632</v>
      </c>
      <c r="J65" s="1090">
        <v>260.26532841984812</v>
      </c>
      <c r="K65" s="1090">
        <v>244.12975171158587</v>
      </c>
      <c r="L65" s="1090">
        <v>258.43393142556067</v>
      </c>
      <c r="M65" s="1090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C50:G50"/>
    <mergeCell ref="C51:G51"/>
    <mergeCell ref="Q4:Q6"/>
    <mergeCell ref="C4:C6"/>
    <mergeCell ref="U4:U6"/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B5B99-7286-46F8-9D16-4DB2738358F5}">
  <sheetPr codeName="Planilha3">
    <tabColor theme="9" tint="0.59999389629810485"/>
  </sheetPr>
  <dimension ref="A1"/>
  <sheetViews>
    <sheetView workbookViewId="0">
      <selection activeCell="I17" sqref="I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zoomScale="80" zoomScaleNormal="80" workbookViewId="0">
      <selection activeCell="H10" sqref="H10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8" t="s">
        <v>247</v>
      </c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</row>
    <row r="3" spans="2:36" ht="15" customHeight="1" x14ac:dyDescent="0.25">
      <c r="G3" s="1198"/>
      <c r="H3" s="1198"/>
      <c r="I3" s="1198"/>
      <c r="J3" s="1198"/>
      <c r="K3" s="1198"/>
      <c r="L3" s="1198"/>
      <c r="M3" s="1198"/>
      <c r="N3" s="1198"/>
      <c r="O3" s="1198"/>
      <c r="P3" s="1198"/>
      <c r="Q3" s="1198"/>
      <c r="R3" s="1198"/>
    </row>
    <row r="4" spans="2:36" ht="15" customHeight="1" x14ac:dyDescent="0.25">
      <c r="B4" s="391"/>
      <c r="C4" s="392"/>
      <c r="D4" s="392"/>
      <c r="E4" s="392"/>
      <c r="F4" s="392"/>
      <c r="G4" s="1198"/>
      <c r="H4" s="1198"/>
      <c r="I4" s="1198"/>
      <c r="J4" s="1198"/>
      <c r="K4" s="1198"/>
      <c r="L4" s="1198"/>
      <c r="M4" s="1198"/>
      <c r="N4" s="1198"/>
      <c r="O4" s="1198"/>
      <c r="P4" s="1198"/>
      <c r="Q4" s="1198"/>
      <c r="R4" s="1198"/>
    </row>
    <row r="5" spans="2:36" ht="15" customHeight="1" x14ac:dyDescent="0.25">
      <c r="B5" s="392"/>
      <c r="C5" s="392"/>
      <c r="D5" s="392"/>
      <c r="E5" s="392"/>
      <c r="F5" s="392"/>
      <c r="G5" s="1198"/>
      <c r="H5" s="1198"/>
      <c r="I5" s="1198"/>
      <c r="J5" s="1198"/>
      <c r="K5" s="1198"/>
      <c r="L5" s="1198"/>
      <c r="M5" s="1198"/>
      <c r="N5" s="1198"/>
      <c r="O5" s="1198"/>
      <c r="P5" s="1198"/>
      <c r="Q5" s="1198"/>
      <c r="R5" s="1198"/>
    </row>
    <row r="6" spans="2:36" ht="15" customHeight="1" x14ac:dyDescent="0.25">
      <c r="B6" s="392"/>
      <c r="C6" s="392"/>
      <c r="D6" s="392"/>
      <c r="E6" s="392"/>
      <c r="F6" s="392"/>
      <c r="G6" s="1198"/>
      <c r="H6" s="1198"/>
      <c r="I6" s="1198"/>
      <c r="J6" s="1198"/>
      <c r="K6" s="1198"/>
      <c r="L6" s="1198"/>
      <c r="M6" s="1198"/>
      <c r="N6" s="1198"/>
      <c r="O6" s="1198"/>
      <c r="P6" s="1198"/>
      <c r="Q6" s="1198"/>
      <c r="R6" s="1198"/>
    </row>
    <row r="7" spans="2:36" ht="15" customHeight="1" x14ac:dyDescent="0.25">
      <c r="B7" s="392"/>
      <c r="C7" s="392"/>
      <c r="D7" s="392"/>
      <c r="E7" s="392"/>
      <c r="F7" s="392"/>
      <c r="G7" s="1198"/>
      <c r="H7" s="1198"/>
      <c r="I7" s="1198"/>
      <c r="J7" s="1198"/>
      <c r="K7" s="1198"/>
      <c r="L7" s="1198"/>
      <c r="M7" s="1198"/>
      <c r="N7" s="1198"/>
      <c r="O7" s="1198"/>
      <c r="P7" s="1198"/>
      <c r="Q7" s="1198"/>
      <c r="R7" s="1198"/>
    </row>
    <row r="8" spans="2:36" ht="15" customHeight="1" x14ac:dyDescent="0.25"/>
    <row r="9" spans="2:36" s="1" customFormat="1" ht="4.9000000000000004" customHeight="1" thickBot="1" x14ac:dyDescent="0.3">
      <c r="P9" s="258"/>
      <c r="S9" s="664"/>
    </row>
    <row r="10" spans="2:36" s="1" customFormat="1" ht="19.899999999999999" customHeight="1" thickTop="1" thickBot="1" x14ac:dyDescent="0.3">
      <c r="B10" s="660" t="s">
        <v>338</v>
      </c>
      <c r="D10" s="938">
        <v>1</v>
      </c>
      <c r="E10" s="1097" t="s">
        <v>1</v>
      </c>
      <c r="F10" s="649"/>
      <c r="G10" s="649"/>
      <c r="H10" s="649"/>
      <c r="I10" s="649"/>
      <c r="J10" s="649"/>
      <c r="K10" s="649"/>
      <c r="L10" s="649"/>
      <c r="P10" s="258"/>
      <c r="S10" s="664"/>
    </row>
    <row r="11" spans="2:36" s="1" customFormat="1" ht="19.899999999999999" customHeight="1" thickTop="1" thickBot="1" x14ac:dyDescent="0.3">
      <c r="B11" s="660" t="s">
        <v>598</v>
      </c>
      <c r="D11" s="1096">
        <v>165</v>
      </c>
      <c r="E11" s="1097" t="s">
        <v>597</v>
      </c>
      <c r="F11" s="649"/>
      <c r="G11" s="649"/>
      <c r="H11" s="649"/>
      <c r="I11" s="649"/>
      <c r="J11" s="649"/>
      <c r="K11" s="649"/>
      <c r="L11" s="649"/>
      <c r="P11" s="258"/>
      <c r="S11" s="664"/>
    </row>
    <row r="12" spans="2:36" s="1" customFormat="1" ht="16.5" thickTop="1" thickBot="1" x14ac:dyDescent="0.3">
      <c r="D12" s="649"/>
      <c r="E12" s="649"/>
      <c r="F12" s="649"/>
      <c r="G12" s="649"/>
      <c r="H12" s="649"/>
      <c r="I12" s="649"/>
      <c r="J12" s="649"/>
      <c r="K12" s="649"/>
      <c r="L12" s="649"/>
      <c r="P12" s="258"/>
      <c r="S12" s="664"/>
    </row>
    <row r="13" spans="2:36" s="329" customFormat="1" ht="19.899999999999999" customHeight="1" collapsed="1" thickTop="1" thickBot="1" x14ac:dyDescent="0.35">
      <c r="B13" s="719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4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hidden="1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5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hidden="1" outlineLevel="1" collapsed="1" thickTop="1" thickBot="1" x14ac:dyDescent="0.3">
      <c r="B15" s="477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6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hidden="1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6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hidden="1" outlineLevel="2" thickBot="1" x14ac:dyDescent="0.3">
      <c r="B17" s="381" t="s">
        <v>320</v>
      </c>
      <c r="C17" s="924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7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hidden="1" outlineLevel="2" thickBot="1" x14ac:dyDescent="0.3">
      <c r="B18" s="381" t="s">
        <v>321</v>
      </c>
      <c r="C18" s="924">
        <v>390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7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hidden="1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5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hidden="1" outlineLevel="2" x14ac:dyDescent="0.25">
      <c r="B20" s="382" t="s">
        <v>240</v>
      </c>
      <c r="C20" s="1205" t="s">
        <v>237</v>
      </c>
      <c r="D20" s="1206"/>
      <c r="E20" s="466" t="s">
        <v>237</v>
      </c>
      <c r="F20" s="466" t="s">
        <v>238</v>
      </c>
      <c r="G20" s="467"/>
      <c r="H20" s="373" t="s">
        <v>237</v>
      </c>
      <c r="I20" s="674">
        <v>2</v>
      </c>
      <c r="J20" s="468" t="s">
        <v>314</v>
      </c>
      <c r="K20" s="467"/>
      <c r="L20" s="467"/>
      <c r="M20" s="468"/>
      <c r="N20" s="468" t="s">
        <v>241</v>
      </c>
      <c r="O20" s="467"/>
      <c r="P20" s="374">
        <v>3.5</v>
      </c>
      <c r="Q20" s="469" t="s">
        <v>131</v>
      </c>
      <c r="R20" s="470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hidden="1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5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hidden="1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8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hidden="1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8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hidden="1" outlineLevel="2" x14ac:dyDescent="0.25">
      <c r="B24" s="384" t="s">
        <v>7</v>
      </c>
      <c r="C24" s="338">
        <f>IF(C20="Nm3 Biometano",I20,P20*C22)</f>
        <v>2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9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hidden="1" outlineLevel="2" x14ac:dyDescent="0.25">
      <c r="B25" s="384" t="s">
        <v>239</v>
      </c>
      <c r="C25" s="338">
        <f>C24/C22</f>
        <v>2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9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hidden="1" outlineLevel="2" thickBot="1" x14ac:dyDescent="0.3">
      <c r="B26" s="385" t="s">
        <v>7</v>
      </c>
      <c r="C26" s="346">
        <f>C24*C23</f>
        <v>1.8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60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hidden="1" outlineLevel="2" x14ac:dyDescent="0.25">
      <c r="B27" s="384" t="s">
        <v>25</v>
      </c>
      <c r="C27" s="925">
        <v>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9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hidden="1" outlineLevel="2" thickBot="1" x14ac:dyDescent="0.3">
      <c r="B28" s="386" t="s">
        <v>11</v>
      </c>
      <c r="C28" s="926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60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hidden="1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61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hidden="1" outlineLevel="2" x14ac:dyDescent="0.25">
      <c r="B30" s="383" t="s">
        <v>220</v>
      </c>
      <c r="C30" s="925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9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hidden="1" outlineLevel="2" x14ac:dyDescent="0.25">
      <c r="B31" s="383" t="s">
        <v>218</v>
      </c>
      <c r="C31" s="927">
        <v>0.25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9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hidden="1" outlineLevel="2" x14ac:dyDescent="0.25">
      <c r="B32" s="383" t="s">
        <v>221</v>
      </c>
      <c r="C32" s="927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9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hidden="1" outlineLevel="2" x14ac:dyDescent="0.25">
      <c r="B33" s="383" t="s">
        <v>222</v>
      </c>
      <c r="C33" s="925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9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hidden="1" outlineLevel="2" x14ac:dyDescent="0.25">
      <c r="B34" s="383" t="s">
        <v>223</v>
      </c>
      <c r="C34" s="925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9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hidden="1" outlineLevel="2" x14ac:dyDescent="0.25">
      <c r="B35" s="383" t="s">
        <v>224</v>
      </c>
      <c r="C35" s="925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9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hidden="1" outlineLevel="2" x14ac:dyDescent="0.25">
      <c r="B36" s="383" t="s">
        <v>225</v>
      </c>
      <c r="C36" s="925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9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hidden="1" outlineLevel="2" x14ac:dyDescent="0.25">
      <c r="B37" s="383" t="s">
        <v>226</v>
      </c>
      <c r="C37" s="925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9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hidden="1" outlineLevel="2" thickBot="1" x14ac:dyDescent="0.3">
      <c r="B38" s="386" t="s">
        <v>227</v>
      </c>
      <c r="C38" s="926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60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hidden="1" customHeight="1" outlineLevel="1" thickTop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5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hidden="1" outlineLevel="1" collapsed="1" thickTop="1" thickBot="1" x14ac:dyDescent="0.3">
      <c r="B40" s="720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6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hidden="1" customHeight="1" outlineLevel="2" thickTop="1" thickBot="1" x14ac:dyDescent="0.3">
      <c r="B41" s="108"/>
      <c r="C41" s="31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6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hidden="1" outlineLevel="2" thickTop="1" thickBot="1" x14ac:dyDescent="0.3">
      <c r="B42" s="624" t="s">
        <v>4</v>
      </c>
      <c r="C42" s="928">
        <v>500</v>
      </c>
      <c r="D42" s="625" t="s">
        <v>0</v>
      </c>
      <c r="E42" s="626"/>
      <c r="F42" s="626"/>
      <c r="G42" s="625"/>
      <c r="H42" s="625"/>
      <c r="I42" s="625"/>
      <c r="J42" s="625"/>
      <c r="K42" s="625"/>
      <c r="L42" s="625"/>
      <c r="M42" s="625"/>
      <c r="N42" s="627"/>
      <c r="O42" s="627"/>
      <c r="P42" s="628"/>
      <c r="Q42" s="627"/>
      <c r="R42" s="629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5" customFormat="1" ht="4.9000000000000004" hidden="1" customHeight="1" outlineLevel="1" thickTop="1" thickBot="1" x14ac:dyDescent="0.3">
      <c r="B43" s="478"/>
      <c r="C43" s="447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375"/>
      <c r="Q43" s="448"/>
      <c r="R43" s="448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hidden="1" outlineLevel="1" collapsed="1" thickTop="1" thickBot="1" x14ac:dyDescent="0.3">
      <c r="B44" s="720" t="s">
        <v>264</v>
      </c>
      <c r="C44" s="443" t="s">
        <v>363</v>
      </c>
      <c r="D44" s="482"/>
      <c r="E44" s="485"/>
      <c r="F44" s="485"/>
      <c r="G44" s="485"/>
      <c r="H44" s="483" t="s">
        <v>272</v>
      </c>
      <c r="I44" s="484" t="s">
        <v>276</v>
      </c>
      <c r="J44" s="485"/>
      <c r="K44" s="485"/>
      <c r="L44" s="485"/>
      <c r="M44" s="485"/>
      <c r="N44" s="483" t="s">
        <v>273</v>
      </c>
      <c r="O44" s="484" t="s">
        <v>279</v>
      </c>
      <c r="P44" s="486"/>
      <c r="Q44" s="487"/>
      <c r="R44" s="482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hidden="1" customHeight="1" outlineLevel="2" thickTop="1" thickBot="1" x14ac:dyDescent="0.3">
      <c r="B45" s="108"/>
      <c r="C45" s="31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6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hidden="1" outlineLevel="2" thickTop="1" x14ac:dyDescent="0.25">
      <c r="B46" s="608" t="s">
        <v>307</v>
      </c>
      <c r="C46" s="929">
        <v>5.21</v>
      </c>
      <c r="D46" s="610" t="s">
        <v>296</v>
      </c>
      <c r="E46" s="609">
        <f>C46*E47</f>
        <v>4.6890000000000001</v>
      </c>
      <c r="F46" s="610" t="s">
        <v>297</v>
      </c>
      <c r="G46" s="485"/>
      <c r="H46" s="1199" t="s">
        <v>295</v>
      </c>
      <c r="I46" s="1200"/>
      <c r="J46" s="1200"/>
      <c r="K46" s="611">
        <f>'RT1B) Descarb AutoCons'!C15</f>
        <v>0.54204862495017936</v>
      </c>
      <c r="L46" s="612" t="s">
        <v>298</v>
      </c>
      <c r="M46" s="613"/>
      <c r="N46" s="444"/>
      <c r="O46" s="614"/>
      <c r="P46" s="615"/>
      <c r="Q46" s="616"/>
      <c r="R46" s="445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hidden="1" outlineLevel="2" thickBot="1" x14ac:dyDescent="0.3">
      <c r="B47" s="1207" t="s">
        <v>245</v>
      </c>
      <c r="C47" s="1208"/>
      <c r="D47" s="677" t="s">
        <v>340</v>
      </c>
      <c r="E47" s="678">
        <v>0.9</v>
      </c>
      <c r="F47" s="680"/>
      <c r="G47" s="475"/>
      <c r="H47" s="1201"/>
      <c r="I47" s="1202"/>
      <c r="J47" s="1202"/>
      <c r="K47" s="606">
        <f>'RT1B) Descarb AutoCons'!C14</f>
        <v>0.60227624994464368</v>
      </c>
      <c r="L47" s="607" t="s">
        <v>131</v>
      </c>
      <c r="M47" s="617"/>
      <c r="N47" s="336"/>
      <c r="O47" s="592"/>
      <c r="P47" s="593"/>
      <c r="Q47" s="339"/>
      <c r="R47" s="481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hidden="1" outlineLevel="2" thickBot="1" x14ac:dyDescent="0.3">
      <c r="B48" s="638" t="s">
        <v>312</v>
      </c>
      <c r="C48" s="930">
        <v>5.21</v>
      </c>
      <c r="D48" s="478" t="s">
        <v>296</v>
      </c>
      <c r="E48" s="631">
        <f>C48*E47</f>
        <v>4.6890000000000001</v>
      </c>
      <c r="F48" s="478" t="s">
        <v>297</v>
      </c>
      <c r="G48" s="618"/>
      <c r="H48" s="618"/>
      <c r="I48" s="618"/>
      <c r="J48" s="618"/>
      <c r="K48" s="618"/>
      <c r="L48" s="618"/>
      <c r="M48" s="619"/>
      <c r="N48" s="620"/>
      <c r="O48" s="621"/>
      <c r="P48" s="622"/>
      <c r="Q48" s="499"/>
      <c r="R48" s="623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hidden="1" customHeight="1" outlineLevel="1" thickTop="1" thickBot="1" x14ac:dyDescent="0.3">
      <c r="B49" s="108"/>
      <c r="C49" s="108"/>
      <c r="D49" s="108"/>
      <c r="E49" s="594"/>
      <c r="F49" s="594"/>
      <c r="G49" s="108"/>
      <c r="H49" s="108"/>
      <c r="I49" s="108"/>
      <c r="J49" s="108"/>
      <c r="K49" s="108"/>
      <c r="L49" s="108"/>
      <c r="M49" s="108"/>
      <c r="N49" s="98"/>
      <c r="O49" s="98"/>
      <c r="P49" s="456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hidden="1" outlineLevel="1" collapsed="1" thickTop="1" thickBot="1" x14ac:dyDescent="0.3">
      <c r="B50" s="721" t="s">
        <v>265</v>
      </c>
      <c r="C50" s="108"/>
      <c r="D50" s="108"/>
      <c r="E50" s="594"/>
      <c r="F50" s="594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hidden="1" customHeight="1" outlineLevel="2" thickTop="1" thickBot="1" x14ac:dyDescent="0.3">
      <c r="B51" s="108"/>
      <c r="C51" s="31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456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hidden="1" outlineLevel="2" thickTop="1" thickBot="1" x14ac:dyDescent="0.3">
      <c r="B52" s="624" t="s">
        <v>316</v>
      </c>
      <c r="C52" s="928">
        <v>520</v>
      </c>
      <c r="D52" s="627" t="s">
        <v>0</v>
      </c>
      <c r="E52" s="630"/>
      <c r="F52" s="630"/>
      <c r="G52" s="627"/>
      <c r="H52" s="627"/>
      <c r="I52" s="672" t="s">
        <v>317</v>
      </c>
      <c r="J52" s="931">
        <v>520</v>
      </c>
      <c r="K52" s="627" t="s">
        <v>0</v>
      </c>
      <c r="L52" s="627"/>
      <c r="M52" s="627"/>
      <c r="N52" s="627"/>
      <c r="O52" s="671" t="s">
        <v>295</v>
      </c>
      <c r="P52" s="673">
        <f>'RT1A) Custos Valoriz E.Elétrica'!C15</f>
        <v>180.26533052439785</v>
      </c>
      <c r="Q52" s="627" t="s">
        <v>0</v>
      </c>
      <c r="R52" s="629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5" customFormat="1" ht="4.9000000000000004" hidden="1" customHeight="1" outlineLevel="1" thickTop="1" thickBot="1" x14ac:dyDescent="0.3">
      <c r="B53" s="478"/>
      <c r="C53" s="447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375"/>
      <c r="Q53" s="448"/>
      <c r="R53" s="448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hidden="1" outlineLevel="1" collapsed="1" thickTop="1" thickBot="1" x14ac:dyDescent="0.3">
      <c r="B54" s="721" t="s">
        <v>266</v>
      </c>
      <c r="C54" s="443" t="s">
        <v>363</v>
      </c>
      <c r="D54" s="482"/>
      <c r="E54" s="485"/>
      <c r="F54" s="485"/>
      <c r="G54" s="485"/>
      <c r="H54" s="483" t="s">
        <v>272</v>
      </c>
      <c r="I54" s="484" t="s">
        <v>277</v>
      </c>
      <c r="J54" s="485"/>
      <c r="K54" s="485"/>
      <c r="L54" s="485"/>
      <c r="N54" s="483" t="s">
        <v>273</v>
      </c>
      <c r="O54" s="484" t="s">
        <v>278</v>
      </c>
      <c r="P54" s="486"/>
      <c r="Q54" s="487"/>
      <c r="R54" s="482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hidden="1" customHeight="1" outlineLevel="2" thickTop="1" thickBot="1" x14ac:dyDescent="0.3">
      <c r="B55" s="108"/>
      <c r="C55" s="31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6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hidden="1" outlineLevel="2" thickTop="1" x14ac:dyDescent="0.25">
      <c r="B56" s="608" t="s">
        <v>307</v>
      </c>
      <c r="C56" s="932">
        <v>5.21</v>
      </c>
      <c r="D56" s="610" t="s">
        <v>296</v>
      </c>
      <c r="E56" s="609">
        <f>C56*E57</f>
        <v>4.6890000000000001</v>
      </c>
      <c r="F56" s="616" t="s">
        <v>135</v>
      </c>
      <c r="G56" s="444"/>
      <c r="H56" s="1199" t="s">
        <v>295</v>
      </c>
      <c r="I56" s="1200"/>
      <c r="J56" s="1200"/>
      <c r="K56" s="611">
        <f>'RT1B) Descarb AutoCons'!C15</f>
        <v>0.54204862495017936</v>
      </c>
      <c r="L56" s="612" t="s">
        <v>298</v>
      </c>
      <c r="M56" s="613"/>
      <c r="N56" s="444"/>
      <c r="O56" s="444"/>
      <c r="P56" s="462"/>
      <c r="Q56" s="444"/>
      <c r="R56" s="445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hidden="1" outlineLevel="2" thickBot="1" x14ac:dyDescent="0.3">
      <c r="B57" s="1207" t="s">
        <v>245</v>
      </c>
      <c r="C57" s="1208"/>
      <c r="D57" s="677" t="s">
        <v>340</v>
      </c>
      <c r="E57" s="678">
        <v>0.9</v>
      </c>
      <c r="F57" s="679"/>
      <c r="G57" s="307"/>
      <c r="H57" s="1201"/>
      <c r="I57" s="1202"/>
      <c r="J57" s="1202"/>
      <c r="K57" s="606">
        <f>'RT1B) Descarb AutoCons'!C14</f>
        <v>0.60227624994464368</v>
      </c>
      <c r="L57" s="607" t="s">
        <v>131</v>
      </c>
      <c r="M57" s="617"/>
      <c r="N57" s="307"/>
      <c r="O57" s="307"/>
      <c r="P57" s="459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hidden="1" outlineLevel="2" thickBot="1" x14ac:dyDescent="0.3">
      <c r="B58" s="638" t="s">
        <v>312</v>
      </c>
      <c r="C58" s="930">
        <v>5.21</v>
      </c>
      <c r="D58" s="478" t="s">
        <v>296</v>
      </c>
      <c r="E58" s="631">
        <f>C58*E57</f>
        <v>4.6890000000000001</v>
      </c>
      <c r="F58" s="478" t="s">
        <v>297</v>
      </c>
      <c r="G58" s="448"/>
      <c r="H58" s="448"/>
      <c r="I58" s="448"/>
      <c r="J58" s="448"/>
      <c r="K58" s="448"/>
      <c r="L58" s="448"/>
      <c r="M58" s="632"/>
      <c r="N58" s="448"/>
      <c r="O58" s="448"/>
      <c r="P58" s="375"/>
      <c r="Q58" s="448"/>
      <c r="R58" s="449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5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19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4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5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20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6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6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09" t="s">
        <v>230</v>
      </c>
      <c r="D64" s="1210"/>
      <c r="E64" s="1211" t="s">
        <v>231</v>
      </c>
      <c r="F64" s="1212"/>
      <c r="G64" s="1213" t="s">
        <v>232</v>
      </c>
      <c r="H64" s="1214"/>
      <c r="I64" s="1213" t="s">
        <v>215</v>
      </c>
      <c r="J64" s="1214"/>
      <c r="K64" s="1213" t="s">
        <v>216</v>
      </c>
      <c r="L64" s="1214"/>
      <c r="M64" s="1213" t="s">
        <v>217</v>
      </c>
      <c r="N64" s="1214"/>
      <c r="O64" s="330"/>
      <c r="P64" s="457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5">
        <f>'C-Dados RT1 Simplif.'!C108</f>
        <v>13401.882927420002</v>
      </c>
      <c r="D65" s="330" t="s">
        <v>33</v>
      </c>
      <c r="E65" s="722">
        <f>'C-Dados RT1 Simplif.'!C108</f>
        <v>13401.882927420002</v>
      </c>
      <c r="F65" s="723" t="s">
        <v>33</v>
      </c>
      <c r="G65" s="722">
        <f>'C-Dados RT1 Simplif.'!C108</f>
        <v>13401.882927420002</v>
      </c>
      <c r="H65" s="724" t="s">
        <v>33</v>
      </c>
      <c r="I65" s="722">
        <f>'C-Dados RT2 Simplif.'!C108</f>
        <v>10397.136469200002</v>
      </c>
      <c r="J65" s="723" t="s">
        <v>33</v>
      </c>
      <c r="K65" s="722">
        <f>'C-Dados RT3 Simplif.'!C108</f>
        <v>9442.986600000002</v>
      </c>
      <c r="L65" s="723" t="s">
        <v>33</v>
      </c>
      <c r="M65" s="722">
        <f>'C-Dados RT4 Simplif.'!C108</f>
        <v>23121.152356682058</v>
      </c>
      <c r="N65" s="723" t="s">
        <v>33</v>
      </c>
      <c r="O65" s="330"/>
      <c r="P65" s="457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5" customFormat="1" ht="4.9000000000000004" customHeight="1" outlineLevel="1" thickBot="1" x14ac:dyDescent="0.3">
      <c r="B66" s="478"/>
      <c r="C66" s="447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375"/>
      <c r="Q66" s="448"/>
      <c r="R66" s="448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20" t="s">
        <v>264</v>
      </c>
      <c r="C67" s="443" t="s">
        <v>363</v>
      </c>
      <c r="D67" s="482"/>
      <c r="E67" s="485"/>
      <c r="F67" s="485"/>
      <c r="G67" s="485"/>
      <c r="H67" s="483" t="s">
        <v>272</v>
      </c>
      <c r="I67" s="484" t="s">
        <v>276</v>
      </c>
      <c r="J67" s="485"/>
      <c r="K67" s="485"/>
      <c r="L67" s="485"/>
      <c r="M67" s="485"/>
      <c r="N67" s="483" t="s">
        <v>273</v>
      </c>
      <c r="O67" s="484" t="s">
        <v>279</v>
      </c>
      <c r="P67" s="486"/>
      <c r="Q67" s="487"/>
      <c r="R67" s="482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6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9000000000000004" customHeight="1" outlineLevel="2" thickTop="1" thickBot="1" x14ac:dyDescent="0.3">
      <c r="B69" s="450"/>
      <c r="C69" s="444"/>
      <c r="D69" s="444"/>
      <c r="E69" s="444"/>
      <c r="F69" s="444"/>
      <c r="G69" s="444"/>
      <c r="H69" s="444"/>
      <c r="I69" s="444"/>
      <c r="J69" s="444"/>
      <c r="K69" s="444"/>
      <c r="L69" s="444"/>
      <c r="M69" s="444"/>
      <c r="N69" s="444"/>
      <c r="O69" s="444"/>
      <c r="P69" s="462"/>
      <c r="Q69" s="444"/>
      <c r="R69" s="445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72" t="s">
        <v>245</v>
      </c>
      <c r="C70" s="379">
        <v>1</v>
      </c>
      <c r="D70" s="307"/>
      <c r="E70" s="335"/>
      <c r="F70" s="464"/>
      <c r="G70" s="530"/>
      <c r="H70" s="684" t="s">
        <v>282</v>
      </c>
      <c r="I70" s="933">
        <v>25</v>
      </c>
      <c r="J70" s="531" t="s">
        <v>263</v>
      </c>
      <c r="K70" s="532"/>
      <c r="L70" s="532"/>
      <c r="M70" s="532"/>
      <c r="N70" s="532"/>
      <c r="O70" s="556" t="s">
        <v>285</v>
      </c>
      <c r="P70" s="557">
        <f>IF(I73="New Holland",25,25)</f>
        <v>25</v>
      </c>
      <c r="Q70" s="558" t="s">
        <v>286</v>
      </c>
      <c r="R70" s="648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4" t="s">
        <v>7</v>
      </c>
      <c r="C71" s="348">
        <f>C72*1000/C70</f>
        <v>150000</v>
      </c>
      <c r="D71" s="336" t="s">
        <v>196</v>
      </c>
      <c r="E71" s="475"/>
      <c r="F71" s="465"/>
      <c r="G71" s="533"/>
      <c r="H71" s="545" t="s">
        <v>283</v>
      </c>
      <c r="I71" s="934">
        <v>2000</v>
      </c>
      <c r="J71" s="534" t="s">
        <v>143</v>
      </c>
      <c r="K71" s="535"/>
      <c r="L71" s="536"/>
      <c r="M71" s="536"/>
      <c r="N71" s="536"/>
      <c r="O71" s="553" t="s">
        <v>284</v>
      </c>
      <c r="P71" s="554">
        <f>IF(I73="New Holland",10%,10%)</f>
        <v>0.1</v>
      </c>
      <c r="Q71" s="555" t="s">
        <v>1</v>
      </c>
      <c r="R71" s="476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4" t="s">
        <v>7</v>
      </c>
      <c r="C72" s="348">
        <f>I70*I71*12/'RT1B) Descarb AutoCons'!C29/1000</f>
        <v>150</v>
      </c>
      <c r="D72" s="339" t="s">
        <v>197</v>
      </c>
      <c r="E72" s="475"/>
      <c r="F72" s="528"/>
      <c r="G72" s="538"/>
      <c r="H72" s="539" t="s">
        <v>141</v>
      </c>
      <c r="I72" s="935">
        <v>10</v>
      </c>
      <c r="J72" s="540" t="s">
        <v>260</v>
      </c>
      <c r="K72" s="538"/>
      <c r="L72" s="538"/>
      <c r="M72" s="541"/>
      <c r="N72" s="541"/>
      <c r="O72" s="542" t="s">
        <v>261</v>
      </c>
      <c r="P72" s="543">
        <f>IF(I73="New Holland",10%,10%)</f>
        <v>0.1</v>
      </c>
      <c r="Q72" s="544" t="s">
        <v>1</v>
      </c>
      <c r="R72" s="476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4"/>
      <c r="C73" s="446"/>
      <c r="D73" s="339"/>
      <c r="E73" s="475"/>
      <c r="F73" s="465"/>
      <c r="G73" s="533"/>
      <c r="H73" s="545" t="s">
        <v>287</v>
      </c>
      <c r="I73" s="936" t="s">
        <v>207</v>
      </c>
      <c r="J73" s="552" t="s">
        <v>207</v>
      </c>
      <c r="K73" s="473" t="s">
        <v>262</v>
      </c>
      <c r="L73" s="533"/>
      <c r="M73" s="536"/>
      <c r="N73" s="536"/>
      <c r="O73" s="537" t="s">
        <v>147</v>
      </c>
      <c r="P73" s="546">
        <f>IF($I$73="New Holland",350,350)</f>
        <v>350</v>
      </c>
      <c r="Q73" s="559" t="s">
        <v>148</v>
      </c>
      <c r="R73" s="476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4"/>
      <c r="C74" s="446"/>
      <c r="D74" s="339"/>
      <c r="E74" s="475"/>
      <c r="F74" s="465"/>
      <c r="G74" s="533"/>
      <c r="H74" s="545" t="s">
        <v>345</v>
      </c>
      <c r="I74" s="935">
        <v>25</v>
      </c>
      <c r="J74" s="535" t="s">
        <v>341</v>
      </c>
      <c r="K74" s="533"/>
      <c r="L74" s="533"/>
      <c r="M74" s="536"/>
      <c r="N74" s="536"/>
      <c r="O74" s="537" t="s">
        <v>150</v>
      </c>
      <c r="P74" s="543">
        <f>IF(I73="New Holland",20%,20%)</f>
        <v>0.2</v>
      </c>
      <c r="Q74" s="559" t="s">
        <v>1</v>
      </c>
      <c r="R74" s="476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4"/>
      <c r="C75" s="446"/>
      <c r="D75" s="339"/>
      <c r="E75" s="475"/>
      <c r="F75" s="734"/>
      <c r="G75" s="735"/>
      <c r="H75" s="545"/>
      <c r="I75" s="545"/>
      <c r="J75" s="736"/>
      <c r="K75" s="735"/>
      <c r="L75" s="735"/>
      <c r="M75" s="737"/>
      <c r="N75" s="737"/>
      <c r="O75" s="553" t="s">
        <v>365</v>
      </c>
      <c r="P75" s="740">
        <f>IF(I73="New Holland",3.5%,3.5%)</f>
        <v>3.5000000000000003E-2</v>
      </c>
      <c r="Q75" s="738" t="s">
        <v>1</v>
      </c>
      <c r="R75" s="476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4"/>
      <c r="C76" s="446"/>
      <c r="D76" s="339"/>
      <c r="E76" s="475"/>
      <c r="F76" s="529"/>
      <c r="G76" s="547"/>
      <c r="H76" s="733"/>
      <c r="I76" s="733"/>
      <c r="J76" s="548"/>
      <c r="K76" s="547"/>
      <c r="L76" s="547"/>
      <c r="M76" s="549"/>
      <c r="N76" s="549"/>
      <c r="O76" s="550" t="s">
        <v>366</v>
      </c>
      <c r="P76" s="741">
        <f>IF(I73="New Holland",35%,35%)</f>
        <v>0.35</v>
      </c>
      <c r="Q76" s="551" t="s">
        <v>1</v>
      </c>
      <c r="R76" s="476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51"/>
      <c r="C77" s="447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375"/>
      <c r="Q77" s="448"/>
      <c r="R77" s="449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5" customFormat="1" ht="4.9000000000000004" customHeight="1" outlineLevel="1" thickTop="1" thickBot="1" x14ac:dyDescent="0.3">
      <c r="B78" s="478"/>
      <c r="C78" s="447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375"/>
      <c r="Q78" s="448"/>
      <c r="R78" s="448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21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6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6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37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7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5" customFormat="1" ht="4.9000000000000004" customHeight="1" outlineLevel="1" thickBot="1" x14ac:dyDescent="0.3">
      <c r="B82" s="478"/>
      <c r="C82" s="447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375"/>
      <c r="Q82" s="448"/>
      <c r="R82" s="448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21" t="s">
        <v>266</v>
      </c>
      <c r="C83" s="443" t="s">
        <v>363</v>
      </c>
      <c r="D83" s="482"/>
      <c r="E83" s="485"/>
      <c r="F83" s="485"/>
      <c r="G83" s="485"/>
      <c r="H83" s="483" t="s">
        <v>272</v>
      </c>
      <c r="I83" s="484" t="s">
        <v>277</v>
      </c>
      <c r="J83" s="485"/>
      <c r="K83" s="485"/>
      <c r="L83" s="485"/>
      <c r="N83" s="483" t="s">
        <v>273</v>
      </c>
      <c r="O83" s="484" t="s">
        <v>278</v>
      </c>
      <c r="P83" s="486"/>
      <c r="Q83" s="487"/>
      <c r="R83" s="482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5" customFormat="1" ht="4.9000000000000004" customHeight="1" outlineLevel="2" thickTop="1" thickBot="1" x14ac:dyDescent="0.3">
      <c r="B84" s="478"/>
      <c r="C84" s="447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375"/>
      <c r="Q84" s="448"/>
      <c r="R84" s="448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9000000000000004" customHeight="1" outlineLevel="2" thickTop="1" thickBot="1" x14ac:dyDescent="0.3">
      <c r="B85" s="450"/>
      <c r="C85" s="444"/>
      <c r="D85" s="444"/>
      <c r="E85" s="444"/>
      <c r="F85" s="444"/>
      <c r="G85" s="444"/>
      <c r="H85" s="444"/>
      <c r="I85" s="444"/>
      <c r="J85" s="444"/>
      <c r="K85" s="444"/>
      <c r="L85" s="444"/>
      <c r="M85" s="444"/>
      <c r="N85" s="444"/>
      <c r="O85" s="444"/>
      <c r="P85" s="462"/>
      <c r="Q85" s="444"/>
      <c r="R85" s="445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72" t="s">
        <v>245</v>
      </c>
      <c r="C86" s="379">
        <v>1</v>
      </c>
      <c r="D86" s="307"/>
      <c r="E86" s="335"/>
      <c r="F86" s="464"/>
      <c r="G86" s="530"/>
      <c r="H86" s="684" t="s">
        <v>268</v>
      </c>
      <c r="I86" s="933">
        <v>50</v>
      </c>
      <c r="J86" s="602" t="s">
        <v>253</v>
      </c>
      <c r="K86" s="532"/>
      <c r="L86" s="532"/>
      <c r="M86" s="532"/>
      <c r="N86" s="532"/>
      <c r="O86" s="556" t="s">
        <v>285</v>
      </c>
      <c r="P86" s="557">
        <f>IF(I89="Fabricante 1",10,10)</f>
        <v>10</v>
      </c>
      <c r="Q86" s="558" t="s">
        <v>286</v>
      </c>
      <c r="R86" s="479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4" t="s">
        <v>7</v>
      </c>
      <c r="C87" s="348">
        <f>C88*1000/C86</f>
        <v>337500</v>
      </c>
      <c r="D87" s="336" t="s">
        <v>196</v>
      </c>
      <c r="E87" s="340"/>
      <c r="F87" s="465"/>
      <c r="G87" s="533"/>
      <c r="H87" s="545" t="s">
        <v>269</v>
      </c>
      <c r="I87" s="934">
        <v>2250</v>
      </c>
      <c r="J87" s="534" t="s">
        <v>143</v>
      </c>
      <c r="K87" s="535"/>
      <c r="L87" s="536"/>
      <c r="M87" s="536"/>
      <c r="N87" s="536"/>
      <c r="O87" s="553" t="s">
        <v>284</v>
      </c>
      <c r="P87" s="554">
        <f>IF(I89="Fabricante 1",10%,10%)</f>
        <v>0.1</v>
      </c>
      <c r="Q87" s="555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4" t="s">
        <v>7</v>
      </c>
      <c r="C88" s="348">
        <f>(I86*I87*12/'RT1B) Descarb AutoCons'!C29)/1000</f>
        <v>337.5</v>
      </c>
      <c r="D88" s="339" t="s">
        <v>197</v>
      </c>
      <c r="E88" s="341"/>
      <c r="F88" s="528"/>
      <c r="G88" s="538"/>
      <c r="H88" s="539" t="s">
        <v>141</v>
      </c>
      <c r="I88" s="935">
        <v>5</v>
      </c>
      <c r="J88" s="540" t="s">
        <v>260</v>
      </c>
      <c r="K88" s="538"/>
      <c r="L88" s="538"/>
      <c r="M88" s="541"/>
      <c r="N88" s="541"/>
      <c r="O88" s="542" t="s">
        <v>261</v>
      </c>
      <c r="P88" s="543">
        <f>IF(I89="Fabricante 1",10%,10%)</f>
        <v>0.1</v>
      </c>
      <c r="Q88" s="544" t="s">
        <v>1</v>
      </c>
      <c r="R88" s="480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4"/>
      <c r="C89" s="446"/>
      <c r="D89" s="339"/>
      <c r="E89" s="475"/>
      <c r="F89" s="465"/>
      <c r="G89" s="533"/>
      <c r="H89" s="545" t="s">
        <v>270</v>
      </c>
      <c r="I89" s="936" t="s">
        <v>235</v>
      </c>
      <c r="J89" s="552" t="s">
        <v>235</v>
      </c>
      <c r="K89" s="473" t="s">
        <v>271</v>
      </c>
      <c r="L89" s="533"/>
      <c r="M89" s="536"/>
      <c r="N89" s="536"/>
      <c r="O89" s="537" t="s">
        <v>205</v>
      </c>
      <c r="P89" s="546">
        <f>IF(I89="Fabricante 1",50,50)</f>
        <v>50</v>
      </c>
      <c r="Q89" s="559" t="s">
        <v>206</v>
      </c>
      <c r="R89" s="476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4"/>
      <c r="C90" s="446"/>
      <c r="D90" s="339"/>
      <c r="E90" s="475"/>
      <c r="F90" s="465"/>
      <c r="G90" s="533"/>
      <c r="H90" s="545" t="s">
        <v>346</v>
      </c>
      <c r="I90" s="935">
        <v>25</v>
      </c>
      <c r="J90" s="535" t="s">
        <v>341</v>
      </c>
      <c r="K90" s="533"/>
      <c r="L90" s="533"/>
      <c r="M90" s="536"/>
      <c r="N90" s="536"/>
      <c r="O90" s="537" t="s">
        <v>202</v>
      </c>
      <c r="P90" s="740">
        <f>IF(I89="Fabricante 1",25%,25%)</f>
        <v>0.25</v>
      </c>
      <c r="Q90" s="559" t="s">
        <v>1</v>
      </c>
      <c r="R90" s="476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4"/>
      <c r="C91" s="446"/>
      <c r="D91" s="339"/>
      <c r="E91" s="475"/>
      <c r="F91" s="746"/>
      <c r="G91" s="729"/>
      <c r="H91" s="539"/>
      <c r="I91" s="539"/>
      <c r="J91" s="730"/>
      <c r="K91" s="729"/>
      <c r="L91" s="729"/>
      <c r="M91" s="731"/>
      <c r="N91" s="731"/>
      <c r="O91" s="732" t="s">
        <v>365</v>
      </c>
      <c r="P91" s="752">
        <f>IF(I89="Fabricante 1",2.5%,2.5%)</f>
        <v>2.5000000000000001E-2</v>
      </c>
      <c r="Q91" s="559" t="s">
        <v>1</v>
      </c>
      <c r="R91" s="476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4"/>
      <c r="C92" s="446"/>
      <c r="D92" s="339"/>
      <c r="E92" s="475"/>
      <c r="F92" s="747"/>
      <c r="G92" s="748"/>
      <c r="H92" s="685"/>
      <c r="I92" s="685"/>
      <c r="J92" s="749"/>
      <c r="K92" s="748"/>
      <c r="L92" s="748"/>
      <c r="M92" s="750"/>
      <c r="N92" s="750"/>
      <c r="O92" s="751" t="s">
        <v>366</v>
      </c>
      <c r="P92" s="741">
        <f>IF(I89="Fabricante 1",55%,55%)</f>
        <v>0.55000000000000004</v>
      </c>
      <c r="Q92" s="551" t="s">
        <v>1</v>
      </c>
      <c r="R92" s="476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51"/>
      <c r="C93" s="447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375"/>
      <c r="Q93" s="448"/>
      <c r="R93" s="449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77" t="s">
        <v>313</v>
      </c>
      <c r="C95" s="491"/>
      <c r="D95" s="482"/>
      <c r="E95" s="482"/>
      <c r="F95" s="482"/>
      <c r="G95" s="482"/>
      <c r="H95" s="482"/>
      <c r="I95" s="482"/>
      <c r="J95" s="482"/>
      <c r="K95" s="482"/>
      <c r="L95" s="482"/>
      <c r="M95" s="482"/>
      <c r="N95" s="482"/>
      <c r="O95" s="482"/>
      <c r="P95" s="492"/>
      <c r="Q95" s="482"/>
      <c r="R95" s="482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3"/>
      <c r="C97" s="491"/>
      <c r="D97" s="482"/>
      <c r="E97" s="482"/>
      <c r="F97" s="482"/>
      <c r="G97" s="482"/>
      <c r="H97" s="482"/>
      <c r="I97" s="482"/>
      <c r="J97" s="482"/>
      <c r="K97" s="482"/>
      <c r="L97" s="482"/>
      <c r="M97" s="482"/>
      <c r="N97" s="482"/>
      <c r="O97" s="482"/>
      <c r="P97" s="492"/>
      <c r="Q97" s="482"/>
      <c r="R97" s="493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501" t="s">
        <v>236</v>
      </c>
      <c r="C98" s="1203" t="s">
        <v>237</v>
      </c>
      <c r="D98" s="1204"/>
      <c r="E98" s="466" t="s">
        <v>237</v>
      </c>
      <c r="F98" s="466" t="s">
        <v>238</v>
      </c>
      <c r="G98" s="467"/>
      <c r="H98" s="488" t="s">
        <v>7</v>
      </c>
      <c r="I98" s="380">
        <v>4500000</v>
      </c>
      <c r="J98" s="468" t="s">
        <v>267</v>
      </c>
      <c r="K98" s="467"/>
      <c r="L98" s="467"/>
      <c r="M98" s="468"/>
      <c r="N98" s="468" t="s">
        <v>239</v>
      </c>
      <c r="O98" s="467"/>
      <c r="P98" s="380">
        <v>2000000</v>
      </c>
      <c r="Q98" s="469" t="s">
        <v>196</v>
      </c>
      <c r="R98" s="471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4"/>
      <c r="C99" s="489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90"/>
      <c r="Q99" s="342"/>
      <c r="R99" s="495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88" t="s">
        <v>246</v>
      </c>
      <c r="C100" s="661">
        <v>1</v>
      </c>
      <c r="D100" s="307"/>
      <c r="E100" s="335"/>
      <c r="F100" s="335"/>
      <c r="G100" s="336"/>
      <c r="H100" s="336"/>
      <c r="I100" s="336"/>
      <c r="J100" s="336"/>
      <c r="K100" s="336"/>
      <c r="L100" s="336"/>
      <c r="M100" s="336"/>
      <c r="N100" s="336"/>
      <c r="O100" s="336"/>
      <c r="P100" s="496"/>
      <c r="Q100" s="336"/>
      <c r="R100" s="481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72" t="s">
        <v>245</v>
      </c>
      <c r="C101" s="379">
        <v>1</v>
      </c>
      <c r="D101" s="307"/>
      <c r="E101" s="335"/>
      <c r="F101" s="335"/>
      <c r="G101" s="336"/>
      <c r="H101" s="539" t="s">
        <v>346</v>
      </c>
      <c r="I101" s="935">
        <v>25</v>
      </c>
      <c r="J101" s="540" t="s">
        <v>341</v>
      </c>
      <c r="K101" s="336"/>
      <c r="L101" s="336"/>
      <c r="M101" s="336"/>
      <c r="N101" s="336"/>
      <c r="O101" s="336"/>
      <c r="P101" s="496"/>
      <c r="Q101" s="336"/>
      <c r="R101" s="481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89"/>
      <c r="C102" s="690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91"/>
      <c r="Q102" s="76"/>
      <c r="R102" s="692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4" t="s">
        <v>7</v>
      </c>
      <c r="C103" s="348">
        <f>IF(C98="Nm3 Biometano",I98,P98*C100)</f>
        <v>4500000</v>
      </c>
      <c r="D103" s="336" t="s">
        <v>244</v>
      </c>
      <c r="E103" s="676">
        <f>('RT1C)BIODIG Gas Natural'!F22-'RT1C)BIODIG Gas Natural'!F10-'RT1C)BIODIG Gas Natural'!F13)*C100-C103</f>
        <v>3214395.7782566203</v>
      </c>
      <c r="F103" s="336" t="s">
        <v>196</v>
      </c>
      <c r="G103" s="657" t="s">
        <v>336</v>
      </c>
      <c r="H103" s="453"/>
      <c r="I103" s="453"/>
      <c r="J103" s="307"/>
      <c r="K103" s="307"/>
      <c r="L103" s="307"/>
      <c r="M103" s="308"/>
      <c r="N103" s="307"/>
      <c r="O103" s="307"/>
      <c r="P103" s="496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4" t="s">
        <v>239</v>
      </c>
      <c r="C104" s="348">
        <f>C103/C100</f>
        <v>4500000</v>
      </c>
      <c r="D104" s="339" t="s">
        <v>243</v>
      </c>
      <c r="E104" s="475"/>
      <c r="F104" s="475"/>
      <c r="G104" s="617"/>
      <c r="H104" s="617"/>
      <c r="I104" s="617"/>
      <c r="J104" s="307"/>
      <c r="K104" s="307"/>
      <c r="L104" s="307"/>
      <c r="M104" s="307"/>
      <c r="N104" s="307"/>
      <c r="O104" s="307"/>
      <c r="P104" s="496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497" t="s">
        <v>7</v>
      </c>
      <c r="C105" s="498">
        <f>'RT1B)BIODIG Descarb Biomet'!F16*1000*'Demanda Preço &amp; Quantidade'!C101</f>
        <v>4500000</v>
      </c>
      <c r="D105" s="620" t="s">
        <v>244</v>
      </c>
      <c r="E105" s="639">
        <f>('RT1B)BIODIG Descarb Biomet'!F22-'RT1B)BIODIG Descarb Biomet'!F10-'RT1B)BIODIG Descarb Biomet'!F13-'RT1B)BIODIG Descarb Biomet'!F16)*1000*C101</f>
        <v>2726895.7782566203</v>
      </c>
      <c r="F105" s="620" t="s">
        <v>196</v>
      </c>
      <c r="G105" s="658" t="s">
        <v>337</v>
      </c>
      <c r="H105" s="478"/>
      <c r="I105" s="478"/>
      <c r="J105" s="448"/>
      <c r="K105" s="448"/>
      <c r="L105" s="448"/>
      <c r="M105" s="448"/>
      <c r="N105" s="448"/>
      <c r="O105" s="448"/>
      <c r="P105" s="500"/>
      <c r="Q105" s="448"/>
      <c r="R105" s="449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41"/>
      <c r="E107" s="640"/>
      <c r="F107" s="641"/>
      <c r="G107" s="270"/>
      <c r="H107" s="270"/>
      <c r="I107" s="270"/>
      <c r="J107" s="270"/>
      <c r="K107" s="270"/>
      <c r="L107" s="322"/>
      <c r="M107" s="322"/>
      <c r="N107" s="270"/>
      <c r="O107" s="322"/>
      <c r="P107" s="463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42"/>
      <c r="E108" s="643"/>
      <c r="F108" s="641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8" priority="71">
      <formula>"se(d57=""Biometano"")"</formula>
    </cfRule>
  </conditionalFormatting>
  <conditionalFormatting sqref="H98">
    <cfRule type="expression" dxfId="567" priority="55">
      <formula>$C98="Nm3 Biometano"</formula>
    </cfRule>
  </conditionalFormatting>
  <conditionalFormatting sqref="H98">
    <cfRule type="expression" dxfId="566" priority="56">
      <formula>$C98="Nm3 Gas Natural"</formula>
    </cfRule>
  </conditionalFormatting>
  <conditionalFormatting sqref="I98">
    <cfRule type="expression" dxfId="565" priority="53">
      <formula>$C98="Nm3 Biometano"</formula>
    </cfRule>
  </conditionalFormatting>
  <conditionalFormatting sqref="I98">
    <cfRule type="expression" dxfId="564" priority="54">
      <formula>$C98="Nm3 Gas Natural"</formula>
    </cfRule>
  </conditionalFormatting>
  <conditionalFormatting sqref="J98">
    <cfRule type="expression" dxfId="563" priority="51">
      <formula>$C98="Nm3 Biometano"</formula>
    </cfRule>
  </conditionalFormatting>
  <conditionalFormatting sqref="J98">
    <cfRule type="expression" dxfId="562" priority="52">
      <formula>$C98="Nm3 Gas Natural"</formula>
    </cfRule>
  </conditionalFormatting>
  <conditionalFormatting sqref="H20">
    <cfRule type="expression" dxfId="561" priority="33">
      <formula>$C20="Nm3 Biometano"</formula>
    </cfRule>
  </conditionalFormatting>
  <conditionalFormatting sqref="H20">
    <cfRule type="expression" dxfId="560" priority="34">
      <formula>$C20="Nm3 Gas Natural"</formula>
    </cfRule>
  </conditionalFormatting>
  <conditionalFormatting sqref="I20">
    <cfRule type="expression" dxfId="559" priority="31">
      <formula>$C20="Nm3 Biometano"</formula>
    </cfRule>
  </conditionalFormatting>
  <conditionalFormatting sqref="I20">
    <cfRule type="expression" dxfId="558" priority="32">
      <formula>$C20="Nm3 Gas Natural"</formula>
    </cfRule>
  </conditionalFormatting>
  <conditionalFormatting sqref="M20">
    <cfRule type="expression" dxfId="557" priority="27">
      <formula>$C20="Nm3 Gas Natural"</formula>
    </cfRule>
  </conditionalFormatting>
  <conditionalFormatting sqref="M20">
    <cfRule type="expression" dxfId="556" priority="28">
      <formula>$C20="Nm3 Biometano"</formula>
    </cfRule>
  </conditionalFormatting>
  <conditionalFormatting sqref="N20">
    <cfRule type="expression" dxfId="555" priority="25">
      <formula>$C20="Nm3 Gas Natural"</formula>
    </cfRule>
  </conditionalFormatting>
  <conditionalFormatting sqref="N20">
    <cfRule type="expression" dxfId="554" priority="26">
      <formula>$C20="Nm3 Biometano"</formula>
    </cfRule>
  </conditionalFormatting>
  <conditionalFormatting sqref="Q20">
    <cfRule type="expression" dxfId="553" priority="23">
      <formula>$C20="Nm3 Gas Natural"</formula>
    </cfRule>
  </conditionalFormatting>
  <conditionalFormatting sqref="Q20">
    <cfRule type="expression" dxfId="552" priority="24">
      <formula>$C20="Nm3 Biometano"</formula>
    </cfRule>
  </conditionalFormatting>
  <conditionalFormatting sqref="P20">
    <cfRule type="expression" dxfId="551" priority="21">
      <formula>$C20="Nm3 Gas Natural"</formula>
    </cfRule>
  </conditionalFormatting>
  <conditionalFormatting sqref="P20">
    <cfRule type="expression" dxfId="550" priority="22">
      <formula>$C20="Nm3 Biometano"</formula>
    </cfRule>
  </conditionalFormatting>
  <conditionalFormatting sqref="M98">
    <cfRule type="expression" dxfId="549" priority="19">
      <formula>$C98="Nm3 Gas Natural"</formula>
    </cfRule>
  </conditionalFormatting>
  <conditionalFormatting sqref="M98">
    <cfRule type="expression" dxfId="548" priority="20">
      <formula>$C98="Nm3 Biometano"</formula>
    </cfRule>
  </conditionalFormatting>
  <conditionalFormatting sqref="N98">
    <cfRule type="expression" dxfId="547" priority="17">
      <formula>$C98="Nm3 Gas Natural"</formula>
    </cfRule>
  </conditionalFormatting>
  <conditionalFormatting sqref="N98">
    <cfRule type="expression" dxfId="546" priority="18">
      <formula>$C98="Nm3 Biometano"</formula>
    </cfRule>
  </conditionalFormatting>
  <conditionalFormatting sqref="Q98">
    <cfRule type="expression" dxfId="545" priority="15">
      <formula>$C98="Nm3 Gas Natural"</formula>
    </cfRule>
  </conditionalFormatting>
  <conditionalFormatting sqref="Q98">
    <cfRule type="expression" dxfId="544" priority="16">
      <formula>$C98="Nm3 Biometano"</formula>
    </cfRule>
  </conditionalFormatting>
  <conditionalFormatting sqref="P98">
    <cfRule type="expression" dxfId="543" priority="13">
      <formula>$C98="Nm3 Gas Natural"</formula>
    </cfRule>
  </conditionalFormatting>
  <conditionalFormatting sqref="P98">
    <cfRule type="expression" dxfId="542" priority="14">
      <formula>$C98="Nm3 Biometano"</formula>
    </cfRule>
  </conditionalFormatting>
  <conditionalFormatting sqref="E103">
    <cfRule type="cellIs" dxfId="541" priority="9" operator="lessThan">
      <formula>0</formula>
    </cfRule>
    <cfRule type="cellIs" dxfId="540" priority="10" operator="greaterThanOrEqual">
      <formula>0</formula>
    </cfRule>
  </conditionalFormatting>
  <conditionalFormatting sqref="E105">
    <cfRule type="cellIs" dxfId="539" priority="5" operator="lessThan">
      <formula>0</formula>
    </cfRule>
    <cfRule type="cellIs" dxfId="538" priority="6" operator="greaterThanOrEqual">
      <formula>0</formula>
    </cfRule>
  </conditionalFormatting>
  <conditionalFormatting sqref="J20">
    <cfRule type="expression" dxfId="537" priority="1">
      <formula>$C20="Nm3 Biometano"</formula>
    </cfRule>
  </conditionalFormatting>
  <conditionalFormatting sqref="J20">
    <cfRule type="expression" dxfId="536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6"/>
  <sheetViews>
    <sheetView zoomScale="90" zoomScaleNormal="90" workbookViewId="0">
      <selection activeCell="C72" sqref="C72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0.7109375" style="1" customWidth="1"/>
    <col min="11" max="11" width="13.28515625" style="258" customWidth="1"/>
    <col min="12" max="12" width="13.28515625" style="1" customWidth="1"/>
    <col min="13" max="13" width="14.28515625" style="1" customWidth="1"/>
    <col min="14" max="14" width="8.85546875" style="664"/>
    <col min="15" max="16384" width="8.85546875" style="1"/>
  </cols>
  <sheetData>
    <row r="1" spans="2:15" ht="4.9000000000000004" customHeight="1" thickBot="1" x14ac:dyDescent="0.3">
      <c r="B1" s="260"/>
    </row>
    <row r="2" spans="2:15" s="2" customFormat="1" ht="25.15" customHeight="1" thickTop="1" thickBot="1" x14ac:dyDescent="0.3">
      <c r="B2" s="302"/>
      <c r="C2" s="1217" t="s">
        <v>233</v>
      </c>
      <c r="D2" s="1218"/>
      <c r="E2" s="1218"/>
      <c r="F2" s="1218"/>
      <c r="G2" s="1218"/>
      <c r="H2" s="1218"/>
      <c r="I2" s="1218"/>
      <c r="J2" s="1218"/>
      <c r="K2" s="1218"/>
      <c r="L2" s="1218"/>
      <c r="M2" s="1218"/>
      <c r="N2" s="1218"/>
    </row>
    <row r="3" spans="2:15" s="2" customFormat="1" ht="25.15" customHeight="1" thickTop="1" thickBot="1" x14ac:dyDescent="0.3">
      <c r="B3" s="302"/>
      <c r="C3" s="668" t="s">
        <v>339</v>
      </c>
      <c r="D3" s="667" t="s">
        <v>339</v>
      </c>
      <c r="E3" s="669" t="s">
        <v>339</v>
      </c>
      <c r="F3" s="1215" t="s">
        <v>520</v>
      </c>
      <c r="G3" s="1216"/>
      <c r="H3" s="1216"/>
      <c r="I3" s="1216"/>
      <c r="J3" s="1216"/>
      <c r="K3" s="1216"/>
      <c r="L3" s="1216"/>
      <c r="M3" s="1216"/>
      <c r="N3" s="1216"/>
    </row>
    <row r="4" spans="2:15" s="2" customFormat="1" ht="25.15" customHeight="1" thickTop="1" thickBot="1" x14ac:dyDescent="0.3">
      <c r="B4" s="302"/>
      <c r="C4" s="1227" t="s">
        <v>361</v>
      </c>
      <c r="D4" s="1225" t="s">
        <v>362</v>
      </c>
      <c r="E4" s="1225" t="s">
        <v>364</v>
      </c>
      <c r="F4" s="303"/>
      <c r="G4" s="1231" t="s">
        <v>521</v>
      </c>
      <c r="H4" s="1232"/>
      <c r="I4" s="1232"/>
      <c r="J4" s="1232"/>
      <c r="K4" s="1232"/>
      <c r="L4" s="1232"/>
      <c r="M4" s="1232"/>
      <c r="N4" s="1232"/>
    </row>
    <row r="5" spans="2:15" s="2" customFormat="1" ht="25.15" customHeight="1" thickTop="1" thickBot="1" x14ac:dyDescent="0.3">
      <c r="B5" s="302"/>
      <c r="C5" s="1228"/>
      <c r="D5" s="1226"/>
      <c r="E5" s="1226"/>
      <c r="F5" s="303"/>
      <c r="G5" s="304"/>
      <c r="H5" s="1229" t="s">
        <v>522</v>
      </c>
      <c r="I5" s="1230"/>
      <c r="J5" s="1230"/>
      <c r="K5" s="1230"/>
      <c r="L5" s="1230"/>
      <c r="M5" s="1230"/>
      <c r="N5" s="1230"/>
    </row>
    <row r="6" spans="2:15" s="359" customFormat="1" ht="19.899999999999999" customHeight="1" thickTop="1" x14ac:dyDescent="0.25">
      <c r="B6" s="358"/>
      <c r="C6" s="1228"/>
      <c r="D6" s="1226"/>
      <c r="E6" s="1226"/>
      <c r="F6" s="395"/>
      <c r="G6" s="396"/>
      <c r="H6" s="397"/>
      <c r="I6" s="1229" t="s">
        <v>644</v>
      </c>
      <c r="J6" s="1230"/>
      <c r="K6" s="1230"/>
      <c r="L6" s="1230"/>
      <c r="M6" s="1230"/>
      <c r="N6" s="1230"/>
      <c r="O6" s="1230"/>
    </row>
    <row r="7" spans="2:15" s="23" customFormat="1" ht="4.9000000000000004" customHeight="1" thickBot="1" x14ac:dyDescent="0.3">
      <c r="K7" s="368"/>
      <c r="N7" s="665"/>
    </row>
    <row r="8" spans="2:15" s="441" customFormat="1" ht="19.899999999999999" customHeight="1" collapsed="1" thickTop="1" thickBot="1" x14ac:dyDescent="0.3">
      <c r="B8" s="660" t="s">
        <v>214</v>
      </c>
      <c r="C8" s="1127" t="s">
        <v>230</v>
      </c>
      <c r="D8" s="1127" t="s">
        <v>231</v>
      </c>
      <c r="E8" s="1127" t="s">
        <v>232</v>
      </c>
      <c r="F8" s="1128" t="s">
        <v>215</v>
      </c>
      <c r="G8" s="1129" t="s">
        <v>216</v>
      </c>
      <c r="H8" s="1130" t="s">
        <v>217</v>
      </c>
      <c r="I8" s="1130" t="s">
        <v>643</v>
      </c>
      <c r="J8" s="1131"/>
      <c r="K8" s="442"/>
      <c r="N8" s="666"/>
    </row>
    <row r="9" spans="2:15" ht="15.75" hidden="1" outlineLevel="1" thickTop="1" x14ac:dyDescent="0.25">
      <c r="B9" s="1114" t="str">
        <f>B41</f>
        <v>Nova RT | TARIFA LÍQUIDA pós MODICIDADE TARIFÁRIA</v>
      </c>
      <c r="C9" s="1132">
        <f t="shared" ref="C9:H9" si="0">C41</f>
        <v>139.18478181501041</v>
      </c>
      <c r="D9" s="1132">
        <f t="shared" si="0"/>
        <v>167.75731676496798</v>
      </c>
      <c r="E9" s="1132">
        <f t="shared" si="0"/>
        <v>175.77958271308489</v>
      </c>
      <c r="F9" s="1132">
        <f t="shared" si="0"/>
        <v>136.51058702016019</v>
      </c>
      <c r="G9" s="1132">
        <f t="shared" si="0"/>
        <v>198.29818555905598</v>
      </c>
      <c r="H9" s="1132">
        <f t="shared" si="0"/>
        <v>162.26838817229134</v>
      </c>
      <c r="I9" s="1132">
        <f t="shared" ref="I9" si="1">I41</f>
        <v>162.26838817229134</v>
      </c>
      <c r="J9" s="1115" t="s">
        <v>597</v>
      </c>
    </row>
    <row r="10" spans="2:15" hidden="1" outlineLevel="1" x14ac:dyDescent="0.25">
      <c r="B10" s="1103" t="str">
        <f>B65</f>
        <v>% EF RT &amp; CM | Eficiência Valorização RT + Custos Movimentação:
 (Esforço s/ Tarifa Munícipe)</v>
      </c>
      <c r="C10" s="1133">
        <f>C65</f>
        <v>3.9154169667154206</v>
      </c>
      <c r="D10" s="1133">
        <f t="shared" ref="D10:H10" si="2">D65</f>
        <v>2.8344028878284306</v>
      </c>
      <c r="E10" s="1133">
        <f t="shared" si="2"/>
        <v>2.6565692637024703</v>
      </c>
      <c r="F10" s="1133">
        <f t="shared" si="2"/>
        <v>3.4712855280245778</v>
      </c>
      <c r="G10" s="1133">
        <f t="shared" si="2"/>
        <v>2.2108250466792803</v>
      </c>
      <c r="H10" s="1133">
        <f t="shared" si="2"/>
        <v>3.8570599340456457</v>
      </c>
      <c r="I10" s="1133">
        <f t="shared" ref="I10" si="3">I65</f>
        <v>3.8570599340456457</v>
      </c>
      <c r="J10" s="1117" t="s">
        <v>1</v>
      </c>
    </row>
    <row r="11" spans="2:15" hidden="1" outlineLevel="1" x14ac:dyDescent="0.25">
      <c r="B11" s="1103" t="s">
        <v>608</v>
      </c>
      <c r="C11" s="1134">
        <f>'C-Dados RT1 Simplif.'!C7</f>
        <v>35</v>
      </c>
      <c r="D11" s="1134">
        <f>'C-Dados RT1 Simplif.'!C7</f>
        <v>35</v>
      </c>
      <c r="E11" s="1134">
        <f>'C-Dados RT1 Simplif.'!C7</f>
        <v>35</v>
      </c>
      <c r="F11" s="1134">
        <f>'C-Dados RT2 Simplif.'!C7</f>
        <v>35</v>
      </c>
      <c r="G11" s="1134">
        <f>'C-Dados RT3 Simplif.'!C7</f>
        <v>35</v>
      </c>
      <c r="H11" s="1134">
        <f>'C-Dados RT4 Simplif.'!C7</f>
        <v>35</v>
      </c>
      <c r="I11" s="1134">
        <f>'C-Dados RT5 Simplif.'!C7</f>
        <v>35</v>
      </c>
      <c r="J11" s="1117" t="s">
        <v>3</v>
      </c>
    </row>
    <row r="12" spans="2:15" hidden="1" outlineLevel="1" x14ac:dyDescent="0.25">
      <c r="B12" s="1103" t="s">
        <v>602</v>
      </c>
      <c r="C12" s="1116">
        <f>'C-Dados RT1 Simplif.'!C18</f>
        <v>408.69781036984205</v>
      </c>
      <c r="D12" s="1116">
        <f>'C-Dados RT1 Simplif.'!C18</f>
        <v>408.69781036984205</v>
      </c>
      <c r="E12" s="1116">
        <f>'C-Dados RT1 Simplif.'!C18</f>
        <v>408.69781036984205</v>
      </c>
      <c r="F12" s="1116">
        <f>'C-Dados RT2 Simplif.'!C18</f>
        <v>290.13113369405085</v>
      </c>
      <c r="G12" s="1116">
        <f>'C-Dados RT3 Simplif.'!C18</f>
        <v>448.82802470399298</v>
      </c>
      <c r="H12" s="1116">
        <f>'C-Dados RT4 Simplif.'!C18</f>
        <v>974.00388302938234</v>
      </c>
      <c r="I12" s="1116">
        <f>'C-Dados RT5 Simplif.'!C18</f>
        <v>974.00388302938234</v>
      </c>
      <c r="J12" s="1117" t="s">
        <v>613</v>
      </c>
    </row>
    <row r="13" spans="2:15" hidden="1" outlineLevel="1" x14ac:dyDescent="0.25">
      <c r="B13" s="1103" t="s">
        <v>609</v>
      </c>
      <c r="C13" s="1118">
        <f>'C-Dados RT1 Simplif.'!C21/'C-Dados RT1 Simplif.'!C7</f>
        <v>38.900697488397505</v>
      </c>
      <c r="D13" s="1118">
        <f>'C-Dados RT1 Simplif.'!C21/'C-Dados RT1 Simplif.'!C7</f>
        <v>38.900697488397505</v>
      </c>
      <c r="E13" s="1118">
        <f>'C-Dados RT1 Simplif.'!C21/'C-Dados RT1 Simplif.'!C7</f>
        <v>38.900697488397505</v>
      </c>
      <c r="F13" s="1118">
        <f>'C-Dados RT2 Simplif.'!C21/'C-Dados RT2 Simplif.'!C7</f>
        <v>32.194552303679266</v>
      </c>
      <c r="G13" s="1118">
        <f>'C-Dados RT3 Simplif.'!C21/'C-Dados RT3 Simplif.'!C7</f>
        <v>38.223840142863281</v>
      </c>
      <c r="H13" s="1118">
        <f>'C-Dados RT4 Simplif.'!C21/'C-Dados RT4 Simplif.'!C7</f>
        <v>57.106121849485511</v>
      </c>
      <c r="I13" s="1118">
        <f>'C-Dados RT5 Simplif.'!C21/'C-Dados RT5 Simplif.'!C7</f>
        <v>57.106121849485511</v>
      </c>
      <c r="J13" s="411" t="s">
        <v>613</v>
      </c>
    </row>
    <row r="14" spans="2:15" hidden="1" outlineLevel="1" x14ac:dyDescent="0.25">
      <c r="B14" s="1103" t="s">
        <v>601</v>
      </c>
      <c r="C14" s="1119">
        <f>'C-Dados RT1 Simplif.'!C105/1000</f>
        <v>254.10656440966633</v>
      </c>
      <c r="D14" s="1119">
        <f>'C-Dados RT1 Simplif.'!C105/1000</f>
        <v>254.10656440966633</v>
      </c>
      <c r="E14" s="1119">
        <f>'C-Dados RT1 Simplif.'!C105/1000</f>
        <v>254.10656440966633</v>
      </c>
      <c r="F14" s="1119">
        <f>'C-Dados RT2 Simplif.'!C105/1000</f>
        <v>254.10656440966633</v>
      </c>
      <c r="G14" s="1119">
        <f>'C-Dados RT3 Simplif.'!C105/1000</f>
        <v>254.10656440966633</v>
      </c>
      <c r="H14" s="1119">
        <f>'C-Dados RT4 Simplif.'!C105/1000</f>
        <v>254.10656440966633</v>
      </c>
      <c r="I14" s="1119">
        <f>'C-Dados RT5 Simplif.'!C105/1000</f>
        <v>254.10656440966633</v>
      </c>
      <c r="J14" s="1117" t="s">
        <v>32</v>
      </c>
    </row>
    <row r="15" spans="2:15" hidden="1" outlineLevel="1" x14ac:dyDescent="0.25">
      <c r="B15" s="1103" t="s">
        <v>603</v>
      </c>
      <c r="C15" s="1120">
        <f>'C-Dados RT1 Simplif.'!C113</f>
        <v>47.364066019857539</v>
      </c>
      <c r="D15" s="1120">
        <f>'C-Dados RT1 Simplif.'!C113</f>
        <v>47.364066019857539</v>
      </c>
      <c r="E15" s="1120">
        <f>'C-Dados RT1 Simplif.'!C113</f>
        <v>47.364066019857539</v>
      </c>
      <c r="F15" s="1120">
        <f>'C-Dados RT2 Simplif.'!C113</f>
        <v>35.707054430846306</v>
      </c>
      <c r="G15" s="1120">
        <f>'C-Dados RT3 Simplif.'!C113</f>
        <v>56.944645817795212</v>
      </c>
      <c r="H15" s="1120">
        <f>'C-Dados RT4 Simplif.'!C113</f>
        <v>195.52310430871017</v>
      </c>
      <c r="I15" s="1120">
        <f>'C-Dados RT5 Simplif.'!C113</f>
        <v>195.52310430871017</v>
      </c>
      <c r="J15" s="1117" t="s">
        <v>32</v>
      </c>
    </row>
    <row r="16" spans="2:15" hidden="1" outlineLevel="1" x14ac:dyDescent="0.25">
      <c r="B16" s="1103" t="s">
        <v>607</v>
      </c>
      <c r="C16" s="1119">
        <f>'C-Dados RT1 Simplif.'!C116</f>
        <v>98.387838306984222</v>
      </c>
      <c r="D16" s="1119">
        <f>'C-Dados RT1 Simplif.'!C116</f>
        <v>98.387838306984222</v>
      </c>
      <c r="E16" s="1119">
        <f>'C-Dados RT1 Simplif.'!C116</f>
        <v>98.387838306984222</v>
      </c>
      <c r="F16" s="1119">
        <f>'C-Dados RT2 Simplif.'!C116</f>
        <v>102.55105673163109</v>
      </c>
      <c r="G16" s="1119">
        <f>'C-Dados RT3 Simplif.'!C116</f>
        <v>88.891558361789492</v>
      </c>
      <c r="H16" s="1119">
        <f>'C-Dados RT4 Simplif.'!C116</f>
        <v>50.314687919141505</v>
      </c>
      <c r="I16" s="1119">
        <f>'C-Dados RT5 Simplif.'!C116</f>
        <v>50.314687919141505</v>
      </c>
      <c r="J16" s="1117" t="s">
        <v>32</v>
      </c>
    </row>
    <row r="17" spans="2:14" hidden="1" outlineLevel="1" x14ac:dyDescent="0.25">
      <c r="B17" s="1103" t="s">
        <v>610</v>
      </c>
      <c r="C17" s="1119">
        <f>'C-Dados RT1 Simplif.'!C119</f>
        <v>108.35466008282457</v>
      </c>
      <c r="D17" s="1119">
        <f>'C-Dados RT1 Simplif.'!C119</f>
        <v>108.35466008282457</v>
      </c>
      <c r="E17" s="1119">
        <f>'C-Dados RT1 Simplif.'!C119</f>
        <v>108.35466008282457</v>
      </c>
      <c r="F17" s="1119">
        <f>'C-Dados RT2 Simplif.'!C119</f>
        <v>115.84845324718894</v>
      </c>
      <c r="G17" s="1119">
        <f>'C-Dados RT3 Simplif.'!C119</f>
        <v>108.27036023008165</v>
      </c>
      <c r="H17" s="1119">
        <f>'C-Dados RT4 Simplif.'!C119</f>
        <v>8.2687721818147111</v>
      </c>
      <c r="I17" s="1119">
        <f>'C-Dados RT5 Simplif.'!C119</f>
        <v>8.2687721818147111</v>
      </c>
      <c r="J17" s="1117" t="s">
        <v>32</v>
      </c>
    </row>
    <row r="18" spans="2:14" hidden="1" outlineLevel="1" x14ac:dyDescent="0.25">
      <c r="B18" s="1103" t="s">
        <v>604</v>
      </c>
      <c r="C18" s="1119">
        <f>'C-Dados RT1 Simplif.'!C123</f>
        <v>20.264998511670893</v>
      </c>
      <c r="D18" s="1119">
        <f>'C-Dados RT1 Simplif.'!C123</f>
        <v>20.264998511670893</v>
      </c>
      <c r="E18" s="1119">
        <f>'C-Dados RT1 Simplif.'!C123</f>
        <v>20.264998511670893</v>
      </c>
      <c r="F18" s="1119">
        <f>'C-Dados RT2 Simplif.'!C123</f>
        <v>20.264998511670893</v>
      </c>
      <c r="G18" s="1119">
        <f>'C-Dados RT3 Simplif.'!C123</f>
        <v>20.264998511670893</v>
      </c>
      <c r="H18" s="1119">
        <f>'C-Dados RT4 Simplif.'!C123</f>
        <v>8.2687721818147111</v>
      </c>
      <c r="I18" s="1119">
        <f>'C-Dados RT5 Simplif.'!C123</f>
        <v>8.2687721818147111</v>
      </c>
      <c r="J18" s="1117" t="s">
        <v>32</v>
      </c>
    </row>
    <row r="19" spans="2:14" hidden="1" outlineLevel="1" x14ac:dyDescent="0.25">
      <c r="B19" s="1103" t="s">
        <v>605</v>
      </c>
      <c r="C19" s="1120">
        <f>'C-Dados RT1 Simplif.'!C129</f>
        <v>42.464827931398062</v>
      </c>
      <c r="D19" s="1120">
        <f>'C-Dados RT1 Simplif.'!C129</f>
        <v>42.464827931398062</v>
      </c>
      <c r="E19" s="1120">
        <f>'C-Dados RT1 Simplif.'!C129</f>
        <v>42.464827931398062</v>
      </c>
      <c r="F19" s="1120">
        <f>'C-Dados RT2 Simplif.'!C129</f>
        <v>49.958621095762446</v>
      </c>
      <c r="G19" s="1120">
        <f>'C-Dados RT3 Simplif.'!C129</f>
        <v>0</v>
      </c>
      <c r="H19" s="1120">
        <f>'C-Dados RT4 Simplif.'!C129</f>
        <v>0</v>
      </c>
      <c r="I19" s="1120">
        <f>'C-Dados RT5 Simplif.'!C129</f>
        <v>0</v>
      </c>
      <c r="J19" s="1117" t="s">
        <v>32</v>
      </c>
    </row>
    <row r="20" spans="2:14" hidden="1" outlineLevel="1" x14ac:dyDescent="0.25">
      <c r="B20" s="1103" t="s">
        <v>606</v>
      </c>
      <c r="C20" s="1120">
        <f>'C-Dados RT1 Simplif.'!C126</f>
        <v>45.624833639755607</v>
      </c>
      <c r="D20" s="1120">
        <f>'C-Dados RT1 Simplif.'!C126</f>
        <v>45.624833639755607</v>
      </c>
      <c r="E20" s="1120">
        <f>'C-Dados RT1 Simplif.'!C126</f>
        <v>45.624833639755607</v>
      </c>
      <c r="F20" s="1120">
        <f>'C-Dados RT2 Simplif.'!C126</f>
        <v>45.624833639755607</v>
      </c>
      <c r="G20" s="1120">
        <f>'C-Dados RT3 Simplif.'!C126</f>
        <v>88.00536171841074</v>
      </c>
      <c r="H20" s="1120">
        <f>'C-Dados RT4 Simplif.'!C126</f>
        <v>0</v>
      </c>
      <c r="I20" s="1120">
        <f>'C-Dados RT5 Simplif.'!C126</f>
        <v>0</v>
      </c>
      <c r="J20" s="1117" t="s">
        <v>32</v>
      </c>
    </row>
    <row r="21" spans="2:14" hidden="1" outlineLevel="1" x14ac:dyDescent="0.25">
      <c r="B21" s="1103" t="s">
        <v>611</v>
      </c>
      <c r="C21" s="1121">
        <v>0</v>
      </c>
      <c r="D21" s="1122">
        <v>0</v>
      </c>
      <c r="E21" s="1122">
        <v>0</v>
      </c>
      <c r="F21" s="1122">
        <v>0</v>
      </c>
      <c r="G21" s="1122">
        <v>0</v>
      </c>
      <c r="H21" s="1121">
        <f>'4)Incineração - E Elétrica'!F21</f>
        <v>172272.59506002589</v>
      </c>
      <c r="I21" s="1121">
        <f>'5)Incineração - E Elétrica'!F21</f>
        <v>172272.59506002589</v>
      </c>
      <c r="J21" s="1117" t="s">
        <v>33</v>
      </c>
    </row>
    <row r="22" spans="2:14" hidden="1" outlineLevel="1" x14ac:dyDescent="0.25">
      <c r="B22" s="1103" t="s">
        <v>612</v>
      </c>
      <c r="C22" s="1121">
        <f>'RT1A)BIODIG Energia Elétrica'!F21</f>
        <v>30857.583113026481</v>
      </c>
      <c r="D22" s="1122">
        <v>0</v>
      </c>
      <c r="E22" s="1122">
        <v>0</v>
      </c>
      <c r="F22" s="1122">
        <v>0</v>
      </c>
      <c r="G22" s="1122">
        <v>0</v>
      </c>
      <c r="H22" s="1122">
        <v>0</v>
      </c>
      <c r="I22" s="1122">
        <v>0</v>
      </c>
      <c r="J22" s="1117" t="s">
        <v>33</v>
      </c>
    </row>
    <row r="23" spans="2:14" hidden="1" outlineLevel="1" x14ac:dyDescent="0.25">
      <c r="B23" s="1103" t="s">
        <v>614</v>
      </c>
      <c r="C23" s="1121">
        <v>0</v>
      </c>
      <c r="D23" s="1121">
        <f>'RT1B)BIODIG Descarb Biomet'!F22</f>
        <v>7714.3957782566204</v>
      </c>
      <c r="E23" s="1122">
        <v>0</v>
      </c>
      <c r="F23" s="1122">
        <v>0</v>
      </c>
      <c r="G23" s="1122">
        <v>0</v>
      </c>
      <c r="H23" s="1122">
        <v>0</v>
      </c>
      <c r="I23" s="1122">
        <v>0</v>
      </c>
      <c r="J23" s="1117" t="s">
        <v>41</v>
      </c>
    </row>
    <row r="24" spans="2:14" ht="18" hidden="1" outlineLevel="1" thickBot="1" x14ac:dyDescent="0.3">
      <c r="B24" s="1123" t="s">
        <v>615</v>
      </c>
      <c r="C24" s="1124">
        <v>0</v>
      </c>
      <c r="D24" s="1124">
        <v>0</v>
      </c>
      <c r="E24" s="1125">
        <f>'RT1C)BIODIG Gas Natural'!F22</f>
        <v>7714395.7782566203</v>
      </c>
      <c r="F24" s="1124">
        <v>0</v>
      </c>
      <c r="G24" s="1124">
        <v>0</v>
      </c>
      <c r="H24" s="1124">
        <v>0</v>
      </c>
      <c r="I24" s="1124">
        <v>0</v>
      </c>
      <c r="J24" s="1126" t="s">
        <v>243</v>
      </c>
    </row>
    <row r="25" spans="2:14" s="362" customFormat="1" ht="16.5" thickTop="1" x14ac:dyDescent="0.25">
      <c r="B25" s="1102" t="s">
        <v>497</v>
      </c>
      <c r="C25" s="398">
        <f t="shared" ref="C25:H25" si="4">C29+SUM(C26:C28)</f>
        <v>514.22374388217202</v>
      </c>
      <c r="D25" s="398">
        <f t="shared" si="4"/>
        <v>514.22374388217202</v>
      </c>
      <c r="E25" s="398">
        <f t="shared" si="4"/>
        <v>514.22374388217202</v>
      </c>
      <c r="F25" s="398">
        <f t="shared" si="4"/>
        <v>455.47470013722278</v>
      </c>
      <c r="G25" s="398">
        <f t="shared" si="4"/>
        <v>518.71904343221252</v>
      </c>
      <c r="H25" s="398">
        <f t="shared" si="4"/>
        <v>750.2587564547631</v>
      </c>
      <c r="I25" s="398">
        <f t="shared" ref="I25" si="5">I29+SUM(I26:I28)</f>
        <v>750.2587564547631</v>
      </c>
      <c r="J25" s="410" t="s">
        <v>2</v>
      </c>
      <c r="K25" s="369"/>
      <c r="N25" s="662"/>
    </row>
    <row r="26" spans="2:14" outlineLevel="1" x14ac:dyDescent="0.25">
      <c r="B26" s="1103" t="s">
        <v>496</v>
      </c>
      <c r="C26" s="682">
        <f>'ANÁLISE DE SITES MULTICRITÉRIO'!$H$40</f>
        <v>170.20797784207534</v>
      </c>
      <c r="D26" s="682">
        <f>'ANÁLISE DE SITES MULTICRITÉRIO'!$H$40</f>
        <v>170.20797784207534</v>
      </c>
      <c r="E26" s="682">
        <f>'ANÁLISE DE SITES MULTICRITÉRIO'!$H$40</f>
        <v>170.20797784207534</v>
      </c>
      <c r="F26" s="682">
        <f>'ANÁLISE DE SITES MULTICRITÉRIO'!$H$40</f>
        <v>170.20797784207534</v>
      </c>
      <c r="G26" s="682">
        <f>'ANÁLISE DE SITES MULTICRITÉRIO'!$H$40</f>
        <v>170.20797784207534</v>
      </c>
      <c r="H26" s="682">
        <f>'ANÁLISE DE SITES MULTICRITÉRIO'!$H$40</f>
        <v>170.20797784207534</v>
      </c>
      <c r="I26" s="682">
        <f>'ANÁLISE DE SITES MULTICRITÉRIO'!$H$40</f>
        <v>170.20797784207534</v>
      </c>
      <c r="J26" s="704" t="s">
        <v>2</v>
      </c>
      <c r="L26" s="258"/>
      <c r="M26" s="258"/>
      <c r="N26" s="663"/>
    </row>
    <row r="27" spans="2:14" outlineLevel="1" x14ac:dyDescent="0.25">
      <c r="B27" s="1103" t="s">
        <v>498</v>
      </c>
      <c r="C27" s="682">
        <f>'ANÁLISE DE SITES MULTICRITÉRIO'!$H$47</f>
        <v>63.169155872774866</v>
      </c>
      <c r="D27" s="682">
        <f>'ANÁLISE DE SITES MULTICRITÉRIO'!$H$47</f>
        <v>63.169155872774866</v>
      </c>
      <c r="E27" s="682">
        <f>'ANÁLISE DE SITES MULTICRITÉRIO'!$H$47</f>
        <v>63.169155872774866</v>
      </c>
      <c r="F27" s="682">
        <f>'ANÁLISE DE SITES MULTICRITÉRIO'!$H$47</f>
        <v>63.169155872774866</v>
      </c>
      <c r="G27" s="682">
        <f>'ANÁLISE DE SITES MULTICRITÉRIO'!$H$47</f>
        <v>63.169155872774866</v>
      </c>
      <c r="H27" s="682">
        <f>'ANÁLISE DE SITES MULTICRITÉRIO'!$H$47</f>
        <v>63.169155872774866</v>
      </c>
      <c r="I27" s="682">
        <f>'ANÁLISE DE SITES MULTICRITÉRIO'!$H$47</f>
        <v>63.169155872774866</v>
      </c>
      <c r="J27" s="704" t="s">
        <v>2</v>
      </c>
      <c r="L27" s="258"/>
      <c r="M27" s="258"/>
      <c r="N27" s="663"/>
    </row>
    <row r="28" spans="2:14" ht="15.75" outlineLevel="1" thickBot="1" x14ac:dyDescent="0.3">
      <c r="B28" s="1103" t="s">
        <v>495</v>
      </c>
      <c r="C28" s="682">
        <f>'ANÁLISE DE SITES MULTICRITÉRIO'!$H$56</f>
        <v>0</v>
      </c>
      <c r="D28" s="682">
        <f>'ANÁLISE DE SITES MULTICRITÉRIO'!$H$56</f>
        <v>0</v>
      </c>
      <c r="E28" s="682">
        <f>'ANÁLISE DE SITES MULTICRITÉRIO'!$H$56</f>
        <v>0</v>
      </c>
      <c r="F28" s="682">
        <f>'ANÁLISE DE SITES MULTICRITÉRIO'!$I$56</f>
        <v>0</v>
      </c>
      <c r="G28" s="682">
        <f>'ANÁLISE DE SITES MULTICRITÉRIO'!$J$56</f>
        <v>0</v>
      </c>
      <c r="H28" s="682">
        <f>'ANÁLISE DE SITES MULTICRITÉRIO'!$K$56</f>
        <v>0</v>
      </c>
      <c r="I28" s="682">
        <f>'ANÁLISE DE SITES MULTICRITÉRIO'!$K$56</f>
        <v>0</v>
      </c>
      <c r="J28" s="704" t="s">
        <v>2</v>
      </c>
      <c r="L28" s="258"/>
      <c r="M28" s="258"/>
      <c r="N28" s="663"/>
    </row>
    <row r="29" spans="2:14" s="362" customFormat="1" ht="16.5" thickTop="1" x14ac:dyDescent="0.25">
      <c r="B29" s="1104" t="s">
        <v>213</v>
      </c>
      <c r="C29" s="398">
        <f>'RT1A)BIODIG Energia Elétrica'!M7</f>
        <v>280.84661016732178</v>
      </c>
      <c r="D29" s="394">
        <f>'RT1B)BIODIG Descarb Biomet'!M7</f>
        <v>280.84661016732178</v>
      </c>
      <c r="E29" s="399">
        <f>'RT1C)BIODIG Gas Natural'!M7</f>
        <v>280.84661016732178</v>
      </c>
      <c r="F29" s="406">
        <f>'2)Compostagem CDR Comp Org'!M7</f>
        <v>222.09756642237258</v>
      </c>
      <c r="G29" s="406">
        <f>'3)Biosecagem Prod BioCDR'!M7</f>
        <v>285.34190971736228</v>
      </c>
      <c r="H29" s="406">
        <f>'4)Incineração - E Elétrica'!M7</f>
        <v>516.88162273991293</v>
      </c>
      <c r="I29" s="406">
        <f>'5)Incineração - E Elétrica'!M7</f>
        <v>516.88162273991293</v>
      </c>
      <c r="J29" s="410" t="s">
        <v>2</v>
      </c>
      <c r="K29" s="369"/>
      <c r="L29" s="1068"/>
      <c r="N29" s="662"/>
    </row>
    <row r="30" spans="2:14" s="441" customFormat="1" ht="19.899999999999999" customHeight="1" collapsed="1" x14ac:dyDescent="0.25">
      <c r="B30" s="1105" t="s">
        <v>194</v>
      </c>
      <c r="C30" s="764">
        <f t="shared" ref="C30:H30" si="6">C41-C25</f>
        <v>-375.03896206716161</v>
      </c>
      <c r="D30" s="764">
        <f t="shared" si="6"/>
        <v>-346.46642711720403</v>
      </c>
      <c r="E30" s="764">
        <f t="shared" si="6"/>
        <v>-338.44416116908712</v>
      </c>
      <c r="F30" s="764">
        <f t="shared" si="6"/>
        <v>-318.9641131170626</v>
      </c>
      <c r="G30" s="764">
        <f t="shared" si="6"/>
        <v>-320.42085787315654</v>
      </c>
      <c r="H30" s="764">
        <f t="shared" si="6"/>
        <v>-587.99036828247176</v>
      </c>
      <c r="I30" s="764">
        <f t="shared" ref="I30" si="7">I41-I25</f>
        <v>-587.99036828247176</v>
      </c>
      <c r="J30" s="709" t="s">
        <v>2</v>
      </c>
      <c r="K30" s="442"/>
      <c r="N30" s="710"/>
    </row>
    <row r="31" spans="2:14" hidden="1" outlineLevel="1" x14ac:dyDescent="0.25">
      <c r="B31" s="1103" t="s">
        <v>292</v>
      </c>
      <c r="C31" s="765">
        <f>'RT1A)BIODIG Energia Elétrica'!M11</f>
        <v>-16.863187372212348</v>
      </c>
      <c r="D31" s="360">
        <f>'RT1B)BIODIG Descarb Biomet'!M11</f>
        <v>18.953601922153705</v>
      </c>
      <c r="E31" s="361">
        <f>'RT1C)BIODIG Gas Natural'!M11</f>
        <v>18.953601922153705</v>
      </c>
      <c r="F31" s="360">
        <f>'2)Compostagem CDR Comp Org'!M11</f>
        <v>15.87378934778763</v>
      </c>
      <c r="G31" s="360">
        <f>'3)Biosecagem Prod BioCDR'!M11</f>
        <v>14.417044591693713</v>
      </c>
      <c r="H31" s="361">
        <f>'4)Incineração - E Elétrica'!M11</f>
        <v>-36.522913414865883</v>
      </c>
      <c r="I31" s="361">
        <f>'5)Incineração - E Elétrica'!M11</f>
        <v>-36.522913414865883</v>
      </c>
      <c r="J31" s="411" t="s">
        <v>2</v>
      </c>
      <c r="L31" s="258"/>
      <c r="M31" s="258"/>
      <c r="N31" s="663"/>
    </row>
    <row r="32" spans="2:14" hidden="1" outlineLevel="1" x14ac:dyDescent="0.25">
      <c r="B32" s="1103" t="s">
        <v>291</v>
      </c>
      <c r="C32" s="765">
        <f>'RT1A)BIODIG Energia Elétrica'!M12</f>
        <v>0</v>
      </c>
      <c r="D32" s="360">
        <f>'RT1B)BIODIG Descarb Biomet'!M12</f>
        <v>-2.628530566174025</v>
      </c>
      <c r="E32" s="361">
        <f>'RT1C)BIODIG Gas Natural'!M12</f>
        <v>0</v>
      </c>
      <c r="F32" s="360">
        <v>0</v>
      </c>
      <c r="G32" s="360">
        <v>0</v>
      </c>
      <c r="H32" s="361">
        <f>'4)Incineração - E Elétrica'!M12</f>
        <v>0</v>
      </c>
      <c r="I32" s="361">
        <f>'5)Incineração - E Elétrica'!M12</f>
        <v>0</v>
      </c>
      <c r="J32" s="411" t="s">
        <v>2</v>
      </c>
      <c r="L32" s="258"/>
      <c r="M32" s="258"/>
      <c r="N32" s="663"/>
    </row>
    <row r="33" spans="2:15" hidden="1" outlineLevel="1" x14ac:dyDescent="0.25">
      <c r="B33" s="1103" t="s">
        <v>293</v>
      </c>
      <c r="C33" s="765">
        <f>'RT1A)BIODIG Energia Elétrica'!M15</f>
        <v>0</v>
      </c>
      <c r="D33" s="360">
        <f>'RT1B)BIODIG Descarb Biomet'!M15</f>
        <v>-5.3937353819428733</v>
      </c>
      <c r="E33" s="361">
        <f>'RT1C)BIODIG Gas Natural'!M14</f>
        <v>0</v>
      </c>
      <c r="F33" s="360">
        <v>0</v>
      </c>
      <c r="G33" s="360">
        <v>0</v>
      </c>
      <c r="H33" s="361">
        <f>'4)Incineração - E Elétrica'!M15</f>
        <v>0</v>
      </c>
      <c r="I33" s="361">
        <f>'5)Incineração - E Elétrica'!M15</f>
        <v>0</v>
      </c>
      <c r="J33" s="411" t="s">
        <v>2</v>
      </c>
      <c r="L33" s="258"/>
      <c r="M33" s="258"/>
      <c r="N33" s="663"/>
    </row>
    <row r="34" spans="2:15" hidden="1" outlineLevel="1" x14ac:dyDescent="0.25">
      <c r="B34" s="1103" t="s">
        <v>294</v>
      </c>
      <c r="C34" s="765">
        <f>'RT1A)BIODIG Energia Elétrica'!M14</f>
        <v>-23.337872230099038</v>
      </c>
      <c r="D34" s="360">
        <f>'RT1B)BIODIG Descarb Biomet'!M14</f>
        <v>0</v>
      </c>
      <c r="E34" s="361">
        <f>'RT1C)BIODIG Gas Natural'!M15</f>
        <v>0</v>
      </c>
      <c r="F34" s="360">
        <v>0</v>
      </c>
      <c r="G34" s="360">
        <v>0</v>
      </c>
      <c r="H34" s="361">
        <f>'4)Incineração - E Elétrica'!M14</f>
        <v>-50.340544496010359</v>
      </c>
      <c r="I34" s="361">
        <f>'5)Incineração - E Elétrica'!M14</f>
        <v>-50.340544496010359</v>
      </c>
      <c r="J34" s="411" t="s">
        <v>2</v>
      </c>
      <c r="L34" s="258"/>
      <c r="M34" s="258"/>
      <c r="N34" s="663"/>
    </row>
    <row r="35" spans="2:15" hidden="1" outlineLevel="1" x14ac:dyDescent="0.25">
      <c r="B35" s="1103" t="s">
        <v>255</v>
      </c>
      <c r="C35" s="765">
        <f>'RT1A)BIODIG Energia Elétrica'!M21</f>
        <v>-101.46076875000001</v>
      </c>
      <c r="D35" s="360">
        <f>'RT1B)BIODIG Descarb Biomet'!M21</f>
        <v>-101.46076875000001</v>
      </c>
      <c r="E35" s="361">
        <f>'RT1C)BIODIG Gas Natural'!M21</f>
        <v>-101.46076875000001</v>
      </c>
      <c r="F35" s="766">
        <f>'2)Compostagem CDR Comp Org'!M21</f>
        <v>-101.46076875000001</v>
      </c>
      <c r="G35" s="766">
        <f>'3)Biosecagem Prod BioCDR'!M21</f>
        <v>-101.46076875000001</v>
      </c>
      <c r="H35" s="766">
        <f>'4)Incineração - E Elétrica'!M21</f>
        <v>-57.002066076570166</v>
      </c>
      <c r="I35" s="766">
        <f>'5)Incineração - E Elétrica'!M21</f>
        <v>-57.002066076570166</v>
      </c>
      <c r="J35" s="411" t="s">
        <v>2</v>
      </c>
      <c r="L35" s="258"/>
      <c r="M35" s="258"/>
      <c r="N35" s="663"/>
    </row>
    <row r="36" spans="2:15" hidden="1" outlineLevel="1" x14ac:dyDescent="0.25">
      <c r="B36" s="1103" t="s">
        <v>256</v>
      </c>
      <c r="C36" s="765">
        <f>'RT1A)BIODIG Energia Elétrica'!M17</f>
        <v>0</v>
      </c>
      <c r="D36" s="360">
        <f>'RT1B)BIODIG Descarb Biomet'!M17</f>
        <v>0</v>
      </c>
      <c r="E36" s="361">
        <f>'RT1C)BIODIG Gas Natural'!M17</f>
        <v>0</v>
      </c>
      <c r="F36" s="766">
        <v>0</v>
      </c>
      <c r="G36" s="766">
        <v>0</v>
      </c>
      <c r="H36" s="766">
        <f>'4)Incineração - E Elétrica'!M17</f>
        <v>-210.74771058017515</v>
      </c>
      <c r="I36" s="766">
        <f>'5)Incineração - E Elétrica'!M17</f>
        <v>-210.74771058017515</v>
      </c>
      <c r="J36" s="411" t="s">
        <v>2</v>
      </c>
      <c r="L36" s="258"/>
      <c r="M36" s="258"/>
      <c r="N36" s="663"/>
    </row>
    <row r="37" spans="2:15" hidden="1" outlineLevel="1" x14ac:dyDescent="0.25">
      <c r="B37" s="1103" t="s">
        <v>257</v>
      </c>
      <c r="C37" s="765">
        <f>'RT1A)BIODIG Energia Elétrica'!M18</f>
        <v>0</v>
      </c>
      <c r="D37" s="360">
        <f>'RT1B)BIODIG Descarb Biomet'!M18</f>
        <v>-22.559860626390641</v>
      </c>
      <c r="E37" s="361">
        <f>'RT1C)BIODIG Gas Natural'!M18</f>
        <v>-22.559860626390641</v>
      </c>
      <c r="F37" s="766">
        <v>0</v>
      </c>
      <c r="G37" s="766">
        <v>0</v>
      </c>
      <c r="H37" s="766">
        <f>'4)Incineração - E Elétrica'!M18</f>
        <v>0</v>
      </c>
      <c r="I37" s="766">
        <f>'5)Incineração - E Elétrica'!M18</f>
        <v>0</v>
      </c>
      <c r="J37" s="411" t="s">
        <v>2</v>
      </c>
      <c r="L37" s="258"/>
      <c r="M37" s="258"/>
      <c r="N37" s="663"/>
    </row>
    <row r="38" spans="2:15" hidden="1" outlineLevel="1" x14ac:dyDescent="0.25">
      <c r="B38" s="1103" t="s">
        <v>258</v>
      </c>
      <c r="C38" s="765">
        <f>'RT1A)BIODIG Energia Elétrica'!M20</f>
        <v>0</v>
      </c>
      <c r="D38" s="360">
        <f>'RT1B)BIODIG Descarb Biomet'!M20</f>
        <v>0</v>
      </c>
      <c r="E38" s="361">
        <f>'RT1C)BIODIG Gas Natural'!M20</f>
        <v>0</v>
      </c>
      <c r="F38" s="766">
        <f>'2)Compostagem CDR Comp Org'!M20</f>
        <v>0</v>
      </c>
      <c r="G38" s="766">
        <v>0</v>
      </c>
      <c r="H38" s="766">
        <f>'4)Incineração - E Elétrica'!M20</f>
        <v>0</v>
      </c>
      <c r="I38" s="766">
        <f>'5)Incineração - E Elétrica'!M20</f>
        <v>0</v>
      </c>
      <c r="J38" s="411" t="s">
        <v>2</v>
      </c>
      <c r="L38" s="258"/>
      <c r="M38" s="258"/>
      <c r="N38" s="663"/>
    </row>
    <row r="39" spans="2:15" hidden="1" outlineLevel="1" x14ac:dyDescent="0.25">
      <c r="B39" s="1103" t="s">
        <v>259</v>
      </c>
      <c r="C39" s="765">
        <f>'RT1A)BIODIG Energia Elétrica'!M19</f>
        <v>0</v>
      </c>
      <c r="D39" s="360">
        <f>'RT1B)BIODIG Descarb Biomet'!M19</f>
        <v>0</v>
      </c>
      <c r="E39" s="361">
        <f>'RT1C)BIODIG Gas Natural'!M19</f>
        <v>0</v>
      </c>
      <c r="F39" s="766">
        <f>'2)Compostagem CDR Comp Org'!M19</f>
        <v>0</v>
      </c>
      <c r="G39" s="766">
        <f>'3)Biosecagem Prod BioCDR'!M19</f>
        <v>0</v>
      </c>
      <c r="H39" s="766">
        <f>'4)Incineração - E Elétrica'!M19</f>
        <v>0</v>
      </c>
      <c r="I39" s="766">
        <f>'5)Incineração - E Elétrica'!M19</f>
        <v>0</v>
      </c>
      <c r="J39" s="411" t="s">
        <v>2</v>
      </c>
      <c r="L39" s="258"/>
      <c r="M39" s="258"/>
      <c r="N39" s="663"/>
    </row>
    <row r="40" spans="2:15" s="711" customFormat="1" ht="15" customHeight="1" thickBot="1" x14ac:dyDescent="0.3">
      <c r="B40" s="1106" t="s">
        <v>195</v>
      </c>
      <c r="C40" s="712">
        <f t="shared" ref="C40:H40" si="8">C30/C29</f>
        <v>-1.3353871775191526</v>
      </c>
      <c r="D40" s="713">
        <f t="shared" si="8"/>
        <v>-1.2336500230883596</v>
      </c>
      <c r="E40" s="714">
        <f t="shared" si="8"/>
        <v>-1.2050854413640602</v>
      </c>
      <c r="F40" s="715">
        <f t="shared" si="8"/>
        <v>-1.4361441156472408</v>
      </c>
      <c r="G40" s="715">
        <f t="shared" si="8"/>
        <v>-1.1229365437083558</v>
      </c>
      <c r="H40" s="715">
        <f t="shared" si="8"/>
        <v>-1.1375725938283932</v>
      </c>
      <c r="I40" s="715">
        <f t="shared" ref="I40" si="9">I30/I29</f>
        <v>-1.1375725938283932</v>
      </c>
      <c r="J40" s="716" t="s">
        <v>2</v>
      </c>
      <c r="K40" s="717"/>
      <c r="N40" s="718"/>
    </row>
    <row r="41" spans="2:15" s="362" customFormat="1" ht="19.899999999999999" customHeight="1" thickTop="1" thickBot="1" x14ac:dyDescent="0.3">
      <c r="B41" s="1107" t="s">
        <v>254</v>
      </c>
      <c r="C41" s="767">
        <f>'RT1A)BIODIG Energia Elétrica'!M22</f>
        <v>139.18478181501041</v>
      </c>
      <c r="D41" s="768">
        <f>'RT1B)BIODIG Descarb Biomet'!M22</f>
        <v>167.75731676496798</v>
      </c>
      <c r="E41" s="769">
        <f>'RT1C)BIODIG Gas Natural'!M22</f>
        <v>175.77958271308489</v>
      </c>
      <c r="F41" s="770">
        <f>'2)Compostagem CDR Comp Org'!M22</f>
        <v>136.51058702016019</v>
      </c>
      <c r="G41" s="770">
        <f>'3)Biosecagem Prod BioCDR'!M22</f>
        <v>198.29818555905598</v>
      </c>
      <c r="H41" s="770">
        <f>'4)Incineração - E Elétrica'!M22</f>
        <v>162.26838817229134</v>
      </c>
      <c r="I41" s="770">
        <f>'5)Incineração - E Elétrica'!M22</f>
        <v>162.26838817229134</v>
      </c>
      <c r="J41" s="771" t="s">
        <v>2</v>
      </c>
      <c r="K41" s="1224" t="s">
        <v>212</v>
      </c>
      <c r="L41" s="1224"/>
      <c r="M41" s="1224"/>
      <c r="N41" s="1224"/>
      <c r="O41" s="1068"/>
    </row>
    <row r="42" spans="2:15" s="362" customFormat="1" ht="17.25" collapsed="1" thickTop="1" thickBot="1" x14ac:dyDescent="0.3">
      <c r="B42" s="1108" t="s">
        <v>208</v>
      </c>
      <c r="C42" s="400">
        <f t="shared" ref="C42:H42" si="10">C43+C44+C45+C46</f>
        <v>40.201059602311389</v>
      </c>
      <c r="D42" s="371">
        <f t="shared" si="10"/>
        <v>0</v>
      </c>
      <c r="E42" s="371">
        <f t="shared" si="10"/>
        <v>0</v>
      </c>
      <c r="F42" s="407">
        <f t="shared" si="10"/>
        <v>0</v>
      </c>
      <c r="G42" s="407">
        <f t="shared" si="10"/>
        <v>0</v>
      </c>
      <c r="H42" s="407">
        <f t="shared" si="10"/>
        <v>86.863457910876235</v>
      </c>
      <c r="I42" s="407">
        <f t="shared" ref="I42" si="11">I43+I44+I45+I46</f>
        <v>86.863457910876235</v>
      </c>
      <c r="J42" s="412" t="s">
        <v>2</v>
      </c>
      <c r="K42" s="1223" t="s">
        <v>210</v>
      </c>
      <c r="L42" s="1223"/>
      <c r="M42" s="1223"/>
      <c r="N42" s="1223"/>
    </row>
    <row r="43" spans="2:15" ht="15.75" hidden="1" outlineLevel="1" thickTop="1" x14ac:dyDescent="0.25">
      <c r="B43" s="1103" t="s">
        <v>302</v>
      </c>
      <c r="C43" s="645">
        <f>'RT1A) Custos Valoriz E.Elétrica'!C20</f>
        <v>16.863187372212348</v>
      </c>
      <c r="D43" s="377">
        <v>0</v>
      </c>
      <c r="E43" s="363">
        <v>0</v>
      </c>
      <c r="F43" s="360">
        <v>0</v>
      </c>
      <c r="G43" s="360">
        <v>0</v>
      </c>
      <c r="H43" s="361">
        <f>-'4)Incineração - E Elétrica'!M11</f>
        <v>36.522913414865883</v>
      </c>
      <c r="I43" s="361">
        <f>-'5)Incineração - E Elétrica'!M11</f>
        <v>36.522913414865883</v>
      </c>
      <c r="J43" s="258" t="s">
        <v>2</v>
      </c>
      <c r="K43" s="368"/>
      <c r="L43" s="368"/>
      <c r="M43" s="368"/>
      <c r="N43" s="1071"/>
    </row>
    <row r="44" spans="2:15" hidden="1" outlineLevel="1" x14ac:dyDescent="0.25">
      <c r="B44" s="1103" t="s">
        <v>299</v>
      </c>
      <c r="C44" s="363">
        <v>0</v>
      </c>
      <c r="D44" s="644">
        <f>('Demanda Preço &amp; Quantidade'!C46-'Demanda Preço &amp; Quantidade'!C48)*'Demanda Preço &amp; Quantidade'!C72*1000/'RT1B) Descarb AutoCons'!C4</f>
        <v>0</v>
      </c>
      <c r="E44" s="363">
        <v>0</v>
      </c>
      <c r="F44" s="360">
        <v>0</v>
      </c>
      <c r="G44" s="360">
        <v>0</v>
      </c>
      <c r="H44" s="361">
        <v>0</v>
      </c>
      <c r="I44" s="361">
        <v>0</v>
      </c>
      <c r="J44" s="258" t="s">
        <v>2</v>
      </c>
      <c r="K44" s="368"/>
      <c r="L44" s="368"/>
      <c r="M44" s="368"/>
      <c r="N44" s="1071"/>
    </row>
    <row r="45" spans="2:15" hidden="1" outlineLevel="1" x14ac:dyDescent="0.25">
      <c r="B45" s="1103" t="s">
        <v>300</v>
      </c>
      <c r="C45" s="363">
        <v>0</v>
      </c>
      <c r="D45" s="644">
        <f>('Demanda Preço &amp; Quantidade'!C56-'Demanda Preço &amp; Quantidade'!C58)*'Demanda Preço &amp; Quantidade'!C88*1000/'RT1B) Descarb AutoCons'!C4</f>
        <v>0</v>
      </c>
      <c r="E45" s="363">
        <v>0</v>
      </c>
      <c r="F45" s="360">
        <v>0</v>
      </c>
      <c r="G45" s="360">
        <v>0</v>
      </c>
      <c r="H45" s="361">
        <v>0</v>
      </c>
      <c r="I45" s="361">
        <v>0</v>
      </c>
      <c r="J45" s="258" t="s">
        <v>2</v>
      </c>
      <c r="K45" s="368"/>
      <c r="L45" s="368"/>
      <c r="M45" s="368"/>
      <c r="N45" s="1071"/>
    </row>
    <row r="46" spans="2:15" ht="15.75" hidden="1" outlineLevel="1" thickBot="1" x14ac:dyDescent="0.3">
      <c r="B46" s="1103" t="s">
        <v>301</v>
      </c>
      <c r="C46" s="645">
        <f xml:space="preserve"> 'RT1A) Custos Valoriz E.Elétrica'!C25+('Demanda Preço &amp; Quantidade'!C52-'Demanda Preço &amp; Quantidade'!J52)*'Demanda Preço &amp; Quantidade'!C81/'RT1A) Custos Valoriz E.Elétrica'!C5</f>
        <v>23.337872230099038</v>
      </c>
      <c r="D46" s="377">
        <v>0</v>
      </c>
      <c r="E46" s="3">
        <v>0</v>
      </c>
      <c r="F46" s="360">
        <v>0</v>
      </c>
      <c r="G46" s="360">
        <v>0</v>
      </c>
      <c r="H46" s="647">
        <f>'RT4)Custos Valoriz E.Elétrica'!C25+('Demanda Preço &amp; Quantidade'!C52-'Demanda Preço &amp; Quantidade'!J52)*'Demanda Preço &amp; Quantidade'!C81/'C-Dados RT4 Simplif.'!C105</f>
        <v>50.340544496010359</v>
      </c>
      <c r="I46" s="647">
        <f>'RT5)Custos Valoriz E.Elétrica'!C25+('Demanda Preço &amp; Quantidade'!C52-'Demanda Preço &amp; Quantidade'!J52)*'Demanda Preço &amp; Quantidade'!C81/'C-Dados RT5 Simplif.'!C105</f>
        <v>50.340544496010359</v>
      </c>
      <c r="J46" s="258" t="s">
        <v>2</v>
      </c>
      <c r="K46" s="368"/>
      <c r="L46" s="368"/>
      <c r="M46" s="368"/>
      <c r="N46" s="1071"/>
    </row>
    <row r="47" spans="2:15" s="362" customFormat="1" ht="17.25" collapsed="1" thickTop="1" thickBot="1" x14ac:dyDescent="0.3">
      <c r="B47" s="1109" t="s">
        <v>209</v>
      </c>
      <c r="C47" s="401">
        <f t="shared" ref="C47:H47" si="12">C48+C52+C57</f>
        <v>245.57304472492461</v>
      </c>
      <c r="D47" s="372">
        <f t="shared" si="12"/>
        <v>244.87200614309177</v>
      </c>
      <c r="E47" s="402">
        <f t="shared" si="12"/>
        <v>244.37308562026203</v>
      </c>
      <c r="F47" s="408">
        <f t="shared" si="12"/>
        <v>212.00067845053178</v>
      </c>
      <c r="G47" s="408">
        <f t="shared" si="12"/>
        <v>238.3236471892223</v>
      </c>
      <c r="H47" s="408">
        <f t="shared" si="12"/>
        <v>302.90669512807619</v>
      </c>
      <c r="I47" s="408">
        <f t="shared" ref="I47" si="13">I48+I52+I57</f>
        <v>302.90669512807619</v>
      </c>
      <c r="J47" s="413" t="s">
        <v>2</v>
      </c>
      <c r="K47" s="1222" t="s">
        <v>210</v>
      </c>
      <c r="L47" s="1222"/>
      <c r="M47" s="1222"/>
      <c r="N47" s="1222"/>
    </row>
    <row r="48" spans="2:15" s="2" customFormat="1" ht="15.75" hidden="1" outlineLevel="1" collapsed="1" thickTop="1" x14ac:dyDescent="0.25">
      <c r="B48" s="1110" t="s">
        <v>185</v>
      </c>
      <c r="C48" s="696">
        <f t="shared" ref="C48:H48" si="14">C49+C51</f>
        <v>55.756038073578374</v>
      </c>
      <c r="D48" s="364">
        <f t="shared" si="14"/>
        <v>55.756038073578374</v>
      </c>
      <c r="E48" s="697">
        <f t="shared" si="14"/>
        <v>55.756038073578374</v>
      </c>
      <c r="F48" s="364">
        <f t="shared" si="14"/>
        <v>53.493953401009257</v>
      </c>
      <c r="G48" s="364">
        <f t="shared" si="14"/>
        <v>61.314400573348294</v>
      </c>
      <c r="H48" s="364">
        <f t="shared" si="14"/>
        <v>88.417619371256308</v>
      </c>
      <c r="I48" s="364">
        <f t="shared" ref="I48" si="15">I49+I51</f>
        <v>88.417619371256308</v>
      </c>
      <c r="J48" s="703" t="s">
        <v>2</v>
      </c>
      <c r="K48" s="948"/>
      <c r="L48" s="948"/>
      <c r="M48" s="948"/>
      <c r="N48" s="1072"/>
    </row>
    <row r="49" spans="2:14" hidden="1" outlineLevel="2" x14ac:dyDescent="0.25">
      <c r="B49" s="1103" t="s">
        <v>181</v>
      </c>
      <c r="C49" s="682">
        <f>'C-Dados RT1 Simplif.'!$F57</f>
        <v>55.756038073578374</v>
      </c>
      <c r="D49" s="360">
        <f>'C-Dados RT1 Simplif.'!$F57</f>
        <v>55.756038073578374</v>
      </c>
      <c r="E49" s="698">
        <f>'C-Dados RT1 Simplif.'!$F57</f>
        <v>55.756038073578374</v>
      </c>
      <c r="F49" s="360">
        <f>'C-Dados RT2 Simplif.'!$F57</f>
        <v>53.493953401009257</v>
      </c>
      <c r="G49" s="360">
        <f>'C-Dados RT3 Simplif.'!$F57</f>
        <v>61.314400573348294</v>
      </c>
      <c r="H49" s="360">
        <f>'C-Dados RT4 Simplif.'!$F57</f>
        <v>88.417619371256308</v>
      </c>
      <c r="I49" s="360">
        <f>'C-Dados RT5 Simplif.'!$F57</f>
        <v>88.417619371256308</v>
      </c>
      <c r="J49" s="704" t="s">
        <v>2</v>
      </c>
      <c r="K49" s="368"/>
      <c r="L49" s="368"/>
      <c r="M49" s="368"/>
      <c r="N49" s="1071"/>
    </row>
    <row r="50" spans="2:14" s="686" customFormat="1" hidden="1" outlineLevel="2" x14ac:dyDescent="0.25">
      <c r="B50" s="1111" t="s">
        <v>344</v>
      </c>
      <c r="C50" s="699">
        <f>'C-Dados RT1 Simplif.'!$F58</f>
        <v>0</v>
      </c>
      <c r="D50" s="687">
        <f>'C-Dados RT1 Simplif.'!$F58</f>
        <v>0</v>
      </c>
      <c r="E50" s="700">
        <f>'C-Dados RT1 Simplif.'!$F58</f>
        <v>0</v>
      </c>
      <c r="F50" s="687">
        <f>'C-Dados RT2 Simplif.'!$F58</f>
        <v>0</v>
      </c>
      <c r="G50" s="687">
        <f>'C-Dados RT3 Simplif.'!$F58</f>
        <v>0</v>
      </c>
      <c r="H50" s="687">
        <f>'C-Dados RT4 Simplif.'!$F58</f>
        <v>0</v>
      </c>
      <c r="I50" s="687">
        <f>'C-Dados RT4 Simplif.'!$F58</f>
        <v>0</v>
      </c>
      <c r="J50" s="705" t="s">
        <v>2</v>
      </c>
      <c r="K50" s="1069"/>
      <c r="L50" s="1069"/>
      <c r="M50" s="1069"/>
      <c r="N50" s="1073"/>
    </row>
    <row r="51" spans="2:14" hidden="1" outlineLevel="2" x14ac:dyDescent="0.25">
      <c r="B51" s="1103" t="s">
        <v>186</v>
      </c>
      <c r="C51" s="682">
        <f>'C-Dados RT1 Simplif.'!$F58</f>
        <v>0</v>
      </c>
      <c r="D51" s="360">
        <f>'C-Dados RT1 Simplif.'!$F58</f>
        <v>0</v>
      </c>
      <c r="E51" s="698">
        <f>'C-Dados RT1 Simplif.'!$F58</f>
        <v>0</v>
      </c>
      <c r="F51" s="360">
        <f>'C-Dados RT2 Simplif.'!$F58</f>
        <v>0</v>
      </c>
      <c r="G51" s="360">
        <f>'C-Dados RT3 Simplif.'!$F58</f>
        <v>0</v>
      </c>
      <c r="H51" s="360">
        <f>'C-Dados RT4 Simplif.'!$F58</f>
        <v>0</v>
      </c>
      <c r="I51" s="360">
        <f>'C-Dados RT5 Simplif.'!$F58</f>
        <v>0</v>
      </c>
      <c r="J51" s="704" t="s">
        <v>2</v>
      </c>
      <c r="K51" s="368"/>
      <c r="L51" s="368"/>
      <c r="M51" s="368"/>
      <c r="N51" s="1071"/>
    </row>
    <row r="52" spans="2:14" s="2" customFormat="1" hidden="1" outlineLevel="1" collapsed="1" x14ac:dyDescent="0.25">
      <c r="B52" s="1110" t="s">
        <v>187</v>
      </c>
      <c r="C52" s="696">
        <f t="shared" ref="C52:H52" si="16">C53+C54+C55+C56</f>
        <v>130.8244706266106</v>
      </c>
      <c r="D52" s="364">
        <f t="shared" si="16"/>
        <v>130.8244706266106</v>
      </c>
      <c r="E52" s="697">
        <f t="shared" si="16"/>
        <v>130.8244706266106</v>
      </c>
      <c r="F52" s="364">
        <f t="shared" si="16"/>
        <v>114.41038796979075</v>
      </c>
      <c r="G52" s="364">
        <f t="shared" si="16"/>
        <v>117.23774669862155</v>
      </c>
      <c r="H52" s="364">
        <f t="shared" si="16"/>
        <v>92.415395186689025</v>
      </c>
      <c r="I52" s="364">
        <f t="shared" ref="I52" si="17">I53+I54+I55+I56</f>
        <v>92.415395186689025</v>
      </c>
      <c r="J52" s="703" t="s">
        <v>2</v>
      </c>
      <c r="K52" s="948"/>
      <c r="L52" s="948"/>
      <c r="M52" s="948"/>
      <c r="N52" s="1072"/>
    </row>
    <row r="53" spans="2:14" hidden="1" outlineLevel="2" x14ac:dyDescent="0.25">
      <c r="B53" s="1103" t="s">
        <v>182</v>
      </c>
      <c r="C53" s="682">
        <f>'C-Dados RT1 Simplif.'!$F61</f>
        <v>77.861174682099431</v>
      </c>
      <c r="D53" s="360">
        <f>'C-Dados RT1 Simplif.'!$F61</f>
        <v>77.861174682099431</v>
      </c>
      <c r="E53" s="698">
        <f>'C-Dados RT1 Simplif.'!$F61</f>
        <v>77.861174682099431</v>
      </c>
      <c r="F53" s="360">
        <f>'C-Dados RT2 Simplif.'!$F61</f>
        <v>77.861174682099431</v>
      </c>
      <c r="G53" s="360">
        <f>'C-Dados RT3 Simplif.'!$F61</f>
        <v>77.861174682099431</v>
      </c>
      <c r="H53" s="360">
        <f>'C-Dados RT4 Simplif.'!$F61</f>
        <v>34.216977709150534</v>
      </c>
      <c r="I53" s="360">
        <f>'C-Dados RT5 Simplif.'!$F61</f>
        <v>34.216977709150534</v>
      </c>
      <c r="J53" s="704" t="s">
        <v>2</v>
      </c>
      <c r="K53" s="368"/>
      <c r="L53" s="368"/>
      <c r="M53" s="368"/>
      <c r="N53" s="1071"/>
    </row>
    <row r="54" spans="2:14" hidden="1" outlineLevel="2" x14ac:dyDescent="0.25">
      <c r="B54" s="1103" t="s">
        <v>183</v>
      </c>
      <c r="C54" s="682">
        <f>'C-Dados RT1 Simplif.'!$F78</f>
        <v>22.068039976879653</v>
      </c>
      <c r="D54" s="360">
        <f>'C-Dados RT1 Simplif.'!$F78</f>
        <v>22.068039976879653</v>
      </c>
      <c r="E54" s="698">
        <f>'C-Dados RT1 Simplif.'!$F78</f>
        <v>22.068039976879653</v>
      </c>
      <c r="F54" s="360">
        <f>'C-Dados RT2 Simplif.'!$F78</f>
        <v>15.228838869871387</v>
      </c>
      <c r="G54" s="360">
        <f>'C-Dados RT3 Simplif.'!$F78</f>
        <v>16.406905006884212</v>
      </c>
      <c r="H54" s="360">
        <f>'C-Dados RT4 Simplif.'!$F78</f>
        <v>24.249340615641039</v>
      </c>
      <c r="I54" s="360">
        <f>'C-Dados RT5 Simplif.'!$F78</f>
        <v>24.249340615641039</v>
      </c>
      <c r="J54" s="704" t="s">
        <v>2</v>
      </c>
      <c r="K54" s="368"/>
      <c r="L54" s="368"/>
      <c r="M54" s="368"/>
      <c r="N54" s="1071"/>
    </row>
    <row r="55" spans="2:14" hidden="1" outlineLevel="2" x14ac:dyDescent="0.25">
      <c r="B55" s="1103" t="s">
        <v>184</v>
      </c>
      <c r="C55" s="682">
        <f>'C-Dados RT1 Simplif.'!$F79</f>
        <v>30.895255967631513</v>
      </c>
      <c r="D55" s="360">
        <f>'C-Dados RT1 Simplif.'!$F79</f>
        <v>30.895255967631513</v>
      </c>
      <c r="E55" s="698">
        <f>'C-Dados RT1 Simplif.'!$F79</f>
        <v>30.895255967631513</v>
      </c>
      <c r="F55" s="360">
        <f>'C-Dados RT2 Simplif.'!$F79</f>
        <v>21.320374417819941</v>
      </c>
      <c r="G55" s="360">
        <f>'C-Dados RT3 Simplif.'!$F79</f>
        <v>22.969667009637899</v>
      </c>
      <c r="H55" s="360">
        <f>'C-Dados RT4 Simplif.'!$F79</f>
        <v>33.949076861897453</v>
      </c>
      <c r="I55" s="360">
        <f>'C-Dados RT5 Simplif.'!$F79</f>
        <v>33.949076861897453</v>
      </c>
      <c r="J55" s="704" t="s">
        <v>2</v>
      </c>
      <c r="K55" s="368"/>
      <c r="L55" s="368"/>
      <c r="M55" s="368"/>
      <c r="N55" s="1071"/>
    </row>
    <row r="56" spans="2:14" s="367" customFormat="1" hidden="1" outlineLevel="2" x14ac:dyDescent="0.25">
      <c r="B56" s="1112" t="s">
        <v>188</v>
      </c>
      <c r="C56" s="701">
        <f>'C-Dados RT1 Simplif.'!$F63</f>
        <v>0</v>
      </c>
      <c r="D56" s="366">
        <f>'C-Dados RT1 Simplif.'!$F63</f>
        <v>0</v>
      </c>
      <c r="E56" s="702">
        <f>'C-Dados RT1 Simplif.'!$F63</f>
        <v>0</v>
      </c>
      <c r="F56" s="366">
        <f>'C-Dados RT2 Simplif.'!$F63</f>
        <v>0</v>
      </c>
      <c r="G56" s="366">
        <f>'C-Dados RT3 Simplif.'!$F63</f>
        <v>0</v>
      </c>
      <c r="H56" s="366">
        <f>'C-Dados RT4 Simplif.'!$F63</f>
        <v>0</v>
      </c>
      <c r="I56" s="366">
        <f>'C-Dados RT5 Simplif.'!$F63</f>
        <v>0</v>
      </c>
      <c r="J56" s="706" t="s">
        <v>2</v>
      </c>
      <c r="K56" s="1070"/>
      <c r="L56" s="1070"/>
      <c r="M56" s="1070"/>
      <c r="N56" s="1071"/>
    </row>
    <row r="57" spans="2:14" s="2" customFormat="1" ht="15.75" hidden="1" outlineLevel="1" collapsed="1" thickBot="1" x14ac:dyDescent="0.3">
      <c r="B57" s="1110" t="s">
        <v>189</v>
      </c>
      <c r="C57" s="696">
        <f t="shared" ref="C57:H57" si="18">C58+C59+C60+C61</f>
        <v>58.992536024735635</v>
      </c>
      <c r="D57" s="364">
        <f t="shared" si="18"/>
        <v>58.291497442902795</v>
      </c>
      <c r="E57" s="697">
        <f t="shared" si="18"/>
        <v>57.792576920073074</v>
      </c>
      <c r="F57" s="364">
        <f t="shared" si="18"/>
        <v>44.096337079731754</v>
      </c>
      <c r="G57" s="364">
        <f t="shared" si="18"/>
        <v>59.771499917252477</v>
      </c>
      <c r="H57" s="364">
        <f t="shared" si="18"/>
        <v>122.07368057013085</v>
      </c>
      <c r="I57" s="364">
        <f t="shared" ref="I57" si="19">I58+I59+I60+I61</f>
        <v>122.07368057013085</v>
      </c>
      <c r="J57" s="703" t="s">
        <v>2</v>
      </c>
      <c r="K57" s="948"/>
      <c r="L57" s="948"/>
      <c r="M57" s="948"/>
      <c r="N57" s="1072"/>
    </row>
    <row r="58" spans="2:14" hidden="1" outlineLevel="2" x14ac:dyDescent="0.25">
      <c r="B58" s="1103" t="s">
        <v>190</v>
      </c>
      <c r="C58" s="3">
        <f>'C-Dados RT1 Simplif.'!$F81+SUM(C35:C39)*'C-Dados RT1 Simplif.'!C86</f>
        <v>7.4297903651015087</v>
      </c>
      <c r="D58" s="360">
        <f>'C-Dados RT1 Simplif.'!$F81+SUM(D35:D39)*'C-Dados RT1 Simplif.'!C86</f>
        <v>6.3017973337819768</v>
      </c>
      <c r="E58" s="3">
        <f>'C-Dados RT1 Simplif.'!$F81+SUM(E35:E39)*'C-Dados RT1 Simplif.'!C86</f>
        <v>6.3017973337819768</v>
      </c>
      <c r="F58" s="360">
        <f>'C-Dados RT2 Simplif.'!$F81+SUM(F35:F39)*'C-Dados RT2 Simplif.'!C86</f>
        <v>4.8206787384488301</v>
      </c>
      <c r="G58" s="360">
        <f>'C-Dados RT3 Simplif.'!$F81+SUM(G35:G39)*'C-Dados RT3 Simplif.'!C86</f>
        <v>7.6618766347361156</v>
      </c>
      <c r="H58" s="1098">
        <f>'C-Dados RT4 Simplif.'!$F81+SUM(H35:H39)*'C-Dados RT4 Simplif.'!C86</f>
        <v>8.5149959228389953</v>
      </c>
      <c r="I58" s="1098">
        <f>'C-Dados RT5 Simplif.'!$F81+SUM(I35:I39)*'C-Dados RT5 Simplif.'!C86</f>
        <v>8.5149959228389953</v>
      </c>
      <c r="J58" s="704" t="s">
        <v>2</v>
      </c>
      <c r="K58" s="368"/>
      <c r="L58" s="368"/>
      <c r="M58" s="368"/>
      <c r="N58" s="1071"/>
    </row>
    <row r="59" spans="2:14" hidden="1" outlineLevel="2" x14ac:dyDescent="0.25">
      <c r="B59" s="1103" t="s">
        <v>191</v>
      </c>
      <c r="C59" s="3">
        <f>'C-Dados RT1 Simplif.'!$F88</f>
        <v>1.4901660226239126</v>
      </c>
      <c r="D59" s="360">
        <f>'C-Dados RT1 Simplif.'!$F88</f>
        <v>1.4901660226239126</v>
      </c>
      <c r="E59" s="3">
        <f>'C-Dados RT1 Simplif.'!$F88</f>
        <v>1.4901660226239126</v>
      </c>
      <c r="F59" s="360">
        <f>'C-Dados RT2 Simplif.'!$F88</f>
        <v>1.4901660226239126</v>
      </c>
      <c r="G59" s="360">
        <f>'C-Dados RT3 Simplif.'!$F88</f>
        <v>1.4901660226239126</v>
      </c>
      <c r="H59" s="1098">
        <f>'C-Dados RT4 Simplif.'!$F88</f>
        <v>0.65487038677800058</v>
      </c>
      <c r="I59" s="1098">
        <f>'C-Dados RT5 Simplif.'!$F88</f>
        <v>0.65487038677800058</v>
      </c>
      <c r="J59" s="704" t="s">
        <v>2</v>
      </c>
      <c r="K59" s="368"/>
      <c r="L59" s="368"/>
      <c r="M59" s="368"/>
      <c r="N59" s="1071"/>
    </row>
    <row r="60" spans="2:14" hidden="1" outlineLevel="2" x14ac:dyDescent="0.25">
      <c r="B60" s="1103" t="s">
        <v>192</v>
      </c>
      <c r="C60" s="3">
        <f>'C-Dados RT1 Simplif.'!$F92+(-1)*SUM(C33:C39)*'C-Dados RT1 Simplif.'!C93</f>
        <v>50.072579637010215</v>
      </c>
      <c r="D60" s="360">
        <f>'C-Dados RT1 Simplif.'!$F92+(-1)*SUM(D33:D39)*'C-Dados RT1 Simplif.'!C93</f>
        <v>50.499534086496908</v>
      </c>
      <c r="E60" s="3">
        <f>'C-Dados RT1 Simplif.'!$F92+(-1)*SUM(E33:E39)*'C-Dados RT1 Simplif.'!C93</f>
        <v>50.000613563667187</v>
      </c>
      <c r="F60" s="360">
        <f>'C-Dados RT2 Simplif.'!$F92+(-1)*SUM(F33:F39)*'C-Dados RT2 Simplif.'!C93</f>
        <v>37.78549231865901</v>
      </c>
      <c r="G60" s="360">
        <f>'C-Dados RT3 Simplif.'!$F92+(-1)*SUM(G33:G39)*'C-Dados RT3 Simplif.'!C93</f>
        <v>50.619457259892449</v>
      </c>
      <c r="H60" s="1098">
        <f>'C-Dados RT4 Simplif.'!$F92+(-1)*SUM(H33:H39)*'C-Dados RT4 Simplif.'!C93</f>
        <v>112.90381426051385</v>
      </c>
      <c r="I60" s="1098">
        <f>'C-Dados RT5 Simplif.'!$F92+(-1)*SUM(I33:I39)*'C-Dados RT5 Simplif.'!C93</f>
        <v>112.90381426051385</v>
      </c>
      <c r="J60" s="704" t="s">
        <v>2</v>
      </c>
      <c r="K60" s="368"/>
      <c r="L60" s="368"/>
      <c r="M60" s="368"/>
      <c r="N60" s="1071"/>
    </row>
    <row r="61" spans="2:14" s="367" customFormat="1" ht="15.75" hidden="1" outlineLevel="2" thickBot="1" x14ac:dyDescent="0.3">
      <c r="B61" s="1112" t="s">
        <v>193</v>
      </c>
      <c r="C61" s="365">
        <f>'C-Dados RT1 Simplif.'!$F68</f>
        <v>0</v>
      </c>
      <c r="D61" s="366">
        <f>'C-Dados RT1 Simplif.'!$F68</f>
        <v>0</v>
      </c>
      <c r="E61" s="365">
        <f>'C-Dados RT1 Simplif.'!$F68</f>
        <v>0</v>
      </c>
      <c r="F61" s="366">
        <f>'C-Dados RT2 Simplif.'!$F68</f>
        <v>0</v>
      </c>
      <c r="G61" s="366">
        <f>'C-Dados RT3 Simplif.'!$F68</f>
        <v>0</v>
      </c>
      <c r="H61" s="1099">
        <f>'C-Dados RT4 Simplif.'!$F68</f>
        <v>0</v>
      </c>
      <c r="I61" s="1099">
        <f>'C-Dados RT5 Simplif.'!$F68</f>
        <v>0</v>
      </c>
      <c r="J61" s="1101" t="s">
        <v>2</v>
      </c>
      <c r="K61" s="1070"/>
      <c r="L61" s="1070"/>
      <c r="M61" s="1070"/>
      <c r="N61" s="1071"/>
    </row>
    <row r="62" spans="2:14" s="431" customFormat="1" ht="19.899999999999999" customHeight="1" thickTop="1" thickBot="1" x14ac:dyDescent="0.3">
      <c r="B62" s="430" t="s">
        <v>229</v>
      </c>
      <c r="C62" s="432">
        <f t="shared" ref="C62:H62" si="20">C42+C47</f>
        <v>285.77410432723599</v>
      </c>
      <c r="D62" s="433">
        <f t="shared" si="20"/>
        <v>244.87200614309177</v>
      </c>
      <c r="E62" s="434">
        <f t="shared" si="20"/>
        <v>244.37308562026203</v>
      </c>
      <c r="F62" s="435">
        <f t="shared" si="20"/>
        <v>212.00067845053178</v>
      </c>
      <c r="G62" s="435">
        <f t="shared" si="20"/>
        <v>238.3236471892223</v>
      </c>
      <c r="H62" s="435">
        <f t="shared" si="20"/>
        <v>389.77015303895246</v>
      </c>
      <c r="I62" s="435">
        <f t="shared" ref="I62" si="21">I42+I47</f>
        <v>389.77015303895246</v>
      </c>
      <c r="J62" s="1100" t="s">
        <v>2</v>
      </c>
      <c r="K62" s="1221" t="s">
        <v>211</v>
      </c>
      <c r="L62" s="1221"/>
      <c r="M62" s="1221"/>
      <c r="N62" s="1221"/>
    </row>
    <row r="63" spans="2:14" s="436" customFormat="1" ht="19.899999999999999" customHeight="1" thickBot="1" x14ac:dyDescent="0.3">
      <c r="B63" s="1113" t="s">
        <v>228</v>
      </c>
      <c r="C63" s="437">
        <f t="shared" ref="C63:H63" si="22">C62-C30</f>
        <v>660.81306639439754</v>
      </c>
      <c r="D63" s="438">
        <f t="shared" si="22"/>
        <v>591.3384332602958</v>
      </c>
      <c r="E63" s="439">
        <f t="shared" si="22"/>
        <v>582.81724678934916</v>
      </c>
      <c r="F63" s="440">
        <f t="shared" si="22"/>
        <v>530.96479156759438</v>
      </c>
      <c r="G63" s="440">
        <f t="shared" si="22"/>
        <v>558.74450506237883</v>
      </c>
      <c r="H63" s="440">
        <f t="shared" si="22"/>
        <v>977.76052132142422</v>
      </c>
      <c r="I63" s="440">
        <f t="shared" ref="I63" si="23">I62-I30</f>
        <v>977.76052132142422</v>
      </c>
      <c r="J63" s="428" t="s">
        <v>2</v>
      </c>
      <c r="K63" s="1221" t="s">
        <v>357</v>
      </c>
      <c r="L63" s="1221"/>
      <c r="M63" s="1221"/>
      <c r="N63" s="1221"/>
    </row>
    <row r="64" spans="2:14" s="441" customFormat="1" ht="42.4" customHeight="1" thickBot="1" x14ac:dyDescent="0.3">
      <c r="B64" s="708" t="s">
        <v>554</v>
      </c>
      <c r="C64" s="404">
        <f>(C63+'Demanda Preço &amp; Quantidade'!$D$11-C29)/C29</f>
        <v>1.9404416378833895</v>
      </c>
      <c r="D64" s="390">
        <f>(D63+'Demanda Preço &amp; Quantidade'!$D$11-D29)/D29</f>
        <v>1.6930659152684351</v>
      </c>
      <c r="E64" s="405">
        <f>(E63+'Demanda Preço &amp; Quantidade'!$D$11-E29)/E29</f>
        <v>1.6627248459357131</v>
      </c>
      <c r="F64" s="409">
        <f>(F63+'Demanda Preço &amp; Quantidade'!$D$11-F29)/F29</f>
        <v>2.133599358058917</v>
      </c>
      <c r="G64" s="409">
        <f>(G63+'Demanda Preço &amp; Quantidade'!$D$11-G29)/G29</f>
        <v>1.5364115133990111</v>
      </c>
      <c r="H64" s="409">
        <f>(H63+'Demanda Preço &amp; Quantidade'!$D$11-H29)/H29</f>
        <v>1.2108747361994028</v>
      </c>
      <c r="I64" s="409">
        <f>(I63+'Demanda Preço &amp; Quantidade'!$D$11-I29)/I29</f>
        <v>1.2108747361994028</v>
      </c>
      <c r="J64" s="415" t="s">
        <v>1</v>
      </c>
      <c r="K64" s="1220" t="s">
        <v>600</v>
      </c>
      <c r="L64" s="1220"/>
      <c r="M64" s="1220"/>
      <c r="N64" s="1220"/>
    </row>
    <row r="65" spans="2:15" s="429" customFormat="1" ht="42.4" customHeight="1" thickTop="1" thickBot="1" x14ac:dyDescent="0.3">
      <c r="B65" s="708" t="s">
        <v>555</v>
      </c>
      <c r="C65" s="403">
        <f>(C63+'Demanda Preço &amp; Quantidade'!$D$11-C29)/C41</f>
        <v>3.9154169667154206</v>
      </c>
      <c r="D65" s="403">
        <f>(D63+'Demanda Preço &amp; Quantidade'!$D$11-D29)/D41</f>
        <v>2.8344028878284306</v>
      </c>
      <c r="E65" s="403">
        <f>(E63+'Demanda Preço &amp; Quantidade'!$D$11-E29)/E41</f>
        <v>2.6565692637024703</v>
      </c>
      <c r="F65" s="403">
        <f>(F63+'Demanda Preço &amp; Quantidade'!$D$11-F29)/F41</f>
        <v>3.4712855280245778</v>
      </c>
      <c r="G65" s="403">
        <f>(G63+'Demanda Preço &amp; Quantidade'!$D$11-G29)/G41</f>
        <v>2.2108250466792803</v>
      </c>
      <c r="H65" s="403">
        <f>(H63+'Demanda Preço &amp; Quantidade'!$D$11-H29)/H41</f>
        <v>3.8570599340456457</v>
      </c>
      <c r="I65" s="403">
        <f>(I63+'Demanda Preço &amp; Quantidade'!$D$11-I29)/I41</f>
        <v>3.8570599340456457</v>
      </c>
      <c r="J65" s="414" t="s">
        <v>1</v>
      </c>
      <c r="K65" s="1219" t="s">
        <v>599</v>
      </c>
      <c r="L65" s="1219"/>
      <c r="M65" s="1219"/>
      <c r="N65" s="1219"/>
      <c r="O65" s="441"/>
    </row>
    <row r="66" spans="2:15" ht="15.75" thickTop="1" x14ac:dyDescent="0.25">
      <c r="B66" s="4"/>
    </row>
  </sheetData>
  <sheetProtection formatRows="0" sort="0" autoFilter="0" pivotTables="0"/>
  <mergeCells count="15">
    <mergeCell ref="F3:N3"/>
    <mergeCell ref="C2:N2"/>
    <mergeCell ref="K65:N65"/>
    <mergeCell ref="K64:N64"/>
    <mergeCell ref="K63:N63"/>
    <mergeCell ref="K62:N62"/>
    <mergeCell ref="K47:N47"/>
    <mergeCell ref="K42:N42"/>
    <mergeCell ref="K41:N41"/>
    <mergeCell ref="D4:D6"/>
    <mergeCell ref="E4:E6"/>
    <mergeCell ref="C4:C6"/>
    <mergeCell ref="H5:N5"/>
    <mergeCell ref="G4:N4"/>
    <mergeCell ref="I6:O6"/>
  </mergeCells>
  <phoneticPr fontId="17" type="noConversion"/>
  <conditionalFormatting sqref="C30:H40">
    <cfRule type="cellIs" dxfId="535" priority="2" operator="greaterThan">
      <formula>0</formula>
    </cfRule>
  </conditionalFormatting>
  <conditionalFormatting sqref="I30:I40">
    <cfRule type="cellIs" dxfId="534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abSelected="1" zoomScale="75" zoomScaleNormal="75" workbookViewId="0">
      <selection activeCell="C2" sqref="C2:H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243.29490770458699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261.89300824516806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119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customHeight="1" outlineLevel="1" x14ac:dyDescent="0.25">
      <c r="A18" s="172">
        <f>C18*1000000/$C$16</f>
        <v>46.33628244215052</v>
      </c>
      <c r="B18" s="173" t="s">
        <v>638</v>
      </c>
      <c r="C18" s="174">
        <f>SUMIF($D$15:$BG$15,1,D18:BG18)</f>
        <v>408.69781036984205</v>
      </c>
      <c r="D18" s="175">
        <v>105.1971628895916</v>
      </c>
      <c r="E18" s="20">
        <v>156.27724432894053</v>
      </c>
      <c r="F18" s="20">
        <v>147.22340315130992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customHeight="1" outlineLevel="1" x14ac:dyDescent="0.25">
      <c r="A19" s="172">
        <f>C19*1000000/$C$16</f>
        <v>42.273271498605091</v>
      </c>
      <c r="B19" s="176" t="s">
        <v>52</v>
      </c>
      <c r="C19" s="169">
        <f>SUMIF($D$15:$BG$15,1,D19:BG19)</f>
        <v>372.86101922871279</v>
      </c>
      <c r="D19" s="175">
        <f t="shared" ref="D19:AJ19" si="0">NPV($C$8,D18:D18)</f>
        <v>95.972917837478079</v>
      </c>
      <c r="E19" s="20">
        <f t="shared" si="0"/>
        <v>142.57402688312294</v>
      </c>
      <c r="F19" s="20">
        <f t="shared" si="0"/>
        <v>134.31407450811179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customHeight="1" outlineLevel="1" x14ac:dyDescent="0.25">
      <c r="A20" s="172"/>
      <c r="B20" s="1"/>
      <c r="C20" s="177">
        <f>C18*1000000/(C16/C43)</f>
        <v>1621.7698854752682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customHeight="1" outlineLevel="1" x14ac:dyDescent="0.25">
      <c r="A21" s="172">
        <f>C21*1000000/$C$16</f>
        <v>154.36339052948779</v>
      </c>
      <c r="B21" s="173" t="s">
        <v>639</v>
      </c>
      <c r="C21" s="174">
        <f>SUMIF($D$15:$BG$15,1,D21:BG21)</f>
        <v>1361.5244120939126</v>
      </c>
      <c r="D21" s="175">
        <v>2.7786552513184004</v>
      </c>
      <c r="E21" s="20">
        <v>2.7786552513184004</v>
      </c>
      <c r="F21" s="20">
        <v>2.7786552513184004</v>
      </c>
      <c r="G21" s="20">
        <v>42.287138948123676</v>
      </c>
      <c r="H21" s="20">
        <v>42.287138948123676</v>
      </c>
      <c r="I21" s="20">
        <v>42.287138948123676</v>
      </c>
      <c r="J21" s="20">
        <v>42.287138948123676</v>
      </c>
      <c r="K21" s="20">
        <v>42.287138948123676</v>
      </c>
      <c r="L21" s="20">
        <v>42.287138948123676</v>
      </c>
      <c r="M21" s="20">
        <v>42.287138948123676</v>
      </c>
      <c r="N21" s="20">
        <v>42.287138948123676</v>
      </c>
      <c r="O21" s="20">
        <v>42.287138948123676</v>
      </c>
      <c r="P21" s="20">
        <v>42.287138948123676</v>
      </c>
      <c r="Q21" s="20">
        <v>42.287138948123676</v>
      </c>
      <c r="R21" s="20">
        <v>42.287138948123676</v>
      </c>
      <c r="S21" s="20">
        <v>42.287138948123676</v>
      </c>
      <c r="T21" s="20">
        <v>42.287138948123676</v>
      </c>
      <c r="U21" s="20">
        <v>42.287138948123676</v>
      </c>
      <c r="V21" s="20">
        <v>42.287138948123676</v>
      </c>
      <c r="W21" s="20">
        <v>42.287138948123676</v>
      </c>
      <c r="X21" s="20">
        <v>42.287138948123676</v>
      </c>
      <c r="Y21" s="20">
        <v>42.287138948123676</v>
      </c>
      <c r="Z21" s="20">
        <v>42.287138948123676</v>
      </c>
      <c r="AA21" s="20">
        <v>42.287138948123676</v>
      </c>
      <c r="AB21" s="20">
        <v>42.287138948123676</v>
      </c>
      <c r="AC21" s="20">
        <v>42.287138948123676</v>
      </c>
      <c r="AD21" s="20">
        <v>42.287138948123676</v>
      </c>
      <c r="AE21" s="20">
        <v>42.287138948123676</v>
      </c>
      <c r="AF21" s="20">
        <v>42.287138948123676</v>
      </c>
      <c r="AG21" s="20">
        <v>42.287138948123676</v>
      </c>
      <c r="AH21" s="20">
        <v>42.287138948123676</v>
      </c>
      <c r="AI21" s="20">
        <v>42.287138948123676</v>
      </c>
      <c r="AJ21" s="20">
        <v>42.287138948123676</v>
      </c>
      <c r="AK21" s="20">
        <v>42.287138948123676</v>
      </c>
      <c r="AL21" s="20">
        <v>42.287138948123676</v>
      </c>
      <c r="AM21" s="20">
        <v>42.287138948123676</v>
      </c>
      <c r="AN21" s="20">
        <v>42.287138948123676</v>
      </c>
      <c r="AO21" s="20">
        <v>42.287138948123676</v>
      </c>
      <c r="AP21" s="20">
        <v>42.287138948123676</v>
      </c>
      <c r="AQ21" s="20">
        <v>42.287138948123676</v>
      </c>
      <c r="AR21" s="20">
        <v>42.287138948123676</v>
      </c>
      <c r="AS21" s="20">
        <v>42.287138948123676</v>
      </c>
      <c r="AT21" s="20">
        <v>42.287138948123676</v>
      </c>
      <c r="AU21" s="20">
        <v>42.287138948123676</v>
      </c>
      <c r="AV21" s="20">
        <v>42.287138948123676</v>
      </c>
      <c r="AW21" s="20">
        <v>42.287138948123676</v>
      </c>
      <c r="AX21" s="20">
        <v>42.287138948123676</v>
      </c>
      <c r="AY21" s="20">
        <v>42.287138948123676</v>
      </c>
      <c r="AZ21" s="20">
        <v>42.287138948123676</v>
      </c>
      <c r="BA21" s="20">
        <v>42.287138948123676</v>
      </c>
      <c r="BB21" s="20">
        <v>42.287138948123676</v>
      </c>
      <c r="BC21" s="20">
        <v>42.287138948123676</v>
      </c>
      <c r="BD21" s="20">
        <v>42.287138948123676</v>
      </c>
      <c r="BE21" s="20">
        <v>42.287138948123676</v>
      </c>
      <c r="BF21" s="20">
        <v>42.287138948123676</v>
      </c>
      <c r="BG21" s="20">
        <v>42.287138948123676</v>
      </c>
      <c r="BH21" s="20">
        <v>0</v>
      </c>
    </row>
    <row r="22" spans="1:60" ht="15" customHeight="1" outlineLevel="1" x14ac:dyDescent="0.25">
      <c r="A22" s="172">
        <f>C22*1000000/$C$16</f>
        <v>132.08012948312418</v>
      </c>
      <c r="B22" s="176" t="s">
        <v>53</v>
      </c>
      <c r="C22" s="169">
        <f>SUMIF($D$15:$BG$15,1,D22:BG22)</f>
        <v>1164.9803753788749</v>
      </c>
      <c r="D22" s="175">
        <f t="shared" ref="D22:AJ22" si="1">NPV($C$8,D21:D21)</f>
        <v>2.5350080250105607</v>
      </c>
      <c r="E22" s="20">
        <f t="shared" si="1"/>
        <v>2.5350080250105607</v>
      </c>
      <c r="F22" s="20">
        <f t="shared" si="1"/>
        <v>2.5350080250105607</v>
      </c>
      <c r="G22" s="20">
        <f t="shared" si="1"/>
        <v>38.5791783767948</v>
      </c>
      <c r="H22" s="20">
        <f t="shared" si="1"/>
        <v>38.5791783767948</v>
      </c>
      <c r="I22" s="20">
        <f t="shared" si="1"/>
        <v>38.5791783767948</v>
      </c>
      <c r="J22" s="20">
        <f t="shared" si="1"/>
        <v>38.5791783767948</v>
      </c>
      <c r="K22" s="20">
        <f t="shared" si="1"/>
        <v>38.5791783767948</v>
      </c>
      <c r="L22" s="20">
        <f t="shared" si="1"/>
        <v>38.5791783767948</v>
      </c>
      <c r="M22" s="20">
        <f t="shared" si="1"/>
        <v>38.5791783767948</v>
      </c>
      <c r="N22" s="20">
        <f t="shared" si="1"/>
        <v>38.5791783767948</v>
      </c>
      <c r="O22" s="20">
        <f t="shared" si="1"/>
        <v>38.5791783767948</v>
      </c>
      <c r="P22" s="20">
        <f t="shared" si="1"/>
        <v>38.5791783767948</v>
      </c>
      <c r="Q22" s="20">
        <f t="shared" si="1"/>
        <v>38.5791783767948</v>
      </c>
      <c r="R22" s="20">
        <f t="shared" si="1"/>
        <v>38.5791783767948</v>
      </c>
      <c r="S22" s="20">
        <f t="shared" si="1"/>
        <v>38.5791783767948</v>
      </c>
      <c r="T22" s="20">
        <f t="shared" si="1"/>
        <v>38.5791783767948</v>
      </c>
      <c r="U22" s="20">
        <f t="shared" si="1"/>
        <v>38.5791783767948</v>
      </c>
      <c r="V22" s="20">
        <f t="shared" si="1"/>
        <v>38.5791783767948</v>
      </c>
      <c r="W22" s="20">
        <f t="shared" si="1"/>
        <v>38.5791783767948</v>
      </c>
      <c r="X22" s="20">
        <f t="shared" si="1"/>
        <v>38.5791783767948</v>
      </c>
      <c r="Y22" s="20">
        <f t="shared" si="1"/>
        <v>38.5791783767948</v>
      </c>
      <c r="Z22" s="20">
        <f t="shared" si="1"/>
        <v>38.5791783767948</v>
      </c>
      <c r="AA22" s="20">
        <f t="shared" si="1"/>
        <v>38.5791783767948</v>
      </c>
      <c r="AB22" s="20">
        <f t="shared" si="1"/>
        <v>38.5791783767948</v>
      </c>
      <c r="AC22" s="20">
        <f t="shared" si="1"/>
        <v>38.5791783767948</v>
      </c>
      <c r="AD22" s="20">
        <f t="shared" si="1"/>
        <v>38.5791783767948</v>
      </c>
      <c r="AE22" s="20">
        <f t="shared" si="1"/>
        <v>38.5791783767948</v>
      </c>
      <c r="AF22" s="20">
        <f t="shared" si="1"/>
        <v>38.5791783767948</v>
      </c>
      <c r="AG22" s="20">
        <f t="shared" si="1"/>
        <v>38.5791783767948</v>
      </c>
      <c r="AH22" s="20">
        <f t="shared" si="1"/>
        <v>38.5791783767948</v>
      </c>
      <c r="AI22" s="20">
        <f t="shared" si="1"/>
        <v>38.5791783767948</v>
      </c>
      <c r="AJ22" s="20">
        <f t="shared" si="1"/>
        <v>38.5791783767948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customHeight="1" outlineLevel="1" x14ac:dyDescent="0.25">
      <c r="A23" s="172"/>
      <c r="C23" s="229">
        <f>C21*1000000/C16</f>
        <v>154.36339052948779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customHeight="1" outlineLevel="1" x14ac:dyDescent="0.25">
      <c r="A27" s="172">
        <f>C27*1000000/$C$16</f>
        <v>208.62538335668336</v>
      </c>
      <c r="B27" s="173" t="s">
        <v>640</v>
      </c>
      <c r="C27" s="174">
        <f>SUMIF($D$15:$BG$15,1,D27:BG27)</f>
        <v>1840.1290062899604</v>
      </c>
      <c r="D27" s="175">
        <v>48.896449048992643</v>
      </c>
      <c r="E27" s="20">
        <v>49.126262359522912</v>
      </c>
      <c r="F27" s="20">
        <v>49.357155792612659</v>
      </c>
      <c r="G27" s="20">
        <v>49.58913442483793</v>
      </c>
      <c r="H27" s="20">
        <v>49.822203356634667</v>
      </c>
      <c r="I27" s="20">
        <v>50.056367712410847</v>
      </c>
      <c r="J27" s="20">
        <v>50.291632640659174</v>
      </c>
      <c r="K27" s="20">
        <v>50.528003314070268</v>
      </c>
      <c r="L27" s="20">
        <v>50.765484929646405</v>
      </c>
      <c r="M27" s="20">
        <v>51.00408270881573</v>
      </c>
      <c r="N27" s="20">
        <v>51.243801897547165</v>
      </c>
      <c r="O27" s="20">
        <v>51.484647766465621</v>
      </c>
      <c r="P27" s="20">
        <v>51.726625610968007</v>
      </c>
      <c r="Q27" s="20">
        <v>51.969740751339558</v>
      </c>
      <c r="R27" s="20">
        <v>52.213998532870853</v>
      </c>
      <c r="S27" s="20">
        <v>51.726625610968007</v>
      </c>
      <c r="T27" s="20">
        <v>51.969740751339558</v>
      </c>
      <c r="U27" s="20">
        <v>52.213998532870853</v>
      </c>
      <c r="V27" s="20">
        <v>52.459404325975342</v>
      </c>
      <c r="W27" s="20">
        <v>52.705963526307421</v>
      </c>
      <c r="X27" s="20">
        <v>52.953681554881058</v>
      </c>
      <c r="Y27" s="20">
        <v>53.202563858188995</v>
      </c>
      <c r="Z27" s="20">
        <v>53.452615908322485</v>
      </c>
      <c r="AA27" s="20">
        <v>53.703843203091601</v>
      </c>
      <c r="AB27" s="20">
        <v>53.956251266146133</v>
      </c>
      <c r="AC27" s="20">
        <v>54.209845647097005</v>
      </c>
      <c r="AD27" s="20">
        <v>54.464631921638365</v>
      </c>
      <c r="AE27" s="20">
        <v>54.720615691670055</v>
      </c>
      <c r="AF27" s="20">
        <v>54.977802585420903</v>
      </c>
      <c r="AG27" s="20">
        <v>55.236198257572376</v>
      </c>
      <c r="AH27" s="20">
        <v>55.495808389382965</v>
      </c>
      <c r="AI27" s="20">
        <v>55.756638688813062</v>
      </c>
      <c r="AJ27" s="20">
        <v>56.018694890650472</v>
      </c>
      <c r="AK27" s="20">
        <v>56.281982756636523</v>
      </c>
      <c r="AL27" s="20">
        <v>56.546508075592712</v>
      </c>
      <c r="AM27" s="20">
        <v>56.812276663547998</v>
      </c>
      <c r="AN27" s="20">
        <v>57.079294363866673</v>
      </c>
      <c r="AO27" s="20">
        <v>57.347567047376842</v>
      </c>
      <c r="AP27" s="20">
        <v>57.617100612499506</v>
      </c>
      <c r="AQ27" s="20">
        <v>57.887900985378252</v>
      </c>
      <c r="AR27" s="20">
        <v>58.159974120009522</v>
      </c>
      <c r="AS27" s="20">
        <v>58.433325998373554</v>
      </c>
      <c r="AT27" s="20">
        <v>58.707962630565902</v>
      </c>
      <c r="AU27" s="20">
        <v>58.98389005492956</v>
      </c>
      <c r="AV27" s="20">
        <v>59.261114338187724</v>
      </c>
      <c r="AW27" s="20">
        <v>59.539641575577214</v>
      </c>
      <c r="AX27" s="20">
        <v>59.819477890982412</v>
      </c>
      <c r="AY27" s="20">
        <v>60.100629437070026</v>
      </c>
      <c r="AZ27" s="20">
        <v>60.383102395424253</v>
      </c>
      <c r="BA27" s="20">
        <v>60.666902976682735</v>
      </c>
      <c r="BB27" s="20">
        <v>60.952037420673136</v>
      </c>
      <c r="BC27" s="20">
        <v>61.238511996550308</v>
      </c>
      <c r="BD27" s="20">
        <v>61.526333002934088</v>
      </c>
      <c r="BE27" s="20">
        <v>61.815506768047868</v>
      </c>
      <c r="BF27" s="20">
        <v>62.106039649857699</v>
      </c>
      <c r="BG27" s="20">
        <v>62.397938036212018</v>
      </c>
      <c r="BH27" s="20">
        <v>0</v>
      </c>
    </row>
    <row r="28" spans="1:60" ht="15" customHeight="1" outlineLevel="1" x14ac:dyDescent="0.25">
      <c r="A28" s="172">
        <f>C28*1000000/$C$16</f>
        <v>178.66169525975343</v>
      </c>
      <c r="B28" s="176" t="s">
        <v>56</v>
      </c>
      <c r="C28" s="169">
        <f>SUMIF($D$15:$BG$15,1,D28:BG28)</f>
        <v>1575.8416472186095</v>
      </c>
      <c r="D28" s="175">
        <f t="shared" ref="D28:AJ28" si="3">NPV($C$8,D27:D27)</f>
        <v>44.608949122027241</v>
      </c>
      <c r="E28" s="20">
        <f t="shared" si="3"/>
        <v>44.818611182900774</v>
      </c>
      <c r="F28" s="20">
        <f t="shared" si="3"/>
        <v>45.029258655460396</v>
      </c>
      <c r="G28" s="20">
        <f t="shared" si="3"/>
        <v>45.240896171141053</v>
      </c>
      <c r="H28" s="20">
        <f t="shared" si="3"/>
        <v>45.453528383145418</v>
      </c>
      <c r="I28" s="20">
        <f t="shared" si="3"/>
        <v>45.667159966546194</v>
      </c>
      <c r="J28" s="20">
        <f t="shared" si="3"/>
        <v>45.881795618388963</v>
      </c>
      <c r="K28" s="20">
        <f t="shared" si="3"/>
        <v>46.097440057795389</v>
      </c>
      <c r="L28" s="20">
        <f t="shared" si="3"/>
        <v>46.314098026067029</v>
      </c>
      <c r="M28" s="20">
        <f t="shared" si="3"/>
        <v>46.531774286789535</v>
      </c>
      <c r="N28" s="20">
        <f t="shared" si="3"/>
        <v>46.750473625937445</v>
      </c>
      <c r="O28" s="20">
        <f t="shared" si="3"/>
        <v>46.970200851979335</v>
      </c>
      <c r="P28" s="20">
        <f t="shared" si="3"/>
        <v>47.190960795983635</v>
      </c>
      <c r="Q28" s="20">
        <f t="shared" si="3"/>
        <v>47.412758311724758</v>
      </c>
      <c r="R28" s="20">
        <f t="shared" si="3"/>
        <v>47.635598275789867</v>
      </c>
      <c r="S28" s="20">
        <f t="shared" si="3"/>
        <v>47.190960795983635</v>
      </c>
      <c r="T28" s="20">
        <f t="shared" si="3"/>
        <v>47.412758311724758</v>
      </c>
      <c r="U28" s="20">
        <f t="shared" si="3"/>
        <v>47.635598275789867</v>
      </c>
      <c r="V28" s="20">
        <f t="shared" si="3"/>
        <v>47.859485587686073</v>
      </c>
      <c r="W28" s="20">
        <f t="shared" si="3"/>
        <v>48.084425169948197</v>
      </c>
      <c r="X28" s="20">
        <f t="shared" si="3"/>
        <v>48.310421968246942</v>
      </c>
      <c r="Y28" s="20">
        <f t="shared" si="3"/>
        <v>48.537480951497699</v>
      </c>
      <c r="Z28" s="20">
        <f t="shared" si="3"/>
        <v>48.765607111969743</v>
      </c>
      <c r="AA28" s="20">
        <f t="shared" si="3"/>
        <v>48.994805465395999</v>
      </c>
      <c r="AB28" s="20">
        <f t="shared" si="3"/>
        <v>49.225081051083365</v>
      </c>
      <c r="AC28" s="20">
        <f t="shared" si="3"/>
        <v>49.456438932023438</v>
      </c>
      <c r="AD28" s="20">
        <f t="shared" si="3"/>
        <v>49.688884195003958</v>
      </c>
      <c r="AE28" s="20">
        <f t="shared" si="3"/>
        <v>49.922421950720462</v>
      </c>
      <c r="AF28" s="20">
        <f t="shared" si="3"/>
        <v>50.157057333888851</v>
      </c>
      <c r="AG28" s="20">
        <f t="shared" si="3"/>
        <v>50.392795503358123</v>
      </c>
      <c r="AH28" s="20">
        <f t="shared" si="3"/>
        <v>50.629641642223902</v>
      </c>
      <c r="AI28" s="20">
        <f t="shared" si="3"/>
        <v>50.867600957942351</v>
      </c>
      <c r="AJ28" s="20">
        <f t="shared" si="3"/>
        <v>51.106678682444674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customHeight="1" outlineLevel="1" x14ac:dyDescent="0.25">
      <c r="A30" s="172">
        <f>C30*1000000/$C$16</f>
        <v>5.7981306079325279</v>
      </c>
      <c r="B30" s="173" t="s">
        <v>641</v>
      </c>
      <c r="C30" s="174">
        <f>SUMIF($D$15:$BG$15,1,D30:BG30)</f>
        <v>51.140988417853002</v>
      </c>
      <c r="D30" s="175">
        <v>1.3589333823558216</v>
      </c>
      <c r="E30" s="20">
        <v>1.3653203692528939</v>
      </c>
      <c r="F30" s="20">
        <v>1.3717373749883823</v>
      </c>
      <c r="G30" s="20">
        <v>1.3781845406508275</v>
      </c>
      <c r="H30" s="20">
        <v>1.3846620079918863</v>
      </c>
      <c r="I30" s="20">
        <v>1.391169919429448</v>
      </c>
      <c r="J30" s="20">
        <v>1.3977084180507664</v>
      </c>
      <c r="K30" s="20">
        <v>1.4042776476156049</v>
      </c>
      <c r="L30" s="20">
        <v>1.4108777525593981</v>
      </c>
      <c r="M30" s="20">
        <v>1.4175088779964271</v>
      </c>
      <c r="N30" s="20">
        <v>1.4241711697230102</v>
      </c>
      <c r="O30" s="20">
        <v>1.4308647742207081</v>
      </c>
      <c r="P30" s="20">
        <v>1.4375898386595454</v>
      </c>
      <c r="Q30" s="20">
        <v>1.4443465109012452</v>
      </c>
      <c r="R30" s="20">
        <v>1.4511349395024811</v>
      </c>
      <c r="S30" s="20">
        <v>1.4375898386595454</v>
      </c>
      <c r="T30" s="20">
        <v>1.4443465109012452</v>
      </c>
      <c r="U30" s="20">
        <v>1.4511349395024811</v>
      </c>
      <c r="V30" s="20">
        <v>1.4579552737181427</v>
      </c>
      <c r="W30" s="20">
        <v>1.4648076635046179</v>
      </c>
      <c r="X30" s="20">
        <v>1.4716922595230895</v>
      </c>
      <c r="Y30" s="20">
        <v>1.4786092131428479</v>
      </c>
      <c r="Z30" s="20">
        <v>1.4855586764446191</v>
      </c>
      <c r="AA30" s="20">
        <v>1.4925408022239088</v>
      </c>
      <c r="AB30" s="20">
        <v>1.4995557439943612</v>
      </c>
      <c r="AC30" s="20">
        <v>1.5066036559911347</v>
      </c>
      <c r="AD30" s="20">
        <v>1.5136846931742929</v>
      </c>
      <c r="AE30" s="20">
        <v>1.5207990112322118</v>
      </c>
      <c r="AF30" s="20">
        <v>1.5279467665850031</v>
      </c>
      <c r="AG30" s="20">
        <v>1.5351281163879524</v>
      </c>
      <c r="AH30" s="20">
        <v>1.5423432185349757</v>
      </c>
      <c r="AI30" s="20">
        <v>1.54959223166209</v>
      </c>
      <c r="AJ30" s="20">
        <v>1.5568753151509018</v>
      </c>
      <c r="AK30" s="20">
        <v>1.5641926291321109</v>
      </c>
      <c r="AL30" s="20">
        <v>1.5715443344890316</v>
      </c>
      <c r="AM30" s="20">
        <v>1.5789305928611299</v>
      </c>
      <c r="AN30" s="20">
        <v>1.5863515666475771</v>
      </c>
      <c r="AO30" s="20">
        <v>1.5938074190108207</v>
      </c>
      <c r="AP30" s="20">
        <v>1.6012983138801715</v>
      </c>
      <c r="AQ30" s="20">
        <v>1.6088244159554081</v>
      </c>
      <c r="AR30" s="20">
        <v>1.6163858907103985</v>
      </c>
      <c r="AS30" s="20">
        <v>1.6239829043967373</v>
      </c>
      <c r="AT30" s="20">
        <v>1.6316156240474018</v>
      </c>
      <c r="AU30" s="20">
        <v>1.6392842174804245</v>
      </c>
      <c r="AV30" s="20">
        <v>1.6469888533025825</v>
      </c>
      <c r="AW30" s="20">
        <v>1.6547297009131046</v>
      </c>
      <c r="AX30" s="20">
        <v>1.6625069305073961</v>
      </c>
      <c r="AY30" s="20">
        <v>1.6703207130807807</v>
      </c>
      <c r="AZ30" s="20">
        <v>1.6781712204322603</v>
      </c>
      <c r="BA30" s="20">
        <v>1.6860586251682919</v>
      </c>
      <c r="BB30" s="20">
        <v>1.6939831007065826</v>
      </c>
      <c r="BC30" s="20">
        <v>1.7019448212799035</v>
      </c>
      <c r="BD30" s="20">
        <v>1.709943961939919</v>
      </c>
      <c r="BE30" s="20">
        <v>1.7179806985610366</v>
      </c>
      <c r="BF30" s="20">
        <v>1.7260552078442735</v>
      </c>
      <c r="BG30" s="20">
        <v>1.7341676673211415</v>
      </c>
      <c r="BH30" s="20">
        <v>0</v>
      </c>
    </row>
    <row r="31" spans="1:60" ht="15" customHeight="1" outlineLevel="1" x14ac:dyDescent="0.25">
      <c r="A31" s="172">
        <f>C31*1000000/$C$16</f>
        <v>4.9653777842537146</v>
      </c>
      <c r="B31" s="176" t="s">
        <v>57</v>
      </c>
      <c r="C31" s="169">
        <f>SUMIF($D$15:$BG$15,1,D31:BG31)</f>
        <v>43.795896457967274</v>
      </c>
      <c r="D31" s="175">
        <f t="shared" ref="D31:AJ31" si="4">NPV($C$8,D30:D30)</f>
        <v>1.2397748976207943</v>
      </c>
      <c r="E31" s="20">
        <f t="shared" si="4"/>
        <v>1.245601839639612</v>
      </c>
      <c r="F31" s="20">
        <f t="shared" si="4"/>
        <v>1.251456168285918</v>
      </c>
      <c r="G31" s="20">
        <f t="shared" si="4"/>
        <v>1.2573380122768616</v>
      </c>
      <c r="H31" s="20">
        <f t="shared" si="4"/>
        <v>1.2632475009345627</v>
      </c>
      <c r="I31" s="20">
        <f t="shared" si="4"/>
        <v>1.2691847641889551</v>
      </c>
      <c r="J31" s="20">
        <f t="shared" si="4"/>
        <v>1.2751499325806432</v>
      </c>
      <c r="K31" s="20">
        <f t="shared" si="4"/>
        <v>1.281143137263772</v>
      </c>
      <c r="L31" s="20">
        <f t="shared" si="4"/>
        <v>1.2871645100089117</v>
      </c>
      <c r="M31" s="20">
        <f t="shared" si="4"/>
        <v>1.2932141832059534</v>
      </c>
      <c r="N31" s="20">
        <f t="shared" si="4"/>
        <v>1.2992922898670214</v>
      </c>
      <c r="O31" s="20">
        <f t="shared" si="4"/>
        <v>1.3053989636293961</v>
      </c>
      <c r="P31" s="20">
        <f t="shared" si="4"/>
        <v>1.3115343387584542</v>
      </c>
      <c r="Q31" s="20">
        <f t="shared" si="4"/>
        <v>1.3176985501506189</v>
      </c>
      <c r="R31" s="20">
        <f t="shared" si="4"/>
        <v>1.3238917333363269</v>
      </c>
      <c r="S31" s="20">
        <f t="shared" si="4"/>
        <v>1.3115343387584542</v>
      </c>
      <c r="T31" s="20">
        <f t="shared" si="4"/>
        <v>1.3176985501506189</v>
      </c>
      <c r="U31" s="20">
        <f t="shared" si="4"/>
        <v>1.3238917333363269</v>
      </c>
      <c r="V31" s="20">
        <f t="shared" si="4"/>
        <v>1.3301140244830076</v>
      </c>
      <c r="W31" s="20">
        <f t="shared" si="4"/>
        <v>1.3363655603980775</v>
      </c>
      <c r="X31" s="20">
        <f t="shared" si="4"/>
        <v>1.3426464785319485</v>
      </c>
      <c r="Y31" s="20">
        <f t="shared" si="4"/>
        <v>1.3489569169810485</v>
      </c>
      <c r="Z31" s="20">
        <f t="shared" si="4"/>
        <v>1.3552970144908594</v>
      </c>
      <c r="AA31" s="20">
        <f t="shared" si="4"/>
        <v>1.3616669104589663</v>
      </c>
      <c r="AB31" s="20">
        <f t="shared" si="4"/>
        <v>1.3680667449381234</v>
      </c>
      <c r="AC31" s="20">
        <f t="shared" si="4"/>
        <v>1.3744966586393326</v>
      </c>
      <c r="AD31" s="20">
        <f t="shared" si="4"/>
        <v>1.3809567929349373</v>
      </c>
      <c r="AE31" s="20">
        <f t="shared" si="4"/>
        <v>1.3874472898617314</v>
      </c>
      <c r="AF31" s="20">
        <f t="shared" si="4"/>
        <v>1.3939682921240815</v>
      </c>
      <c r="AG31" s="20">
        <f t="shared" si="4"/>
        <v>1.4005199430970645</v>
      </c>
      <c r="AH31" s="20">
        <f t="shared" si="4"/>
        <v>1.4071023868296206</v>
      </c>
      <c r="AI31" s="20">
        <f t="shared" si="4"/>
        <v>1.4137157680477197</v>
      </c>
      <c r="AJ31" s="20">
        <f t="shared" si="4"/>
        <v>1.4203602321575439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customHeight="1" outlineLevel="1" x14ac:dyDescent="0.25">
      <c r="A33" s="172">
        <f>C33*1000000/$C$16</f>
        <v>13.723840992977548</v>
      </c>
      <c r="B33" s="173" t="s">
        <v>58</v>
      </c>
      <c r="C33" s="174">
        <f>SUMIF($D$15:$BG$15,1,D33:BG33)</f>
        <v>121.04777224405851</v>
      </c>
      <c r="D33" s="175">
        <v>-57.720435709561528</v>
      </c>
      <c r="E33" s="20">
        <v>-108.56431685148311</v>
      </c>
      <c r="F33" s="20">
        <v>-99.273165235027278</v>
      </c>
      <c r="G33" s="20">
        <v>8.6801800173650818</v>
      </c>
      <c r="H33" s="20">
        <v>8.9197264165028756</v>
      </c>
      <c r="I33" s="20">
        <v>9.1603986837166218</v>
      </c>
      <c r="J33" s="20">
        <v>9.4022021105862663</v>
      </c>
      <c r="K33" s="20">
        <v>9.6451420135622001</v>
      </c>
      <c r="L33" s="20">
        <v>9.8892237340821296</v>
      </c>
      <c r="M33" s="20">
        <v>10.134452638688479</v>
      </c>
      <c r="N33" s="20">
        <v>10.380834119146499</v>
      </c>
      <c r="O33" s="20">
        <v>10.628373592562653</v>
      </c>
      <c r="P33" s="20">
        <v>10.877076501503879</v>
      </c>
      <c r="Q33" s="20">
        <v>11.126948314117129</v>
      </c>
      <c r="R33" s="20">
        <v>11.377994524249658</v>
      </c>
      <c r="S33" s="20">
        <v>10.877076501503879</v>
      </c>
      <c r="T33" s="20">
        <v>11.126948314117129</v>
      </c>
      <c r="U33" s="20">
        <v>11.377994524249658</v>
      </c>
      <c r="V33" s="20">
        <v>11.630220651569807</v>
      </c>
      <c r="W33" s="20">
        <v>11.88363224168836</v>
      </c>
      <c r="X33" s="20">
        <v>12.13823486628047</v>
      </c>
      <c r="Y33" s="20">
        <v>12.394034123208165</v>
      </c>
      <c r="Z33" s="20">
        <v>12.651035636643428</v>
      </c>
      <c r="AA33" s="20">
        <v>12.909245057191832</v>
      </c>
      <c r="AB33" s="20">
        <v>13.16866806201682</v>
      </c>
      <c r="AC33" s="20">
        <v>13.429310354964464</v>
      </c>
      <c r="AD33" s="20">
        <v>13.691177666688979</v>
      </c>
      <c r="AE33" s="20">
        <v>13.954275754778592</v>
      </c>
      <c r="AF33" s="20">
        <v>14.218610403882231</v>
      </c>
      <c r="AG33" s="20">
        <v>14.484187425836652</v>
      </c>
      <c r="AH33" s="20">
        <v>14.751012659794263</v>
      </c>
      <c r="AI33" s="20">
        <v>15.019091972351475</v>
      </c>
      <c r="AJ33" s="20">
        <v>15.288431257677701</v>
      </c>
      <c r="AK33" s="20">
        <v>15.559036437644956</v>
      </c>
      <c r="AL33" s="20">
        <v>15.830913461958069</v>
      </c>
      <c r="AM33" s="20">
        <v>16.104068308285449</v>
      </c>
      <c r="AN33" s="20">
        <v>16.378506982390576</v>
      </c>
      <c r="AO33" s="20">
        <v>16.654235518263988</v>
      </c>
      <c r="AP33" s="20">
        <v>16.931259978256001</v>
      </c>
      <c r="AQ33" s="20">
        <v>17.209586453209987</v>
      </c>
      <c r="AR33" s="20">
        <v>17.489221062596243</v>
      </c>
      <c r="AS33" s="20">
        <v>17.770169954646619</v>
      </c>
      <c r="AT33" s="20">
        <v>18.052439306489624</v>
      </c>
      <c r="AU33" s="20">
        <v>18.336035324286307</v>
      </c>
      <c r="AV33" s="20">
        <v>18.620964243366629</v>
      </c>
      <c r="AW33" s="20">
        <v>18.907232328366639</v>
      </c>
      <c r="AX33" s="20">
        <v>19.194845873366134</v>
      </c>
      <c r="AY33" s="20">
        <v>19.483811202027134</v>
      </c>
      <c r="AZ33" s="20">
        <v>19.774134667732838</v>
      </c>
      <c r="BA33" s="20">
        <v>20.065822653727352</v>
      </c>
      <c r="BB33" s="20">
        <v>20.358881573256042</v>
      </c>
      <c r="BC33" s="20">
        <v>20.653317869706534</v>
      </c>
      <c r="BD33" s="20">
        <v>20.949138016750332</v>
      </c>
      <c r="BE33" s="20">
        <v>21.246348518485227</v>
      </c>
      <c r="BF33" s="20">
        <v>21.544955909578299</v>
      </c>
      <c r="BG33" s="20">
        <v>21.84496675540948</v>
      </c>
      <c r="BH33" s="20">
        <v>0</v>
      </c>
    </row>
    <row r="34" spans="1:60" ht="15" customHeight="1" outlineLevel="1" x14ac:dyDescent="0.25">
      <c r="A34" s="172">
        <f>C34*1000000/$C$16</f>
        <v>9.2736720622776811</v>
      </c>
      <c r="B34" s="176" t="s">
        <v>59</v>
      </c>
      <c r="C34" s="169">
        <f>SUMIF($D$15:$BG$15,1,D34:BG34)</f>
        <v>81.796149068987802</v>
      </c>
      <c r="D34" s="175">
        <f t="shared" ref="D34:AJ34" si="5">NPV($C$8,D33:D33)</f>
        <v>-52.659201842840595</v>
      </c>
      <c r="E34" s="20">
        <f t="shared" si="5"/>
        <v>-99.044821885593109</v>
      </c>
      <c r="F34" s="20">
        <f t="shared" si="5"/>
        <v>-90.568367709376034</v>
      </c>
      <c r="G34" s="20">
        <f t="shared" si="5"/>
        <v>7.9190558066231151</v>
      </c>
      <c r="H34" s="20">
        <f t="shared" si="5"/>
        <v>8.1375975072851769</v>
      </c>
      <c r="I34" s="20">
        <f t="shared" si="5"/>
        <v>8.3571663539403538</v>
      </c>
      <c r="J34" s="20">
        <f t="shared" si="5"/>
        <v>8.5777671741748041</v>
      </c>
      <c r="K34" s="20">
        <f t="shared" si="5"/>
        <v>8.7994048182643585</v>
      </c>
      <c r="L34" s="20">
        <f t="shared" si="5"/>
        <v>9.0220841592811425</v>
      </c>
      <c r="M34" s="20">
        <f t="shared" si="5"/>
        <v>9.2458100932006833</v>
      </c>
      <c r="N34" s="20">
        <f t="shared" si="5"/>
        <v>9.4705875390096637</v>
      </c>
      <c r="O34" s="20">
        <f t="shared" si="5"/>
        <v>9.69642143881393</v>
      </c>
      <c r="P34" s="20">
        <f t="shared" si="5"/>
        <v>9.9233167579472923</v>
      </c>
      <c r="Q34" s="20">
        <f t="shared" si="5"/>
        <v>10.15127848508058</v>
      </c>
      <c r="R34" s="20">
        <f t="shared" si="5"/>
        <v>10.380311632331392</v>
      </c>
      <c r="S34" s="20">
        <f t="shared" si="5"/>
        <v>9.9233167579472923</v>
      </c>
      <c r="T34" s="20">
        <f t="shared" si="5"/>
        <v>10.15127848508058</v>
      </c>
      <c r="U34" s="20">
        <f t="shared" si="5"/>
        <v>10.380311632331392</v>
      </c>
      <c r="V34" s="20">
        <f t="shared" si="5"/>
        <v>10.610421235374281</v>
      </c>
      <c r="W34" s="20">
        <f t="shared" si="5"/>
        <v>10.841612353551469</v>
      </c>
      <c r="X34" s="20">
        <f t="shared" si="5"/>
        <v>11.07389006998409</v>
      </c>
      <c r="Y34" s="20">
        <f t="shared" si="5"/>
        <v>11.307259491683947</v>
      </c>
      <c r="Z34" s="20">
        <f t="shared" si="5"/>
        <v>11.541725749665801</v>
      </c>
      <c r="AA34" s="20">
        <f t="shared" si="5"/>
        <v>11.777293999060165</v>
      </c>
      <c r="AB34" s="20">
        <f t="shared" si="5"/>
        <v>12.013969419226687</v>
      </c>
      <c r="AC34" s="20">
        <f t="shared" si="5"/>
        <v>12.251757213867974</v>
      </c>
      <c r="AD34" s="20">
        <f t="shared" si="5"/>
        <v>12.490662611144089</v>
      </c>
      <c r="AE34" s="20">
        <f t="shared" si="5"/>
        <v>12.730690863787396</v>
      </c>
      <c r="AF34" s="20">
        <f t="shared" si="5"/>
        <v>12.971847249218129</v>
      </c>
      <c r="AG34" s="20">
        <f t="shared" si="5"/>
        <v>13.214137069660385</v>
      </c>
      <c r="AH34" s="20">
        <f t="shared" si="5"/>
        <v>13.457565652258722</v>
      </c>
      <c r="AI34" s="20">
        <f t="shared" si="5"/>
        <v>13.702138349195272</v>
      </c>
      <c r="AJ34" s="20">
        <f t="shared" si="5"/>
        <v>13.947860537807419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customHeight="1" outlineLevel="1" x14ac:dyDescent="0.25">
      <c r="A36" s="172">
        <f>C36*1000000/$C$16</f>
        <v>14.902736930786624</v>
      </c>
      <c r="B36" s="178" t="s">
        <v>60</v>
      </c>
      <c r="C36" s="174">
        <f>SUMIF($D$15:$BG$15,1,D36:BG36)</f>
        <v>131.44593461364434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2.9512612059041281</v>
      </c>
      <c r="H36" s="20">
        <f t="shared" si="6"/>
        <v>3.032706981610978</v>
      </c>
      <c r="I36" s="20">
        <f t="shared" si="6"/>
        <v>3.1145355524636518</v>
      </c>
      <c r="J36" s="20">
        <f t="shared" si="6"/>
        <v>3.196748717599331</v>
      </c>
      <c r="K36" s="20">
        <f t="shared" si="6"/>
        <v>3.2793482846111481</v>
      </c>
      <c r="L36" s="20">
        <f t="shared" si="6"/>
        <v>3.3623360695879243</v>
      </c>
      <c r="M36" s="20">
        <f t="shared" si="6"/>
        <v>3.445713897154083</v>
      </c>
      <c r="N36" s="20">
        <f t="shared" si="6"/>
        <v>3.5294836005098098</v>
      </c>
      <c r="O36" s="20">
        <f t="shared" si="6"/>
        <v>3.6136470214713023</v>
      </c>
      <c r="P36" s="20">
        <f>IF(P33&gt;0,P33*0.34,0)</f>
        <v>3.6982060105113193</v>
      </c>
      <c r="Q36" s="20">
        <f>IF(Q33&gt;0,Q33*0.34,0)</f>
        <v>3.7831624267998243</v>
      </c>
      <c r="R36" s="20">
        <f>IF(R33&gt;0,R33*0.34,0)</f>
        <v>3.8685181382448839</v>
      </c>
      <c r="S36" s="20">
        <f t="shared" si="6"/>
        <v>3.6982060105113193</v>
      </c>
      <c r="T36" s="20">
        <f t="shared" si="6"/>
        <v>3.7831624267998243</v>
      </c>
      <c r="U36" s="20">
        <f t="shared" si="6"/>
        <v>3.8685181382448839</v>
      </c>
      <c r="V36" s="20">
        <f t="shared" si="6"/>
        <v>3.9542750215337348</v>
      </c>
      <c r="W36" s="20">
        <f t="shared" si="6"/>
        <v>4.040434962174043</v>
      </c>
      <c r="X36" s="20">
        <f t="shared" si="6"/>
        <v>4.1269998545353603</v>
      </c>
      <c r="Y36" s="20">
        <f t="shared" si="6"/>
        <v>4.2139716018907762</v>
      </c>
      <c r="Z36" s="20">
        <f t="shared" si="6"/>
        <v>4.3013521164587658</v>
      </c>
      <c r="AA36" s="20">
        <f t="shared" si="6"/>
        <v>4.389143319445223</v>
      </c>
      <c r="AB36" s="20">
        <f t="shared" si="6"/>
        <v>4.4773471410857191</v>
      </c>
      <c r="AC36" s="20">
        <f t="shared" si="6"/>
        <v>4.5659655206879179</v>
      </c>
      <c r="AD36" s="20">
        <f t="shared" si="6"/>
        <v>4.6550004066742536</v>
      </c>
      <c r="AE36" s="20">
        <f t="shared" si="6"/>
        <v>4.744453756624722</v>
      </c>
      <c r="AF36" s="20">
        <f t="shared" si="6"/>
        <v>4.8343275373199592</v>
      </c>
      <c r="AG36" s="20">
        <f t="shared" si="6"/>
        <v>4.9246237247844622</v>
      </c>
      <c r="AH36" s="20">
        <f t="shared" si="6"/>
        <v>5.0153443043300499</v>
      </c>
      <c r="AI36" s="20">
        <f t="shared" si="6"/>
        <v>5.106491270599502</v>
      </c>
      <c r="AJ36" s="20">
        <f t="shared" si="6"/>
        <v>5.1980666276104186</v>
      </c>
      <c r="AK36" s="20">
        <f t="shared" si="6"/>
        <v>5.2900723887992855</v>
      </c>
      <c r="AL36" s="20">
        <f t="shared" si="6"/>
        <v>5.3825105770657435</v>
      </c>
      <c r="AM36" s="20">
        <f t="shared" si="6"/>
        <v>5.4753832248170529</v>
      </c>
      <c r="AN36" s="20">
        <f t="shared" si="6"/>
        <v>5.5686923740127963</v>
      </c>
      <c r="AO36" s="20">
        <f t="shared" si="6"/>
        <v>5.662440076209756</v>
      </c>
      <c r="AP36" s="20">
        <f t="shared" si="6"/>
        <v>5.7566283926070412</v>
      </c>
      <c r="AQ36" s="20">
        <f t="shared" si="6"/>
        <v>5.8512593940913957</v>
      </c>
      <c r="AR36" s="20">
        <f t="shared" si="6"/>
        <v>5.9463351612827235</v>
      </c>
      <c r="AS36" s="20">
        <f t="shared" si="6"/>
        <v>6.0418577845798511</v>
      </c>
      <c r="AT36" s="20">
        <f t="shared" si="6"/>
        <v>6.137829364206473</v>
      </c>
      <c r="AU36" s="20">
        <f t="shared" si="6"/>
        <v>6.2342520102573449</v>
      </c>
      <c r="AV36" s="20">
        <f t="shared" si="6"/>
        <v>6.331127842744654</v>
      </c>
      <c r="AW36" s="20">
        <f t="shared" si="6"/>
        <v>6.4284589916446579</v>
      </c>
      <c r="AX36" s="20">
        <f t="shared" si="6"/>
        <v>6.5262475969444864</v>
      </c>
      <c r="AY36" s="20">
        <f t="shared" si="6"/>
        <v>6.6244958086892263</v>
      </c>
      <c r="AZ36" s="20">
        <f t="shared" si="6"/>
        <v>6.7232057870291655</v>
      </c>
      <c r="BA36" s="20">
        <f t="shared" si="6"/>
        <v>6.8223797022673001</v>
      </c>
      <c r="BB36" s="20">
        <f t="shared" si="6"/>
        <v>6.9220197349070549</v>
      </c>
      <c r="BC36" s="20">
        <f t="shared" si="6"/>
        <v>7.0221280757002216</v>
      </c>
      <c r="BD36" s="20">
        <f t="shared" si="6"/>
        <v>7.1227069256951134</v>
      </c>
      <c r="BE36" s="20">
        <f t="shared" si="6"/>
        <v>7.2237584962849777</v>
      </c>
      <c r="BF36" s="20">
        <f t="shared" si="6"/>
        <v>7.3252850092566222</v>
      </c>
      <c r="BG36" s="20">
        <f t="shared" si="6"/>
        <v>7.4272886968392235</v>
      </c>
      <c r="BH36" s="20">
        <f>BH33*0.34</f>
        <v>0</v>
      </c>
    </row>
    <row r="37" spans="1:60" ht="15" customHeight="1" outlineLevel="1" x14ac:dyDescent="0.25">
      <c r="A37" s="172">
        <f>C37*1000000/$C$16</f>
        <v>12.492077408936897</v>
      </c>
      <c r="B37" s="176" t="s">
        <v>61</v>
      </c>
      <c r="C37" s="169">
        <f>SUMIF($D$15:$BG$15,1,D37:BG37)</f>
        <v>110.18330377231118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2.6924789742518596</v>
      </c>
      <c r="H37" s="20">
        <f t="shared" si="7"/>
        <v>2.7667831524769602</v>
      </c>
      <c r="I37" s="20">
        <f t="shared" si="7"/>
        <v>2.8414365603397207</v>
      </c>
      <c r="J37" s="20">
        <f t="shared" si="7"/>
        <v>2.9164408392194336</v>
      </c>
      <c r="K37" s="20">
        <f t="shared" si="7"/>
        <v>2.9917976382098819</v>
      </c>
      <c r="L37" s="20">
        <f t="shared" si="7"/>
        <v>3.0675086141555887</v>
      </c>
      <c r="M37" s="20">
        <f t="shared" si="7"/>
        <v>3.1435754316882325</v>
      </c>
      <c r="N37" s="20">
        <f t="shared" si="7"/>
        <v>3.219999763263286</v>
      </c>
      <c r="O37" s="20">
        <f t="shared" si="7"/>
        <v>3.2967832891967368</v>
      </c>
      <c r="P37" s="20">
        <f t="shared" si="7"/>
        <v>3.3739276977020798</v>
      </c>
      <c r="Q37" s="20">
        <f t="shared" si="7"/>
        <v>3.4514346849273978</v>
      </c>
      <c r="R37" s="20">
        <f t="shared" si="7"/>
        <v>3.5293059549926733</v>
      </c>
      <c r="S37" s="20">
        <f t="shared" si="7"/>
        <v>3.3739276977020798</v>
      </c>
      <c r="T37" s="20">
        <f t="shared" si="7"/>
        <v>3.4514346849273978</v>
      </c>
      <c r="U37" s="20">
        <f t="shared" si="7"/>
        <v>3.5293059549926733</v>
      </c>
      <c r="V37" s="20">
        <f t="shared" si="7"/>
        <v>3.6075432200272557</v>
      </c>
      <c r="W37" s="20">
        <f t="shared" si="7"/>
        <v>3.6861482002075001</v>
      </c>
      <c r="X37" s="20">
        <f t="shared" si="7"/>
        <v>3.7651226237945914</v>
      </c>
      <c r="Y37" s="20">
        <f t="shared" si="7"/>
        <v>3.8444682271725421</v>
      </c>
      <c r="Z37" s="20">
        <f t="shared" si="7"/>
        <v>3.9241867548863723</v>
      </c>
      <c r="AA37" s="20">
        <f t="shared" si="7"/>
        <v>4.0042799596804555</v>
      </c>
      <c r="AB37" s="20">
        <f t="shared" si="7"/>
        <v>4.084749602537074</v>
      </c>
      <c r="AC37" s="20">
        <f t="shared" si="7"/>
        <v>4.1655974527151107</v>
      </c>
      <c r="AD37" s="20">
        <f t="shared" si="7"/>
        <v>4.2468252877889912</v>
      </c>
      <c r="AE37" s="20">
        <f t="shared" si="7"/>
        <v>4.3284348936877155</v>
      </c>
      <c r="AF37" s="20">
        <f t="shared" si="7"/>
        <v>4.4104280647341652</v>
      </c>
      <c r="AG37" s="20">
        <f t="shared" si="7"/>
        <v>4.4928066036845316</v>
      </c>
      <c r="AH37" s="20">
        <f t="shared" si="7"/>
        <v>4.5755723217679662</v>
      </c>
      <c r="AI37" s="20">
        <f t="shared" si="7"/>
        <v>4.6587270387263926</v>
      </c>
      <c r="AJ37" s="20">
        <f t="shared" si="7"/>
        <v>4.7422725828545227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customHeight="1" outlineLevel="1" x14ac:dyDescent="0.25">
      <c r="A39" s="172">
        <f>C39*1000000/$C$16</f>
        <v>-1.1788959378090853</v>
      </c>
      <c r="B39" s="173" t="s">
        <v>62</v>
      </c>
      <c r="C39" s="174">
        <f>SUMIF($D$15:$BG$15,1,D39:BG39)</f>
        <v>-10.398162369585927</v>
      </c>
      <c r="D39" s="175">
        <v>-57.720435709561528</v>
      </c>
      <c r="E39" s="20">
        <v>-108.56431685148311</v>
      </c>
      <c r="F39" s="20">
        <v>-99.273165235027278</v>
      </c>
      <c r="G39" s="20">
        <v>5.7289188114609546</v>
      </c>
      <c r="H39" s="20">
        <v>5.8870194348918981</v>
      </c>
      <c r="I39" s="20">
        <v>6.0458631312529709</v>
      </c>
      <c r="J39" s="20">
        <v>6.2054533929869358</v>
      </c>
      <c r="K39" s="20">
        <v>6.3657937289510524</v>
      </c>
      <c r="L39" s="20">
        <v>6.5268876644942058</v>
      </c>
      <c r="M39" s="20">
        <v>6.6887387415343964</v>
      </c>
      <c r="N39" s="20">
        <v>6.8513505186366901</v>
      </c>
      <c r="O39" s="20">
        <v>7.0147265710913516</v>
      </c>
      <c r="P39" s="20">
        <v>7.1788704909925602</v>
      </c>
      <c r="Q39" s="20">
        <v>7.3437858873173054</v>
      </c>
      <c r="R39" s="20">
        <v>7.5094763860047751</v>
      </c>
      <c r="S39" s="20">
        <v>7.1788704909925602</v>
      </c>
      <c r="T39" s="20">
        <v>7.3437858873173054</v>
      </c>
      <c r="U39" s="20">
        <v>7.5094763860047751</v>
      </c>
      <c r="V39" s="20">
        <v>7.6759456300360736</v>
      </c>
      <c r="W39" s="20">
        <v>7.8431972795143183</v>
      </c>
      <c r="X39" s="20">
        <v>8.0112350117451108</v>
      </c>
      <c r="Y39" s="20">
        <v>8.1800625213173888</v>
      </c>
      <c r="Z39" s="20">
        <v>8.3496835201846622</v>
      </c>
      <c r="AA39" s="20">
        <v>8.5201017377466091</v>
      </c>
      <c r="AB39" s="20">
        <v>8.6913209209311013</v>
      </c>
      <c r="AC39" s="20">
        <v>8.8633448342765462</v>
      </c>
      <c r="AD39" s="20">
        <v>9.0361772600147265</v>
      </c>
      <c r="AE39" s="20">
        <v>9.2098219981538723</v>
      </c>
      <c r="AF39" s="20">
        <v>9.3842828665622733</v>
      </c>
      <c r="AG39" s="20">
        <v>9.5595637010521912</v>
      </c>
      <c r="AH39" s="20">
        <v>9.7356683554642132</v>
      </c>
      <c r="AI39" s="20">
        <v>9.9126007017519751</v>
      </c>
      <c r="AJ39" s="20">
        <v>10.090364630067283</v>
      </c>
      <c r="AK39" s="20">
        <v>10.268964048845671</v>
      </c>
      <c r="AL39" s="20">
        <v>10.448402884892326</v>
      </c>
      <c r="AM39" s="20">
        <v>10.628685083468396</v>
      </c>
      <c r="AN39" s="20">
        <v>10.809814608377781</v>
      </c>
      <c r="AO39" s="20">
        <v>10.991795442054233</v>
      </c>
      <c r="AP39" s="20">
        <v>11.174631585648962</v>
      </c>
      <c r="AQ39" s="20">
        <v>11.358327059118592</v>
      </c>
      <c r="AR39" s="20">
        <v>11.542885901313522</v>
      </c>
      <c r="AS39" s="20">
        <v>11.728312170066769</v>
      </c>
      <c r="AT39" s="20">
        <v>11.914609942283153</v>
      </c>
      <c r="AU39" s="20">
        <v>12.101783314028964</v>
      </c>
      <c r="AV39" s="20">
        <v>12.289836400621976</v>
      </c>
      <c r="AW39" s="20">
        <v>12.478773336721982</v>
      </c>
      <c r="AX39" s="20">
        <v>12.668598276421649</v>
      </c>
      <c r="AY39" s="20">
        <v>12.859315393337909</v>
      </c>
      <c r="AZ39" s="20">
        <v>13.050928880703674</v>
      </c>
      <c r="BA39" s="20">
        <v>13.243442951460054</v>
      </c>
      <c r="BB39" s="20">
        <v>13.436861838348989</v>
      </c>
      <c r="BC39" s="20">
        <v>13.631189794006312</v>
      </c>
      <c r="BD39" s="20">
        <v>13.82643109105522</v>
      </c>
      <c r="BE39" s="20">
        <v>14.022590022200252</v>
      </c>
      <c r="BF39" s="20">
        <v>14.219670900321677</v>
      </c>
      <c r="BG39" s="20">
        <v>14.417678058570258</v>
      </c>
      <c r="BH39" s="20">
        <v>0</v>
      </c>
    </row>
    <row r="40" spans="1:60" ht="15" customHeight="1" outlineLevel="1" x14ac:dyDescent="0.25">
      <c r="A40" s="172">
        <f>C40*1000000/$C$16</f>
        <v>-2.1562447619146194</v>
      </c>
      <c r="B40" s="176" t="s">
        <v>63</v>
      </c>
      <c r="C40" s="169">
        <f>SUMIF($D$15:$BG$15,1,D40:BG40)</f>
        <v>-19.018627873657412</v>
      </c>
      <c r="D40" s="175">
        <f t="shared" ref="D40:AK40" si="8">NPV($C$8,D39:D39)</f>
        <v>-52.659201842840595</v>
      </c>
      <c r="E40" s="20">
        <f t="shared" si="8"/>
        <v>-99.044821885593109</v>
      </c>
      <c r="F40" s="20">
        <f t="shared" si="8"/>
        <v>-90.568367709376034</v>
      </c>
      <c r="G40" s="20">
        <f t="shared" si="8"/>
        <v>5.2265768323712569</v>
      </c>
      <c r="H40" s="20">
        <f t="shared" si="8"/>
        <v>5.3708143548082168</v>
      </c>
      <c r="I40" s="20">
        <f t="shared" si="8"/>
        <v>5.5157297936006335</v>
      </c>
      <c r="J40" s="20">
        <f t="shared" si="8"/>
        <v>5.6613263349553709</v>
      </c>
      <c r="K40" s="20">
        <f t="shared" si="8"/>
        <v>5.8076071800544771</v>
      </c>
      <c r="L40" s="20">
        <f t="shared" si="8"/>
        <v>5.9545755451255538</v>
      </c>
      <c r="M40" s="20">
        <f t="shared" si="8"/>
        <v>6.1022346615124512</v>
      </c>
      <c r="N40" s="20">
        <f t="shared" si="8"/>
        <v>6.2505877757463795</v>
      </c>
      <c r="O40" s="20">
        <f t="shared" si="8"/>
        <v>6.3996381496171946</v>
      </c>
      <c r="P40" s="20">
        <f t="shared" si="8"/>
        <v>6.5493890602452129</v>
      </c>
      <c r="Q40" s="20">
        <f t="shared" si="8"/>
        <v>6.6998438001531833</v>
      </c>
      <c r="R40" s="20">
        <f t="shared" si="8"/>
        <v>6.8510056773387191</v>
      </c>
      <c r="S40" s="20">
        <f t="shared" si="8"/>
        <v>6.5493890602452129</v>
      </c>
      <c r="T40" s="20">
        <f t="shared" si="8"/>
        <v>6.6998438001531833</v>
      </c>
      <c r="U40" s="20">
        <f t="shared" si="8"/>
        <v>6.8510056773387191</v>
      </c>
      <c r="V40" s="20">
        <f t="shared" si="8"/>
        <v>7.0028780153470258</v>
      </c>
      <c r="W40" s="20">
        <f t="shared" si="8"/>
        <v>7.1554641533439698</v>
      </c>
      <c r="X40" s="20">
        <f t="shared" si="8"/>
        <v>7.3087674461895</v>
      </c>
      <c r="Y40" s="20">
        <f t="shared" si="8"/>
        <v>7.462791264511405</v>
      </c>
      <c r="Z40" s="20">
        <f t="shared" si="8"/>
        <v>7.6175389947794283</v>
      </c>
      <c r="AA40" s="20">
        <f t="shared" si="8"/>
        <v>7.7730140393797083</v>
      </c>
      <c r="AB40" s="20">
        <f t="shared" si="8"/>
        <v>7.9292198166896135</v>
      </c>
      <c r="AC40" s="20">
        <f t="shared" si="8"/>
        <v>8.0861597611528619</v>
      </c>
      <c r="AD40" s="20">
        <f t="shared" si="8"/>
        <v>8.2438373233550983</v>
      </c>
      <c r="AE40" s="20">
        <f t="shared" si="8"/>
        <v>8.4022559700996826</v>
      </c>
      <c r="AF40" s="20">
        <f t="shared" si="8"/>
        <v>8.5614191844839667</v>
      </c>
      <c r="AG40" s="20">
        <f t="shared" si="8"/>
        <v>8.7213304659758553</v>
      </c>
      <c r="AH40" s="20">
        <f t="shared" si="8"/>
        <v>8.8819933304907561</v>
      </c>
      <c r="AI40" s="20">
        <f t="shared" si="8"/>
        <v>9.0434113104688798</v>
      </c>
      <c r="AJ40" s="20">
        <f t="shared" si="8"/>
        <v>9.2055879549528967</v>
      </c>
      <c r="AK40" s="20">
        <f t="shared" si="8"/>
        <v>9.3685268296659849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customHeight="1" outlineLevel="1" x14ac:dyDescent="0.25">
      <c r="A42" s="172">
        <f>A24+A27+A30</f>
        <v>214.42351396461589</v>
      </c>
      <c r="B42" s="141" t="s">
        <v>64</v>
      </c>
      <c r="C42" s="169"/>
      <c r="D42" s="175">
        <v>-57.720435709561528</v>
      </c>
      <c r="E42" s="20">
        <v>-166.28475256104463</v>
      </c>
      <c r="F42" s="20">
        <v>-265.55791779607193</v>
      </c>
      <c r="G42" s="20">
        <v>-259.82899898461096</v>
      </c>
      <c r="H42" s="20">
        <v>-253.94197954971906</v>
      </c>
      <c r="I42" s="20">
        <v>-247.89611641846611</v>
      </c>
      <c r="J42" s="20">
        <v>-241.69066302547918</v>
      </c>
      <c r="K42" s="20">
        <v>-235.32486929652814</v>
      </c>
      <c r="L42" s="20">
        <v>-228.79798163203392</v>
      </c>
      <c r="M42" s="20">
        <v>-222.10924289049953</v>
      </c>
      <c r="N42" s="20">
        <v>-215.25789237186285</v>
      </c>
      <c r="O42" s="20">
        <v>-208.24316580077149</v>
      </c>
      <c r="P42" s="20">
        <v>-201.06429530977894</v>
      </c>
      <c r="Q42" s="20">
        <v>-193.72050942246165</v>
      </c>
      <c r="R42" s="20">
        <v>-186.21103303645688</v>
      </c>
      <c r="S42" s="20">
        <v>-201.06429530977894</v>
      </c>
      <c r="T42" s="20">
        <v>-193.72050942246165</v>
      </c>
      <c r="U42" s="20">
        <v>-186.21103303645688</v>
      </c>
      <c r="V42" s="20">
        <v>-178.53508740642081</v>
      </c>
      <c r="W42" s="20">
        <v>-170.69189012690649</v>
      </c>
      <c r="X42" s="20">
        <v>-162.68065511516139</v>
      </c>
      <c r="Y42" s="20">
        <v>-154.500592593844</v>
      </c>
      <c r="Z42" s="20">
        <v>-146.15090907365934</v>
      </c>
      <c r="AA42" s="20">
        <v>-137.63080733591272</v>
      </c>
      <c r="AB42" s="20">
        <v>-128.93948641498162</v>
      </c>
      <c r="AC42" s="20">
        <v>-120.07614158070507</v>
      </c>
      <c r="AD42" s="20">
        <v>-111.03996432069034</v>
      </c>
      <c r="AE42" s="20">
        <v>-101.83014232253647</v>
      </c>
      <c r="AF42" s="20">
        <v>-92.445859455974201</v>
      </c>
      <c r="AG42" s="20">
        <v>-82.886295754922003</v>
      </c>
      <c r="AH42" s="20">
        <v>-73.15062739945779</v>
      </c>
      <c r="AI42" s="20">
        <v>-63.238026697705813</v>
      </c>
      <c r="AJ42" s="20">
        <v>-53.147662067638528</v>
      </c>
      <c r="AK42" s="20">
        <v>-42.878698018792861</v>
      </c>
      <c r="AL42" s="20">
        <v>-32.430295133900536</v>
      </c>
      <c r="AM42" s="20">
        <v>-21.801610050432139</v>
      </c>
      <c r="AN42" s="20">
        <v>-10.991795442054357</v>
      </c>
      <c r="AO42" s="20">
        <v>-1.2434497875801753E-13</v>
      </c>
      <c r="AP42" s="20">
        <v>11.174631585648838</v>
      </c>
      <c r="AQ42" s="20">
        <v>22.532958644767429</v>
      </c>
      <c r="AR42" s="20">
        <v>34.075844546080951</v>
      </c>
      <c r="AS42" s="20">
        <v>45.804156716147716</v>
      </c>
      <c r="AT42" s="20">
        <v>57.718766658430866</v>
      </c>
      <c r="AU42" s="20">
        <v>69.82054997245983</v>
      </c>
      <c r="AV42" s="20">
        <v>82.110386373081809</v>
      </c>
      <c r="AW42" s="20">
        <v>94.589159709803795</v>
      </c>
      <c r="AX42" s="20">
        <v>107.25775798622544</v>
      </c>
      <c r="AY42" s="20">
        <v>120.11707337956335</v>
      </c>
      <c r="AZ42" s="20">
        <v>133.16800226026703</v>
      </c>
      <c r="BA42" s="20">
        <v>146.41144521172708</v>
      </c>
      <c r="BB42" s="20">
        <v>159.84830705007607</v>
      </c>
      <c r="BC42" s="20">
        <v>173.47949684408238</v>
      </c>
      <c r="BD42" s="20">
        <v>187.30592793513759</v>
      </c>
      <c r="BE42" s="20">
        <v>201.32851795733785</v>
      </c>
      <c r="BF42" s="20">
        <v>215.54818885765954</v>
      </c>
      <c r="BG42" s="20">
        <v>229.9658669162298</v>
      </c>
      <c r="BH42" s="20">
        <v>0</v>
      </c>
    </row>
    <row r="43" spans="1:60" ht="15" customHeight="1" outlineLevel="1" x14ac:dyDescent="0.25">
      <c r="A43" s="172">
        <f>A18+A21+A36</f>
        <v>215.60240990242494</v>
      </c>
      <c r="B43" s="141" t="s">
        <v>65</v>
      </c>
      <c r="C43" s="177">
        <v>35</v>
      </c>
      <c r="D43" s="164" t="s">
        <v>3</v>
      </c>
    </row>
    <row r="44" spans="1:60" ht="15" customHeight="1" outlineLevel="1" x14ac:dyDescent="0.25">
      <c r="A44" s="172">
        <f>A42-A43</f>
        <v>-1.1788959378090453</v>
      </c>
      <c r="B44" s="141" t="s">
        <v>45</v>
      </c>
      <c r="C44" s="1"/>
      <c r="F44" s="179"/>
      <c r="G44" s="179"/>
    </row>
    <row r="45" spans="1:60" ht="15" customHeight="1" outlineLevel="1" x14ac:dyDescent="0.25">
      <c r="A45" s="172"/>
      <c r="C45" s="54"/>
      <c r="F45" s="179"/>
      <c r="G45" s="179"/>
    </row>
    <row r="46" spans="1:60" ht="15" customHeight="1" outlineLevel="1" x14ac:dyDescent="0.25">
      <c r="B46" s="180" t="s">
        <v>66</v>
      </c>
      <c r="C46" s="174">
        <f>F46*$C$16/1000000</f>
        <v>1840.1290062899604</v>
      </c>
      <c r="D46" s="181" t="s">
        <v>67</v>
      </c>
      <c r="E46" s="181"/>
      <c r="F46" s="182">
        <f>A27</f>
        <v>208.62538335668336</v>
      </c>
      <c r="G46" s="181" t="s">
        <v>8</v>
      </c>
      <c r="H46" s="181"/>
    </row>
    <row r="47" spans="1:60" ht="15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customHeight="1" outlineLevel="1" thickBot="1" x14ac:dyDescent="0.3">
      <c r="B48" s="180" t="s">
        <v>69</v>
      </c>
      <c r="C48" s="174">
        <f>F48*$C$16/1000000</f>
        <v>51.140988417853002</v>
      </c>
      <c r="D48" s="181" t="s">
        <v>67</v>
      </c>
      <c r="E48" s="181"/>
      <c r="F48" s="182">
        <f>A30</f>
        <v>5.7981306079325279</v>
      </c>
      <c r="G48" s="181" t="s">
        <v>8</v>
      </c>
      <c r="H48" s="181"/>
    </row>
    <row r="49" spans="1:8" s="155" customFormat="1" ht="15" customHeight="1" outlineLevel="1" thickTop="1" x14ac:dyDescent="0.25">
      <c r="B49" s="187" t="s">
        <v>70</v>
      </c>
      <c r="C49" s="188">
        <f>C46+C47+C48</f>
        <v>1891.2699947078133</v>
      </c>
      <c r="D49" s="189" t="s">
        <v>67</v>
      </c>
      <c r="E49" s="189"/>
      <c r="F49" s="190">
        <f>F46+F47+F48</f>
        <v>214.42351396461589</v>
      </c>
      <c r="G49" s="189" t="s">
        <v>8</v>
      </c>
      <c r="H49" s="189"/>
    </row>
    <row r="50" spans="1:8" ht="15" customHeight="1" outlineLevel="1" x14ac:dyDescent="0.25">
      <c r="B50" s="183" t="s">
        <v>71</v>
      </c>
      <c r="C50" s="184">
        <f>F50*$C$16/1000000</f>
        <v>1770.2222224637546</v>
      </c>
      <c r="D50" s="185" t="s">
        <v>67</v>
      </c>
      <c r="E50" s="185"/>
      <c r="F50" s="186">
        <f>A18+A21</f>
        <v>200.69967297163831</v>
      </c>
      <c r="G50" s="185" t="s">
        <v>8</v>
      </c>
      <c r="H50" s="185"/>
    </row>
    <row r="51" spans="1:8" ht="15" customHeight="1" outlineLevel="1" x14ac:dyDescent="0.25">
      <c r="B51" s="180" t="s">
        <v>72</v>
      </c>
      <c r="C51" s="191">
        <f>F51*$C$16/1000000</f>
        <v>131.44593461364434</v>
      </c>
      <c r="D51" s="181" t="s">
        <v>67</v>
      </c>
      <c r="E51" s="181"/>
      <c r="F51" s="192">
        <f>A36</f>
        <v>14.902736930786624</v>
      </c>
      <c r="G51" s="181" t="s">
        <v>8</v>
      </c>
      <c r="H51" s="181"/>
    </row>
    <row r="52" spans="1:8" s="164" customFormat="1" ht="15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customHeight="1" outlineLevel="1" thickTop="1" x14ac:dyDescent="0.25">
      <c r="B53" s="196" t="s">
        <v>73</v>
      </c>
      <c r="C53" s="197">
        <f>C49-C50-C51</f>
        <v>-10.398162369585634</v>
      </c>
      <c r="D53" s="198" t="s">
        <v>67</v>
      </c>
      <c r="E53" s="198"/>
      <c r="F53" s="199">
        <f>F49-F50-F51</f>
        <v>-1.1788959378090382</v>
      </c>
      <c r="G53" s="198" t="s">
        <v>8</v>
      </c>
      <c r="H53" s="198"/>
    </row>
    <row r="54" spans="1:8" ht="15" customHeight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13067787.969872089</v>
      </c>
      <c r="D57" s="207" t="s">
        <v>9</v>
      </c>
      <c r="E57" s="207"/>
      <c r="F57" s="208">
        <v>55.756038073578374</v>
      </c>
      <c r="G57" s="207" t="s">
        <v>8</v>
      </c>
      <c r="H57" s="56">
        <f>F57/$F$99</f>
        <v>0.23318913838843405</v>
      </c>
    </row>
    <row r="58" spans="1:8" s="164" customFormat="1" ht="15" hidden="1" customHeight="1" outlineLevel="1" x14ac:dyDescent="0.25">
      <c r="B58" s="209" t="s">
        <v>76</v>
      </c>
      <c r="C58" s="210">
        <v>143626.68309600002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90.984402676329893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0.32563971303108158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5172183.6287571834</v>
      </c>
      <c r="D78" s="181" t="s">
        <v>9</v>
      </c>
      <c r="E78" s="181"/>
      <c r="F78" s="192">
        <v>22.068039976879653</v>
      </c>
      <c r="G78" s="181" t="s">
        <v>8</v>
      </c>
      <c r="H78" s="61">
        <f>F78/$F$99</f>
        <v>9.2295424960775321E-2</v>
      </c>
    </row>
    <row r="79" spans="2:8" ht="15" hidden="1" customHeight="1" outlineLevel="1" x14ac:dyDescent="0.25">
      <c r="B79" s="180" t="s">
        <v>81</v>
      </c>
      <c r="C79" s="219">
        <v>7241057.0802600561</v>
      </c>
      <c r="D79" s="181" t="s">
        <v>9</v>
      </c>
      <c r="E79" s="181"/>
      <c r="F79" s="192">
        <v>30.895255967631513</v>
      </c>
      <c r="G79" s="181" t="s">
        <v>8</v>
      </c>
      <c r="H79" s="61">
        <f>F79/$F$99</f>
        <v>0.12921359494508544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2930342.9989124476</v>
      </c>
      <c r="D81" s="226" t="s">
        <v>9</v>
      </c>
      <c r="E81" s="226"/>
      <c r="F81" s="227">
        <v>12.50282880260151</v>
      </c>
      <c r="G81" s="226" t="s">
        <v>8</v>
      </c>
      <c r="H81" s="62">
        <f>F81/$F$99</f>
        <v>5.2290728979868972E-2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243.29490770458699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84.65608770998864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6.2323390053795526E-3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9030142.1983278207</v>
      </c>
      <c r="D92" s="226" t="s">
        <v>9</v>
      </c>
      <c r="E92" s="234"/>
      <c r="F92" s="235">
        <v>38.528705346351053</v>
      </c>
      <c r="G92" s="234" t="s">
        <v>8</v>
      </c>
      <c r="H92" s="66">
        <f>F92/$F$99</f>
        <v>0.16113906068937511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243.29490770458699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84.65608770998864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56039436.742994711</v>
      </c>
      <c r="D99" s="238" t="s">
        <v>9</v>
      </c>
      <c r="E99" s="239"/>
      <c r="F99" s="240">
        <v>239.10220887176544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13401.882927420002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140.01954839999999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47.364066019857539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290.85806700000001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98.387838306984222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320.32238460000002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108.35466008282457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125.53622459999997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42.464827931398062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250.9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98902.509977648966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30857.583113026481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62.725000000000001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24725.627494412242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7714395.7782566203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6942.9562004309582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356"/>
      <c r="G5" s="86"/>
      <c r="H5" s="356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88" t="s">
        <v>10</v>
      </c>
      <c r="G6" s="89"/>
      <c r="H6" s="88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280.84661016732178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5">
        <f>'C-Dados RT1 Simplif.'!C108</f>
        <v>13401.882927420002</v>
      </c>
      <c r="G9" s="313"/>
      <c r="H9" s="94">
        <f>'Demanda Preço &amp; Quantidade'!C42</f>
        <v>500</v>
      </c>
      <c r="L9" s="1030" t="s">
        <v>495</v>
      </c>
      <c r="M9" s="294">
        <f>'ANÁLISE DE SITES MULTICRITÉRIO'!H56</f>
        <v>0</v>
      </c>
      <c r="N9" s="274"/>
      <c r="O9" s="279"/>
      <c r="P9" s="280"/>
      <c r="Q9" s="281">
        <f>Q8+M9</f>
        <v>280.84661016732178</v>
      </c>
      <c r="R9" s="281">
        <f>M8</f>
        <v>0</v>
      </c>
      <c r="S9" s="281">
        <f>IF(R9&gt;=0,IF(M9&gt;=0,Q8,Q9),IF(M9&gt;=0,S8,Q9))</f>
        <v>280.84661016732178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280.84661016732178</v>
      </c>
      <c r="N10" s="272"/>
      <c r="O10" s="283">
        <f>M10</f>
        <v>280.84661016732178</v>
      </c>
      <c r="P10" s="284"/>
      <c r="Q10" s="281">
        <f>Q9</f>
        <v>280.84661016732178</v>
      </c>
      <c r="R10" s="285">
        <f>M9</f>
        <v>0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280.84661016732178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-16.863187372212348</v>
      </c>
      <c r="N11" s="274"/>
      <c r="O11" s="279"/>
      <c r="P11" s="280"/>
      <c r="Q11" s="281">
        <f>Q10+M11</f>
        <v>263.98342279510945</v>
      </c>
      <c r="R11" s="281">
        <f>M10</f>
        <v>280.84661016732178</v>
      </c>
      <c r="S11" s="281">
        <f>IF(R11&gt;=0,IF(M11&gt;=0,Q10,Q11),IF(M11&gt;=0,S10,Q11))</f>
        <v>263.98342279510945</v>
      </c>
      <c r="T11" s="281">
        <f>IF(M11&gt;=0,M11,0)</f>
        <v>0</v>
      </c>
      <c r="U11" s="281">
        <f t="shared" si="0"/>
        <v>16.863187372212348</v>
      </c>
      <c r="V11" s="282">
        <f>SUM(T11:U11)</f>
        <v>16.863187372212348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17455.700185606482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263.98342279510945</v>
      </c>
      <c r="R12" s="281">
        <f>M11</f>
        <v>-16.863187372212348</v>
      </c>
      <c r="S12" s="281">
        <f>IF(R12&gt;=0,IF(M12&gt;=0,Q11,Q12),IF(M12&gt;=0,S11,Q12))</f>
        <v>263.98342279510945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263.98342279510945</v>
      </c>
      <c r="N13" s="272"/>
      <c r="O13" s="283">
        <f>M13</f>
        <v>263.98342279510945</v>
      </c>
      <c r="P13" s="284"/>
      <c r="Q13" s="281">
        <f>Q12</f>
        <v>263.98342279510945</v>
      </c>
      <c r="R13" s="285">
        <f>M9</f>
        <v>0</v>
      </c>
      <c r="S13" s="285">
        <v>0</v>
      </c>
      <c r="T13" s="285">
        <v>0</v>
      </c>
      <c r="U13" s="285">
        <f t="shared" si="0"/>
        <v>0</v>
      </c>
      <c r="V13" s="286">
        <f>Q13</f>
        <v>263.98342279510945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-23.337872230099038</v>
      </c>
      <c r="N14" s="274"/>
      <c r="O14" s="279"/>
      <c r="P14" s="280"/>
      <c r="Q14" s="281">
        <f>Q13+M14</f>
        <v>240.64555056501041</v>
      </c>
      <c r="R14" s="281">
        <f t="shared" ref="R14:R22" si="1">M13</f>
        <v>263.98342279510945</v>
      </c>
      <c r="S14" s="281">
        <f>IF(R14&gt;=0,IF(M14&gt;=0,Q13,Q14),IF(M14&gt;=0,S13,Q14))</f>
        <v>240.64555056501041</v>
      </c>
      <c r="T14" s="281">
        <f>IF(M14&gt;=0,M14,0)</f>
        <v>0</v>
      </c>
      <c r="U14" s="281">
        <f t="shared" si="0"/>
        <v>23.337872230099038</v>
      </c>
      <c r="V14" s="282">
        <f>SUM(T14:U14)</f>
        <v>23.337872230099038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390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240.64555056501041</v>
      </c>
      <c r="R15" s="281">
        <f t="shared" si="1"/>
        <v>-23.337872230099038</v>
      </c>
      <c r="S15" s="281">
        <f>IF(R15&gt;=0,IF(M15&gt;=0,Q14,Q15),IF(M15&gt;=0,S14,Q15))</f>
        <v>240.64555056501041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240.64555056501041</v>
      </c>
      <c r="N16" s="272"/>
      <c r="O16" s="283">
        <f>M16</f>
        <v>240.64555056501041</v>
      </c>
      <c r="P16" s="284"/>
      <c r="Q16" s="285">
        <f>Q15+M16-O16</f>
        <v>240.64555056501041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240.64555056501041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240.64555056501041</v>
      </c>
      <c r="R17" s="281">
        <f t="shared" si="1"/>
        <v>240.64555056501041</v>
      </c>
      <c r="S17" s="281">
        <f>IF(R17&gt;=0,IF(M17&gt;=0,Q16,Q17),IF(M17&gt;=0,S16,Q17))</f>
        <v>240.64555056501041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240.64555056501041</v>
      </c>
      <c r="R18" s="281">
        <f t="shared" si="1"/>
        <v>0</v>
      </c>
      <c r="S18" s="281">
        <f>IF(R18&gt;=0,IF(M18&gt;=0,Q17,Q18),IF(M18&gt;=0,S17,Q18))</f>
        <v>240.64555056501041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240.64555056501041</v>
      </c>
      <c r="R19" s="281">
        <f t="shared" si="1"/>
        <v>0</v>
      </c>
      <c r="S19" s="281">
        <f>IF(R19&gt;=0,IF(M19&gt;=0,Q18,Q19),IF(M19&gt;=0,S18,Q19))</f>
        <v>240.64555056501041</v>
      </c>
      <c r="T19" s="281">
        <f>IF(M19&gt;=0,M19,0)</f>
        <v>0</v>
      </c>
      <c r="U19" s="281">
        <f t="shared" si="0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240.64555056501041</v>
      </c>
      <c r="R20" s="281">
        <f t="shared" si="1"/>
        <v>0</v>
      </c>
      <c r="S20" s="281">
        <f>IF(R20&gt;=0,IF(M20&gt;=0,Q19,Q20),IF(M20&gt;=0,S19,Q20))</f>
        <v>240.64555056501041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30857.583113026481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139.18478181501041</v>
      </c>
      <c r="R21" s="281">
        <f t="shared" si="1"/>
        <v>0</v>
      </c>
      <c r="S21" s="281">
        <f>IF(R21&gt;=0,IF(M21&gt;=0,Q20,Q21),IF(M21&gt;=0,S20,Q21))</f>
        <v>139.18478181501041</v>
      </c>
      <c r="T21" s="281">
        <f>IF(M21&gt;=0,M21,0)</f>
        <v>0</v>
      </c>
      <c r="U21" s="281">
        <f t="shared" si="0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0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139.18478181501041</v>
      </c>
      <c r="N22" s="272"/>
      <c r="O22" s="289">
        <f>M22</f>
        <v>139.18478181501041</v>
      </c>
      <c r="P22" s="290"/>
      <c r="Q22" s="291">
        <f>Q21+M22-O22</f>
        <v>139.18478181501041</v>
      </c>
      <c r="R22" s="291">
        <f t="shared" si="1"/>
        <v>-101.46076875000001</v>
      </c>
      <c r="S22" s="291">
        <v>0</v>
      </c>
      <c r="T22" s="291">
        <v>0</v>
      </c>
      <c r="U22" s="291">
        <f t="shared" si="0"/>
        <v>0</v>
      </c>
      <c r="V22" s="292">
        <f>Q22</f>
        <v>139.18478181501041</v>
      </c>
    </row>
    <row r="23" spans="2:22" ht="15" customHeight="1" outlineLevel="1" thickTop="1" x14ac:dyDescent="0.25">
      <c r="B23" s="1270"/>
      <c r="C23" s="91" t="s">
        <v>250</v>
      </c>
      <c r="D23" s="78" t="s">
        <v>32</v>
      </c>
      <c r="F23" s="317">
        <f>'C-Dados RT1 Simplif.'!C126</f>
        <v>45.624833639755607</v>
      </c>
      <c r="G23" s="305"/>
      <c r="H23" s="305"/>
    </row>
    <row r="24" spans="2:22" ht="15" customHeight="1" outlineLevel="1" x14ac:dyDescent="0.25">
      <c r="B24" s="1270"/>
      <c r="C24" s="91" t="s">
        <v>251</v>
      </c>
      <c r="D24" s="78" t="s">
        <v>32</v>
      </c>
      <c r="F24" s="317">
        <f>'C-Dados RT1 Simplif.'!C129</f>
        <v>42.464827931398062</v>
      </c>
      <c r="G24" s="305"/>
      <c r="H24" s="305"/>
    </row>
    <row r="25" spans="2:22" outlineLevel="1" x14ac:dyDescent="0.25">
      <c r="B25" s="1270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1271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57" t="s">
        <v>30</v>
      </c>
      <c r="C30" s="1257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500</v>
      </c>
      <c r="I33" s="115"/>
      <c r="J33" s="116">
        <f>-'RT1A) Custos Valoriz E.Elétrica'!C20</f>
        <v>-16.863187372212348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05">
        <f t="shared" ref="F36:F43" si="2">F12</f>
        <v>17455.700185606482</v>
      </c>
      <c r="G36" s="103"/>
      <c r="H36" s="104">
        <f>H12</f>
        <v>520</v>
      </c>
      <c r="I36" s="115"/>
      <c r="J36" s="116">
        <f>-'RT1A) Custos Valoriz E.Elétrica'!C25</f>
        <v>-23.337872230099038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1.8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>F17</f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4" t="s">
        <v>113</v>
      </c>
      <c r="C46" s="1275"/>
      <c r="D46" s="1275"/>
      <c r="E46" s="1275"/>
      <c r="F46" s="1275"/>
      <c r="G46" s="1275"/>
      <c r="H46" s="1275"/>
      <c r="I46" s="126"/>
      <c r="J46" s="353"/>
      <c r="K46" s="126"/>
    </row>
    <row r="47" spans="2:11" s="110" customFormat="1" ht="15.75" x14ac:dyDescent="0.25">
      <c r="B47" s="1276"/>
      <c r="C47" s="1277"/>
      <c r="D47" s="1277"/>
      <c r="E47" s="1277"/>
      <c r="F47" s="1277"/>
      <c r="G47" s="1277"/>
      <c r="H47" s="1277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-141.6618283523114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72"/>
      <c r="K53" s="1272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139.18478181501038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776"/>
      <c r="B2" s="1340" t="s">
        <v>472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776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776"/>
      <c r="B4" s="776"/>
      <c r="C4" s="781"/>
      <c r="D4" s="776"/>
      <c r="E4" s="776"/>
      <c r="F4" s="776"/>
      <c r="G4" s="776"/>
      <c r="H4" s="781"/>
      <c r="I4" s="776"/>
      <c r="J4" s="781"/>
      <c r="K4" s="781"/>
      <c r="L4" s="781"/>
      <c r="M4" s="781"/>
      <c r="N4" s="776"/>
      <c r="O4" s="776"/>
      <c r="P4" s="776"/>
      <c r="Q4" s="776"/>
      <c r="R4" s="776"/>
      <c r="S4" s="776"/>
      <c r="T4" s="776"/>
      <c r="U4" s="776"/>
      <c r="V4" s="776"/>
      <c r="W4" s="781"/>
      <c r="X4" s="776"/>
      <c r="Y4" s="781"/>
      <c r="Z4" s="776"/>
      <c r="AA4" s="776"/>
      <c r="AB4" s="777"/>
    </row>
    <row r="5" spans="1:28" s="778" customFormat="1" ht="19.899999999999999" customHeight="1" thickTop="1" x14ac:dyDescent="0.25">
      <c r="A5" s="776"/>
      <c r="B5" s="782" t="s">
        <v>370</v>
      </c>
      <c r="C5" s="783" t="s">
        <v>371</v>
      </c>
      <c r="D5" s="784" t="s">
        <v>372</v>
      </c>
      <c r="E5" s="776"/>
      <c r="F5" s="785" t="s">
        <v>373</v>
      </c>
      <c r="G5" s="783" t="s">
        <v>374</v>
      </c>
      <c r="H5" s="784" t="s">
        <v>375</v>
      </c>
      <c r="I5" s="776"/>
      <c r="J5" s="1342" t="s">
        <v>376</v>
      </c>
      <c r="K5" s="1344" t="s">
        <v>377</v>
      </c>
      <c r="L5" s="776"/>
      <c r="M5" s="781"/>
      <c r="N5" s="776"/>
      <c r="O5" s="1346" t="s">
        <v>378</v>
      </c>
      <c r="P5" s="776"/>
      <c r="Q5" s="1346" t="s">
        <v>379</v>
      </c>
      <c r="R5" s="776"/>
      <c r="S5" s="1346" t="s">
        <v>380</v>
      </c>
      <c r="T5" s="776"/>
      <c r="U5" s="1346" t="s">
        <v>381</v>
      </c>
      <c r="V5" s="776"/>
      <c r="W5" s="1346" t="s">
        <v>382</v>
      </c>
      <c r="X5" s="776"/>
      <c r="Y5" s="1346" t="s">
        <v>383</v>
      </c>
      <c r="Z5" s="776"/>
      <c r="AA5" s="776"/>
      <c r="AB5" s="777"/>
    </row>
    <row r="6" spans="1:28" s="778" customFormat="1" ht="19.899999999999999" customHeight="1" outlineLevel="1" x14ac:dyDescent="0.25">
      <c r="A6" s="776"/>
      <c r="B6" s="786" t="s">
        <v>384</v>
      </c>
      <c r="C6" s="787" t="s">
        <v>385</v>
      </c>
      <c r="D6" s="788">
        <f>D7*D8/1000000</f>
        <v>35.367766725121299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776"/>
      <c r="J6" s="1343"/>
      <c r="K6" s="1345"/>
      <c r="L6" s="776"/>
      <c r="M6" s="793"/>
      <c r="N6" s="794"/>
      <c r="O6" s="1347"/>
      <c r="P6" s="776"/>
      <c r="Q6" s="1347"/>
      <c r="R6" s="776"/>
      <c r="S6" s="1347"/>
      <c r="T6" s="776"/>
      <c r="U6" s="1347"/>
      <c r="V6" s="776"/>
      <c r="W6" s="1347"/>
      <c r="X6" s="776"/>
      <c r="Y6" s="1347"/>
      <c r="Z6" s="776"/>
      <c r="AA6" s="776"/>
      <c r="AB6" s="777"/>
    </row>
    <row r="7" spans="1:28" s="778" customFormat="1" ht="19.899999999999999" customHeight="1" outlineLevel="1" x14ac:dyDescent="0.25">
      <c r="A7" s="776"/>
      <c r="B7" s="790" t="s">
        <v>387</v>
      </c>
      <c r="C7" s="795" t="s">
        <v>8</v>
      </c>
      <c r="D7" s="796">
        <f>'RT1A)BIODIG Energia Elétrica'!M22</f>
        <v>139.18478181501041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776"/>
      <c r="J7" s="1327">
        <f>126090+43698</f>
        <v>169788</v>
      </c>
      <c r="K7" s="1329">
        <v>0.25</v>
      </c>
      <c r="L7" s="776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776"/>
      <c r="AB7" s="777"/>
    </row>
    <row r="8" spans="1:28" s="778" customFormat="1" ht="19.899999999999999" customHeight="1" outlineLevel="1" thickBot="1" x14ac:dyDescent="0.3">
      <c r="A8" s="776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776"/>
      <c r="J8" s="1328"/>
      <c r="K8" s="1330"/>
      <c r="L8" s="776"/>
      <c r="M8" s="793"/>
      <c r="N8" s="794"/>
      <c r="O8" s="800">
        <f>(O12-O10)/O10</f>
        <v>0</v>
      </c>
      <c r="P8" s="794"/>
      <c r="Q8" s="800">
        <f>(Q12-Q10)/Q10</f>
        <v>5.9292925928744666E-3</v>
      </c>
      <c r="R8" s="794"/>
      <c r="S8" s="800">
        <f>(S12-S10)/S10</f>
        <v>1.5233061901367093E-2</v>
      </c>
      <c r="T8" s="776"/>
      <c r="U8" s="800">
        <f>(U12-U10)/U10</f>
        <v>1.5233061901367381E-2</v>
      </c>
      <c r="V8" s="776"/>
      <c r="W8" s="800">
        <f>(W12-W10)/W10</f>
        <v>1.5233061901367381E-2</v>
      </c>
      <c r="X8" s="776"/>
      <c r="Y8" s="801" t="s">
        <v>393</v>
      </c>
      <c r="Z8" s="776"/>
      <c r="AA8" s="776"/>
      <c r="AB8" s="777"/>
    </row>
    <row r="9" spans="1:28" s="778" customFormat="1" ht="19.899999999999999" customHeight="1" outlineLevel="1" thickTop="1" x14ac:dyDescent="0.25">
      <c r="A9" s="776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776"/>
      <c r="J9" s="776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776"/>
      <c r="W9" s="803" t="s">
        <v>397</v>
      </c>
      <c r="X9" s="776"/>
      <c r="Y9" s="803" t="s">
        <v>397</v>
      </c>
      <c r="Z9" s="776"/>
      <c r="AA9" s="776"/>
      <c r="AB9" s="777"/>
    </row>
    <row r="10" spans="1:28" s="778" customFormat="1" ht="19.899999999999999" customHeight="1" outlineLevel="1" x14ac:dyDescent="0.25">
      <c r="A10" s="776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776"/>
      <c r="J10" s="776"/>
      <c r="K10" s="793"/>
      <c r="L10" s="793"/>
      <c r="M10" s="793"/>
      <c r="N10" s="794"/>
      <c r="O10" s="806">
        <f>G11</f>
        <v>171589</v>
      </c>
      <c r="P10" s="794"/>
      <c r="Q10" s="807">
        <f>D25</f>
        <v>38.445204527290919</v>
      </c>
      <c r="R10" s="794"/>
      <c r="S10" s="806">
        <f>D8</f>
        <v>254106.56440966635</v>
      </c>
      <c r="T10" s="776"/>
      <c r="U10" s="806">
        <f>D10*(1+D24)</f>
        <v>26167690.872000001</v>
      </c>
      <c r="V10" s="776"/>
      <c r="W10" s="806">
        <f>D10*(1+D24)</f>
        <v>26167690.872000001</v>
      </c>
      <c r="X10" s="776"/>
      <c r="Y10" s="808">
        <f>Y7</f>
        <v>0.05</v>
      </c>
      <c r="Z10" s="776"/>
      <c r="AA10" s="776"/>
      <c r="AB10" s="777"/>
    </row>
    <row r="11" spans="1:28" s="778" customFormat="1" ht="19.899999999999999" customHeight="1" outlineLevel="1" thickBot="1" x14ac:dyDescent="0.3">
      <c r="A11" s="776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776"/>
      <c r="J11" s="776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776"/>
      <c r="U11" s="814" t="s">
        <v>405</v>
      </c>
      <c r="V11" s="776"/>
      <c r="W11" s="814" t="s">
        <v>405</v>
      </c>
      <c r="X11" s="776"/>
      <c r="Y11" s="814" t="s">
        <v>405</v>
      </c>
      <c r="Z11" s="776"/>
      <c r="AA11" s="776"/>
      <c r="AB11" s="777"/>
    </row>
    <row r="12" spans="1:28" s="778" customFormat="1" ht="19.899999999999999" customHeight="1" outlineLevel="1" thickTop="1" thickBot="1" x14ac:dyDescent="0.3">
      <c r="A12" s="776"/>
      <c r="B12" s="815" t="s">
        <v>406</v>
      </c>
      <c r="C12" s="816" t="s">
        <v>407</v>
      </c>
      <c r="D12" s="817">
        <f>D7/D11</f>
        <v>1.3515814940692983</v>
      </c>
      <c r="E12" s="776"/>
      <c r="F12" s="776"/>
      <c r="G12" s="776"/>
      <c r="H12" s="781"/>
      <c r="I12" s="776"/>
      <c r="J12" s="781"/>
      <c r="K12" s="781"/>
      <c r="L12" s="781"/>
      <c r="M12" s="781"/>
      <c r="N12" s="776"/>
      <c r="O12" s="806">
        <f>O33</f>
        <v>171589</v>
      </c>
      <c r="P12" s="794"/>
      <c r="Q12" s="807">
        <f>Q33</f>
        <v>38.673157393726129</v>
      </c>
      <c r="R12" s="794"/>
      <c r="S12" s="806">
        <f>S33</f>
        <v>257977.38543486252</v>
      </c>
      <c r="T12" s="776"/>
      <c r="U12" s="806">
        <f>U33</f>
        <v>26566304.926869024</v>
      </c>
      <c r="V12" s="776"/>
      <c r="W12" s="806">
        <f>W33</f>
        <v>26566304.926869024</v>
      </c>
      <c r="X12" s="776"/>
      <c r="Y12" s="818">
        <f>1-((AA39+AA41+AA42+AA43+AA44+AA45+AA52+AA54+AA55+AA56+AA57+AA58+AA65+AA67+AA68+AA69+AA70+AA71+AA78+AA80+AA81+AA82+AA83+AA84+AA91+AA93+AA94+AA95+AA96)/29)</f>
        <v>0</v>
      </c>
      <c r="Z12" s="776"/>
      <c r="AA12" s="776"/>
      <c r="AB12" s="777"/>
    </row>
    <row r="13" spans="1:28" s="778" customFormat="1" ht="10.15" customHeight="1" outlineLevel="1" thickTop="1" thickBot="1" x14ac:dyDescent="0.3">
      <c r="A13" s="776"/>
      <c r="B13" s="776"/>
      <c r="C13" s="781"/>
      <c r="D13" s="776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776"/>
      <c r="AB13" s="777"/>
    </row>
    <row r="14" spans="1:28" s="778" customFormat="1" ht="19.899999999999999" customHeight="1" outlineLevel="1" thickTop="1" x14ac:dyDescent="0.25">
      <c r="A14" s="776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776"/>
      <c r="J14" s="776"/>
      <c r="K14" s="793"/>
      <c r="L14" s="793"/>
      <c r="M14" s="793"/>
      <c r="N14" s="794"/>
      <c r="O14" s="820"/>
      <c r="P14" s="794"/>
      <c r="Q14" s="827"/>
      <c r="R14" s="794"/>
      <c r="S14" s="820"/>
      <c r="T14" s="776"/>
      <c r="U14" s="820"/>
      <c r="V14" s="776"/>
      <c r="W14" s="781"/>
      <c r="X14" s="776"/>
      <c r="Y14" s="781"/>
      <c r="Z14" s="776"/>
      <c r="AA14" s="776"/>
      <c r="AB14" s="777"/>
    </row>
    <row r="15" spans="1:28" s="778" customFormat="1" ht="19.899999999999999" customHeight="1" outlineLevel="1" x14ac:dyDescent="0.25">
      <c r="A15" s="776"/>
      <c r="B15" s="828" t="s">
        <v>410</v>
      </c>
      <c r="C15" s="787" t="s">
        <v>1</v>
      </c>
      <c r="D15" s="829">
        <v>1</v>
      </c>
      <c r="E15" s="776"/>
      <c r="F15" s="1331" t="s">
        <v>411</v>
      </c>
      <c r="G15" s="1333" t="s">
        <v>1</v>
      </c>
      <c r="H15" s="1335">
        <v>0.5</v>
      </c>
      <c r="I15" s="776"/>
      <c r="J15" s="830"/>
      <c r="K15" s="793"/>
      <c r="L15" s="793"/>
      <c r="M15" s="793"/>
      <c r="N15" s="794"/>
      <c r="O15" s="794"/>
      <c r="P15" s="794"/>
      <c r="R15" s="794"/>
      <c r="S15" s="776"/>
      <c r="T15" s="776"/>
      <c r="U15" s="793"/>
      <c r="V15" s="776"/>
      <c r="W15" s="781"/>
      <c r="X15" s="776"/>
      <c r="Y15" s="781"/>
      <c r="Z15" s="776"/>
      <c r="AA15" s="776"/>
      <c r="AB15" s="777"/>
    </row>
    <row r="16" spans="1:28" s="778" customFormat="1" ht="19.899999999999999" customHeight="1" outlineLevel="1" thickBot="1" x14ac:dyDescent="0.3">
      <c r="A16" s="776"/>
      <c r="B16" s="831" t="s">
        <v>412</v>
      </c>
      <c r="C16" s="795" t="s">
        <v>385</v>
      </c>
      <c r="D16" s="832">
        <f>D10*D12*(1-D15)/1000000</f>
        <v>0</v>
      </c>
      <c r="E16" s="776"/>
      <c r="F16" s="1332"/>
      <c r="G16" s="1334"/>
      <c r="H16" s="1336"/>
      <c r="I16" s="776"/>
      <c r="J16" s="833"/>
      <c r="K16" s="781"/>
      <c r="L16" s="781"/>
      <c r="M16" s="781"/>
      <c r="N16" s="776"/>
      <c r="O16" s="776"/>
      <c r="P16" s="776"/>
      <c r="Q16" s="776"/>
      <c r="R16" s="776"/>
      <c r="S16" s="776"/>
      <c r="T16" s="776"/>
      <c r="U16" s="793"/>
      <c r="V16" s="776"/>
      <c r="W16" s="781"/>
      <c r="X16" s="776"/>
      <c r="Y16" s="781"/>
      <c r="Z16" s="776"/>
      <c r="AA16" s="776"/>
      <c r="AB16" s="777"/>
    </row>
    <row r="17" spans="1:28" s="778" customFormat="1" ht="19.899999999999999" customHeight="1" outlineLevel="1" thickTop="1" x14ac:dyDescent="0.25">
      <c r="A17" s="776"/>
      <c r="B17" s="786" t="s">
        <v>413</v>
      </c>
      <c r="C17" s="787" t="s">
        <v>1</v>
      </c>
      <c r="D17" s="834">
        <v>0.01</v>
      </c>
      <c r="E17" s="776"/>
      <c r="F17" s="776"/>
      <c r="G17" s="776"/>
      <c r="H17" s="781"/>
      <c r="I17" s="776"/>
      <c r="J17" s="776"/>
      <c r="K17" s="776"/>
      <c r="L17" s="776"/>
      <c r="M17" s="776"/>
      <c r="N17" s="776"/>
      <c r="O17" s="776"/>
      <c r="P17" s="776"/>
      <c r="Q17" s="776"/>
      <c r="R17" s="776"/>
      <c r="S17" s="776"/>
      <c r="T17" s="776"/>
      <c r="U17" s="793"/>
      <c r="V17" s="776"/>
      <c r="W17" s="781"/>
      <c r="X17" s="776"/>
      <c r="Y17" s="781"/>
      <c r="Z17" s="776"/>
      <c r="AA17" s="776"/>
      <c r="AB17" s="777"/>
    </row>
    <row r="18" spans="1:28" s="778" customFormat="1" ht="19.899999999999999" customHeight="1" outlineLevel="1" x14ac:dyDescent="0.25">
      <c r="A18" s="776"/>
      <c r="B18" s="786" t="s">
        <v>414</v>
      </c>
      <c r="C18" s="787" t="s">
        <v>1</v>
      </c>
      <c r="D18" s="834">
        <v>0.05</v>
      </c>
      <c r="E18" s="776"/>
      <c r="F18" s="776"/>
      <c r="G18" s="776"/>
      <c r="H18" s="781"/>
      <c r="I18" s="776"/>
      <c r="J18" s="776"/>
      <c r="K18" s="776"/>
      <c r="L18" s="776"/>
      <c r="M18" s="776"/>
      <c r="N18" s="776"/>
      <c r="O18" s="776"/>
      <c r="P18" s="776"/>
      <c r="Q18" s="776"/>
      <c r="R18" s="776"/>
      <c r="S18" s="776"/>
      <c r="T18" s="776"/>
      <c r="U18" s="793"/>
      <c r="V18" s="776"/>
      <c r="W18" s="781"/>
      <c r="X18" s="776"/>
      <c r="Y18" s="781"/>
      <c r="Z18" s="776"/>
      <c r="AA18" s="776"/>
      <c r="AB18" s="777"/>
    </row>
    <row r="19" spans="1:28" s="778" customFormat="1" ht="19.899999999999999" customHeight="1" outlineLevel="1" x14ac:dyDescent="0.25">
      <c r="A19" s="776"/>
      <c r="B19" s="786" t="s">
        <v>415</v>
      </c>
      <c r="C19" s="835" t="s">
        <v>1</v>
      </c>
      <c r="D19" s="836">
        <v>2.5000000000000001E-2</v>
      </c>
      <c r="E19" s="776"/>
      <c r="F19" s="776"/>
      <c r="G19" s="776"/>
      <c r="H19" s="781"/>
      <c r="I19" s="776"/>
      <c r="J19" s="776"/>
      <c r="K19" s="776"/>
      <c r="L19" s="776"/>
      <c r="M19" s="776"/>
      <c r="N19" s="776"/>
      <c r="O19" s="776"/>
      <c r="P19" s="776"/>
      <c r="Q19" s="776"/>
      <c r="R19" s="776"/>
      <c r="S19" s="776"/>
      <c r="T19" s="776"/>
      <c r="U19" s="793"/>
      <c r="V19" s="776"/>
      <c r="W19" s="781"/>
      <c r="X19" s="776"/>
      <c r="Y19" s="781"/>
      <c r="Z19" s="776"/>
      <c r="AA19" s="776"/>
      <c r="AB19" s="777"/>
    </row>
    <row r="20" spans="1:28" s="778" customFormat="1" ht="34.9" customHeight="1" outlineLevel="1" x14ac:dyDescent="0.25">
      <c r="A20" s="776"/>
      <c r="B20" s="837" t="s">
        <v>416</v>
      </c>
      <c r="C20" s="787" t="s">
        <v>385</v>
      </c>
      <c r="D20" s="838">
        <f>D10*D12*(1+D17)*(1+D18)*(1+D19)*D15/1000000</f>
        <v>38.445204527290919</v>
      </c>
      <c r="E20" s="776"/>
      <c r="F20" s="776"/>
      <c r="G20" s="776"/>
      <c r="H20" s="781"/>
      <c r="I20" s="776"/>
      <c r="J20" s="776"/>
      <c r="K20" s="776"/>
      <c r="L20" s="776"/>
      <c r="M20" s="776"/>
      <c r="N20" s="776"/>
      <c r="O20" s="776"/>
      <c r="P20" s="776"/>
      <c r="Q20" s="776"/>
      <c r="R20" s="776"/>
      <c r="S20" s="776"/>
      <c r="T20" s="776"/>
      <c r="U20" s="793"/>
      <c r="V20" s="776"/>
      <c r="W20" s="781"/>
      <c r="X20" s="776"/>
      <c r="Y20" s="781"/>
      <c r="Z20" s="776"/>
      <c r="AA20" s="776"/>
      <c r="AB20" s="777"/>
    </row>
    <row r="21" spans="1:28" s="778" customFormat="1" ht="34.9" customHeight="1" outlineLevel="1" thickBot="1" x14ac:dyDescent="0.3">
      <c r="A21" s="776"/>
      <c r="B21" s="839" t="s">
        <v>417</v>
      </c>
      <c r="C21" s="816" t="s">
        <v>407</v>
      </c>
      <c r="D21" s="817">
        <f>D20*1000000/D10</f>
        <v>1.4691859788220032</v>
      </c>
      <c r="E21" s="776"/>
      <c r="F21" s="776"/>
      <c r="G21" s="776"/>
      <c r="H21" s="781"/>
      <c r="I21" s="776"/>
      <c r="J21" s="781"/>
      <c r="K21" s="781"/>
      <c r="L21" s="781"/>
      <c r="M21" s="781"/>
      <c r="N21" s="776"/>
      <c r="O21" s="820"/>
      <c r="P21" s="776"/>
      <c r="Q21" s="827"/>
      <c r="R21" s="776"/>
      <c r="S21" s="820"/>
      <c r="T21" s="776"/>
      <c r="U21" s="820"/>
      <c r="V21" s="776"/>
      <c r="W21" s="781"/>
      <c r="X21" s="776"/>
      <c r="Y21" s="781"/>
      <c r="Z21" s="776"/>
      <c r="AA21" s="776"/>
      <c r="AB21" s="777"/>
    </row>
    <row r="22" spans="1:28" s="778" customFormat="1" ht="7.5" customHeight="1" outlineLevel="1" thickTop="1" thickBot="1" x14ac:dyDescent="0.3">
      <c r="A22" s="776"/>
      <c r="B22" s="776"/>
      <c r="C22" s="781"/>
      <c r="D22" s="776"/>
      <c r="E22" s="789"/>
      <c r="F22" s="776"/>
      <c r="G22" s="776"/>
      <c r="H22" s="781"/>
      <c r="I22" s="776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776"/>
      <c r="U22" s="820"/>
      <c r="V22" s="776"/>
      <c r="W22" s="781"/>
      <c r="X22" s="776"/>
      <c r="Y22" s="781"/>
      <c r="Z22" s="776"/>
      <c r="AA22" s="776"/>
      <c r="AB22" s="777"/>
    </row>
    <row r="23" spans="1:28" s="778" customFormat="1" ht="19.899999999999999" customHeight="1" outlineLevel="1" thickTop="1" x14ac:dyDescent="0.25">
      <c r="A23" s="776"/>
      <c r="B23" s="822" t="s">
        <v>418</v>
      </c>
      <c r="C23" s="823" t="s">
        <v>371</v>
      </c>
      <c r="D23" s="824" t="s">
        <v>372</v>
      </c>
      <c r="E23" s="776"/>
      <c r="F23" s="1337" t="s">
        <v>419</v>
      </c>
      <c r="G23" s="1338"/>
      <c r="H23" s="1339"/>
      <c r="I23" s="776"/>
      <c r="J23" s="776"/>
      <c r="K23" s="781"/>
      <c r="L23" s="781"/>
      <c r="M23" s="781"/>
      <c r="N23" s="776"/>
      <c r="O23" s="776"/>
      <c r="P23" s="776"/>
      <c r="Q23" s="776"/>
      <c r="R23" s="776"/>
      <c r="S23" s="776"/>
      <c r="T23" s="776"/>
      <c r="U23" s="793"/>
      <c r="V23" s="776"/>
      <c r="W23" s="781"/>
      <c r="X23" s="776"/>
      <c r="Y23" s="781"/>
      <c r="Z23" s="776"/>
      <c r="AA23" s="776"/>
      <c r="AB23" s="777"/>
    </row>
    <row r="24" spans="1:28" s="778" customFormat="1" ht="19.899999999999999" customHeight="1" outlineLevel="1" x14ac:dyDescent="0.25">
      <c r="A24" s="776"/>
      <c r="B24" s="837" t="s">
        <v>420</v>
      </c>
      <c r="C24" s="787" t="s">
        <v>1</v>
      </c>
      <c r="D24" s="840">
        <v>0</v>
      </c>
      <c r="E24" s="776"/>
      <c r="F24" s="805" t="s">
        <v>421</v>
      </c>
      <c r="G24" s="795" t="s">
        <v>422</v>
      </c>
      <c r="H24" s="841">
        <f>D26*(D10)/G11</f>
        <v>224.0540158593553</v>
      </c>
      <c r="I24" s="776"/>
      <c r="J24" s="1058"/>
      <c r="K24" s="781"/>
      <c r="L24" s="781"/>
      <c r="M24" s="781"/>
      <c r="N24" s="794"/>
      <c r="O24" s="794"/>
      <c r="P24" s="794"/>
      <c r="Q24" s="794"/>
      <c r="R24" s="794"/>
      <c r="S24" s="776"/>
      <c r="T24" s="776"/>
      <c r="U24" s="793"/>
      <c r="V24" s="776"/>
      <c r="W24" s="781"/>
      <c r="X24" s="776"/>
      <c r="Y24" s="781"/>
      <c r="Z24" s="776"/>
      <c r="AA24" s="776"/>
      <c r="AB24" s="777"/>
    </row>
    <row r="25" spans="1:28" s="778" customFormat="1" ht="34.9" customHeight="1" outlineLevel="1" thickBot="1" x14ac:dyDescent="0.3">
      <c r="A25" s="776"/>
      <c r="B25" s="805" t="s">
        <v>423</v>
      </c>
      <c r="C25" s="795" t="s">
        <v>385</v>
      </c>
      <c r="D25" s="832">
        <f>D20</f>
        <v>38.445204527290919</v>
      </c>
      <c r="E25" s="776"/>
      <c r="F25" s="839" t="s">
        <v>424</v>
      </c>
      <c r="G25" s="816" t="s">
        <v>425</v>
      </c>
      <c r="H25" s="1076">
        <f>H24/12</f>
        <v>18.67116798827961</v>
      </c>
      <c r="I25" s="776"/>
      <c r="J25" s="776"/>
      <c r="K25" s="793"/>
      <c r="L25" s="793"/>
      <c r="M25" s="793"/>
      <c r="N25" s="794"/>
      <c r="O25" s="794"/>
      <c r="P25" s="794"/>
      <c r="Q25" s="794"/>
      <c r="R25" s="794"/>
      <c r="S25" s="776"/>
      <c r="T25" s="776"/>
      <c r="U25" s="793"/>
      <c r="V25" s="776"/>
      <c r="W25" s="781"/>
      <c r="X25" s="776"/>
      <c r="Y25" s="781"/>
      <c r="Z25" s="776"/>
      <c r="AA25" s="776"/>
      <c r="AB25" s="777"/>
    </row>
    <row r="26" spans="1:28" s="778" customFormat="1" ht="34.9" customHeight="1" outlineLevel="1" thickTop="1" thickBot="1" x14ac:dyDescent="0.3">
      <c r="A26" s="776"/>
      <c r="B26" s="839" t="s">
        <v>426</v>
      </c>
      <c r="C26" s="816" t="s">
        <v>407</v>
      </c>
      <c r="D26" s="817">
        <f>(D25*1000000/(D8*D11))*(1-D24)</f>
        <v>1.4691859788220032</v>
      </c>
      <c r="E26" s="776"/>
      <c r="F26" s="776"/>
      <c r="G26" s="776"/>
      <c r="H26" s="781"/>
      <c r="I26" s="776"/>
      <c r="J26" s="781"/>
      <c r="K26" s="793"/>
      <c r="L26" s="793"/>
      <c r="M26" s="793"/>
      <c r="N26" s="794"/>
      <c r="O26" s="794"/>
      <c r="P26" s="794"/>
      <c r="Q26" s="794"/>
      <c r="R26" s="794"/>
      <c r="S26" s="776"/>
      <c r="T26" s="776"/>
      <c r="U26" s="793"/>
      <c r="V26" s="776"/>
      <c r="W26" s="781"/>
      <c r="X26" s="776"/>
      <c r="Y26" s="781"/>
      <c r="Z26" s="776"/>
      <c r="AA26" s="776"/>
      <c r="AB26" s="777"/>
    </row>
    <row r="27" spans="1:28" s="778" customFormat="1" ht="7.15" customHeight="1" thickTop="1" x14ac:dyDescent="0.25">
      <c r="A27" s="776"/>
      <c r="B27" s="776"/>
      <c r="C27" s="781"/>
      <c r="D27" s="776"/>
      <c r="E27" s="776"/>
      <c r="F27" s="776"/>
      <c r="G27" s="776"/>
      <c r="H27" s="781"/>
      <c r="I27" s="781"/>
      <c r="J27" s="781"/>
      <c r="K27" s="781"/>
      <c r="L27" s="781"/>
      <c r="M27" s="781"/>
      <c r="N27" s="776"/>
      <c r="O27" s="776"/>
      <c r="P27" s="776"/>
      <c r="Q27" s="776"/>
      <c r="R27" s="776"/>
      <c r="S27" s="776"/>
      <c r="T27" s="776"/>
      <c r="U27" s="793"/>
      <c r="V27" s="776"/>
      <c r="W27" s="781"/>
      <c r="X27" s="776"/>
      <c r="Y27" s="781"/>
      <c r="Z27" s="776"/>
      <c r="AA27" s="776"/>
      <c r="AB27" s="777"/>
    </row>
    <row r="28" spans="1:28" s="778" customFormat="1" ht="7.15" customHeight="1" x14ac:dyDescent="0.25">
      <c r="A28" s="776"/>
      <c r="B28" s="776"/>
      <c r="C28" s="781"/>
      <c r="D28" s="776"/>
      <c r="E28" s="776"/>
      <c r="F28" s="776"/>
      <c r="G28" s="776"/>
      <c r="H28" s="781"/>
      <c r="I28" s="776"/>
      <c r="J28" s="781"/>
      <c r="K28" s="781"/>
      <c r="L28" s="781"/>
      <c r="M28" s="781"/>
      <c r="N28" s="776"/>
      <c r="O28" s="776"/>
      <c r="P28" s="776"/>
      <c r="Q28" s="776"/>
      <c r="R28" s="776"/>
      <c r="S28" s="776"/>
      <c r="T28" s="776"/>
      <c r="U28" s="793"/>
      <c r="V28" s="776"/>
      <c r="W28" s="781"/>
      <c r="X28" s="776"/>
      <c r="Y28" s="781"/>
      <c r="Z28" s="776"/>
      <c r="AA28" s="776"/>
      <c r="AB28" s="777"/>
    </row>
    <row r="29" spans="1:28" s="778" customFormat="1" ht="61.15" customHeight="1" x14ac:dyDescent="0.25">
      <c r="A29" s="776"/>
      <c r="B29" s="1313" t="s">
        <v>427</v>
      </c>
      <c r="C29" s="1314"/>
      <c r="D29" s="1314"/>
      <c r="E29" s="1315"/>
      <c r="F29" s="776"/>
      <c r="G29" s="776"/>
      <c r="H29" s="781"/>
      <c r="I29" s="776"/>
      <c r="J29" s="781"/>
      <c r="K29" s="1316" t="s">
        <v>428</v>
      </c>
      <c r="L29" s="1317"/>
      <c r="M29" s="1318"/>
      <c r="N29" s="776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776"/>
      <c r="AB29" s="777"/>
    </row>
    <row r="30" spans="1:28" s="778" customFormat="1" ht="4.9000000000000004" customHeight="1" x14ac:dyDescent="0.25">
      <c r="A30" s="776"/>
      <c r="B30" s="776"/>
      <c r="C30" s="781"/>
      <c r="D30" s="776"/>
      <c r="E30" s="776"/>
      <c r="F30" s="776"/>
      <c r="G30" s="776"/>
      <c r="H30" s="781"/>
      <c r="I30" s="776"/>
      <c r="J30" s="781"/>
      <c r="K30" s="781"/>
      <c r="L30" s="781"/>
      <c r="M30" s="781"/>
      <c r="N30" s="776"/>
      <c r="O30" s="776"/>
      <c r="P30" s="776"/>
      <c r="Q30" s="776"/>
      <c r="R30" s="776"/>
      <c r="S30" s="776"/>
      <c r="T30" s="776"/>
      <c r="U30" s="793"/>
      <c r="V30" s="776"/>
      <c r="W30" s="781"/>
      <c r="X30" s="776"/>
      <c r="Y30" s="781"/>
      <c r="Z30" s="776"/>
      <c r="AA30" s="776"/>
      <c r="AB30" s="777"/>
    </row>
    <row r="31" spans="1:28" s="778" customFormat="1" ht="19.899999999999999" customHeight="1" x14ac:dyDescent="0.25">
      <c r="A31" s="776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776"/>
      <c r="O31" s="1324" t="s">
        <v>433</v>
      </c>
      <c r="P31" s="776"/>
      <c r="Q31" s="1324" t="s">
        <v>434</v>
      </c>
      <c r="R31" s="776"/>
      <c r="S31" s="1324" t="s">
        <v>435</v>
      </c>
      <c r="T31" s="776"/>
      <c r="U31" s="1324" t="s">
        <v>436</v>
      </c>
      <c r="V31" s="776"/>
      <c r="W31" s="1324" t="s">
        <v>436</v>
      </c>
      <c r="X31" s="776"/>
      <c r="Y31" s="1324" t="s">
        <v>437</v>
      </c>
      <c r="Z31" s="776"/>
      <c r="AA31" s="776"/>
      <c r="AB31" s="777"/>
    </row>
    <row r="32" spans="1:28" s="778" customFormat="1" ht="19.899999999999999" customHeight="1" x14ac:dyDescent="0.25">
      <c r="A32" s="776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224.0540158593553</v>
      </c>
      <c r="M32" s="845">
        <f>H25</f>
        <v>18.67116798827961</v>
      </c>
      <c r="N32" s="846"/>
      <c r="O32" s="1325"/>
      <c r="P32" s="846"/>
      <c r="Q32" s="1325"/>
      <c r="R32" s="846"/>
      <c r="S32" s="1325"/>
      <c r="T32" s="776"/>
      <c r="U32" s="1325"/>
      <c r="V32" s="776"/>
      <c r="W32" s="1325"/>
      <c r="X32" s="776"/>
      <c r="Y32" s="1326"/>
      <c r="Z32" s="776"/>
      <c r="AA32" s="776"/>
      <c r="AB32" s="777"/>
    </row>
    <row r="33" spans="1:28" s="778" customFormat="1" ht="15" customHeight="1" x14ac:dyDescent="0.25">
      <c r="A33" s="776"/>
      <c r="B33" s="776"/>
      <c r="C33" s="781"/>
      <c r="D33" s="776"/>
      <c r="E33" s="776"/>
      <c r="F33" s="776"/>
      <c r="G33" s="776"/>
      <c r="H33" s="781"/>
      <c r="I33" s="776"/>
      <c r="J33" s="781"/>
      <c r="K33" s="781"/>
      <c r="L33" s="781"/>
      <c r="M33" s="781"/>
      <c r="N33" s="776"/>
      <c r="O33" s="806">
        <f>O36+O49+O62+O75+O88</f>
        <v>171589</v>
      </c>
      <c r="P33" s="776"/>
      <c r="Q33" s="806">
        <f>(Q36+Q49+Q62+Q75+Q88)*12/1000000</f>
        <v>38.673157393726129</v>
      </c>
      <c r="R33" s="776"/>
      <c r="S33" s="806">
        <f>12*S34</f>
        <v>257977.38543486252</v>
      </c>
      <c r="T33" s="776" t="s">
        <v>438</v>
      </c>
      <c r="U33" s="806">
        <f>12*U34</f>
        <v>26566304.926869024</v>
      </c>
      <c r="V33" s="776" t="s">
        <v>439</v>
      </c>
      <c r="W33" s="806">
        <f>12*W34</f>
        <v>26566304.926869024</v>
      </c>
      <c r="X33" s="776" t="s">
        <v>439</v>
      </c>
      <c r="Y33" s="1311">
        <v>0.1</v>
      </c>
      <c r="Z33" s="776"/>
      <c r="AA33" s="776"/>
      <c r="AB33" s="777"/>
    </row>
    <row r="34" spans="1:28" s="778" customFormat="1" ht="34.9" customHeight="1" outlineLevel="1" x14ac:dyDescent="0.25">
      <c r="A34" s="776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21498.115452905211</v>
      </c>
      <c r="T34" s="776" t="s">
        <v>441</v>
      </c>
      <c r="U34" s="806">
        <f>U36+U49+U62+U75+U88</f>
        <v>2213858.743905752</v>
      </c>
      <c r="V34" s="776" t="s">
        <v>442</v>
      </c>
      <c r="W34" s="806">
        <f>W36+W49+W62+W75+W88</f>
        <v>2213858.743905752</v>
      </c>
      <c r="X34" s="776" t="s">
        <v>442</v>
      </c>
      <c r="Y34" s="1312"/>
      <c r="Z34" s="776"/>
      <c r="AA34" s="776"/>
      <c r="AB34" s="777"/>
    </row>
    <row r="35" spans="1:28" s="778" customFormat="1" ht="25.15" customHeight="1" outlineLevel="1" x14ac:dyDescent="0.25">
      <c r="A35" s="776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27.853590057515561</v>
      </c>
      <c r="R35" s="846"/>
      <c r="S35" s="847"/>
      <c r="T35" s="776"/>
      <c r="U35" s="849"/>
      <c r="V35" s="776"/>
      <c r="W35" s="849"/>
      <c r="X35" s="776"/>
      <c r="Y35" s="850"/>
      <c r="Z35" s="776"/>
      <c r="AA35" s="776"/>
      <c r="AB35" s="777"/>
    </row>
    <row r="36" spans="1:28" s="778" customFormat="1" ht="36" customHeight="1" outlineLevel="1" x14ac:dyDescent="0.25">
      <c r="A36" s="776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776"/>
      <c r="O36" s="806">
        <f>O39+O41+O42+O43+O44+O45</f>
        <v>40</v>
      </c>
      <c r="P36" s="776"/>
      <c r="Q36" s="853">
        <f>Q39+Q41+Q42+Q43+Q44+Q45</f>
        <v>1114.1436023006224</v>
      </c>
      <c r="R36" s="776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693.88178950799681</v>
      </c>
      <c r="V36" s="776" t="s">
        <v>449</v>
      </c>
      <c r="W36" s="1283">
        <f>W39*O39+W41*O41+W42*O42+W43*O43+W44*O44+W45*O45</f>
        <v>693.88178950799681</v>
      </c>
      <c r="X36" s="776" t="s">
        <v>449</v>
      </c>
      <c r="Y36" s="854" t="s">
        <v>450</v>
      </c>
      <c r="Z36" s="776"/>
      <c r="AA36" s="776"/>
      <c r="AB36" s="777"/>
    </row>
    <row r="37" spans="1:28" s="778" customFormat="1" ht="24" customHeight="1" outlineLevel="1" x14ac:dyDescent="0.25">
      <c r="A37" s="776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776"/>
      <c r="O37" s="859" t="s">
        <v>455</v>
      </c>
      <c r="P37" s="776"/>
      <c r="Q37" s="860">
        <v>0.75</v>
      </c>
      <c r="R37" s="776"/>
      <c r="S37" s="1284"/>
      <c r="T37" s="1286"/>
      <c r="U37" s="1284"/>
      <c r="V37" s="776"/>
      <c r="W37" s="1287"/>
      <c r="X37" s="776"/>
      <c r="Y37" s="861">
        <f>$Y$33</f>
        <v>0.1</v>
      </c>
      <c r="Z37" s="776"/>
      <c r="AA37" s="776"/>
      <c r="AB37" s="777"/>
    </row>
    <row r="38" spans="1:28" s="778" customFormat="1" ht="24" customHeight="1" outlineLevel="1" x14ac:dyDescent="0.25">
      <c r="A38" s="776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776"/>
      <c r="O38" s="868"/>
      <c r="P38" s="776"/>
      <c r="Q38" s="869"/>
      <c r="R38" s="776"/>
      <c r="S38" s="870"/>
      <c r="T38" s="776"/>
      <c r="U38" s="870"/>
      <c r="V38" s="776"/>
      <c r="W38" s="871"/>
      <c r="X38" s="776"/>
      <c r="Y38" s="871"/>
      <c r="Z38" s="776"/>
      <c r="AA38" s="776"/>
      <c r="AB38" s="777"/>
    </row>
    <row r="39" spans="1:28" s="778" customFormat="1" ht="24" customHeight="1" outlineLevel="1" x14ac:dyDescent="0.25">
      <c r="A39" s="776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56.013503964838826</v>
      </c>
      <c r="K39" s="876">
        <f>$M$32*H39*$B$38*$C$38</f>
        <v>4.6677919970699024</v>
      </c>
      <c r="L39" s="875">
        <f>J39*$D$38</f>
        <v>70.016879956048527</v>
      </c>
      <c r="M39" s="876">
        <f>K39*$D$38</f>
        <v>5.8347399963373778</v>
      </c>
      <c r="N39" s="776"/>
      <c r="O39" s="877">
        <v>2</v>
      </c>
      <c r="P39" s="776"/>
      <c r="Q39" s="878">
        <f>O39*$Q$37*M39+O39*(1-$Q$37)*K39</f>
        <v>11.086005993041018</v>
      </c>
      <c r="R39" s="776"/>
      <c r="S39" s="879">
        <f>IF(AND(Q39&lt;&gt;0,O39&lt;&gt;0),Q39*(1-D17-D18-D19)/O39/30/(($D$25*1000000/$D$8))*1000,0)</f>
        <v>1.1174257151430405</v>
      </c>
      <c r="T39" s="776" t="s">
        <v>459</v>
      </c>
      <c r="U39" s="880">
        <f>S39*O39*30*$D$11*(1+$D$24)/1000</f>
        <v>6.9042964130148921</v>
      </c>
      <c r="V39" s="776" t="s">
        <v>460</v>
      </c>
      <c r="W39" s="880">
        <f>IF(O39&lt;&gt;0,U39/O39,0)</f>
        <v>3.452148206507446</v>
      </c>
      <c r="X39" s="776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776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776"/>
      <c r="O40" s="868"/>
      <c r="P40" s="776"/>
      <c r="Q40" s="869"/>
      <c r="R40" s="776"/>
      <c r="S40" s="885"/>
      <c r="T40" s="776"/>
      <c r="U40" s="886"/>
      <c r="V40" s="776"/>
      <c r="W40" s="886"/>
      <c r="X40" s="776"/>
      <c r="Y40" s="871"/>
      <c r="Z40" s="776"/>
      <c r="AA40" s="781"/>
      <c r="AB40" s="777"/>
    </row>
    <row r="41" spans="1:28" s="778" customFormat="1" ht="24" customHeight="1" outlineLevel="1" x14ac:dyDescent="0.25">
      <c r="A41" s="776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162.4391614980326</v>
      </c>
      <c r="K41" s="876">
        <f>$M$32*(H39+(G41-F41)*H41)*$B$38*$C$38</f>
        <v>13.536596791502717</v>
      </c>
      <c r="L41" s="875">
        <f t="shared" ref="L41:M45" si="0">J41*$D$38</f>
        <v>203.04895187254075</v>
      </c>
      <c r="M41" s="876">
        <f t="shared" si="0"/>
        <v>16.920745989378396</v>
      </c>
      <c r="N41" s="776"/>
      <c r="O41" s="877">
        <v>2</v>
      </c>
      <c r="P41" s="776"/>
      <c r="Q41" s="878">
        <f>O41*$Q$37*M41+O41*(1-$Q$37)*K41</f>
        <v>32.149417379818956</v>
      </c>
      <c r="R41" s="776"/>
      <c r="S41" s="879">
        <f>IF(AND(Q41&lt;&gt;0,O41&lt;&gt;0),Q41*(1-D17-D18-D19)/O41/30/(($D$25*1000000/$D$8))*1000,0)</f>
        <v>3.2405345739148186</v>
      </c>
      <c r="T41" s="776" t="s">
        <v>459</v>
      </c>
      <c r="U41" s="880">
        <f>S41*O41*30*$D$11*(1+$D$24)/1000</f>
        <v>20.022459597743193</v>
      </c>
      <c r="V41" s="776" t="s">
        <v>460</v>
      </c>
      <c r="W41" s="880">
        <f>IF(O41&lt;&gt;0,U41/O41,0)</f>
        <v>10.011229798871597</v>
      </c>
      <c r="X41" s="776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776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274.46616942771027</v>
      </c>
      <c r="K42" s="876">
        <f>$M$32*(H39+(G41-F41)*H41+(G42-F42)*H42)*$B$38*$C$38</f>
        <v>22.872180785642524</v>
      </c>
      <c r="L42" s="875">
        <f t="shared" si="0"/>
        <v>343.08271178463781</v>
      </c>
      <c r="M42" s="876">
        <f t="shared" si="0"/>
        <v>28.590225982053155</v>
      </c>
      <c r="N42" s="776"/>
      <c r="O42" s="877">
        <v>28</v>
      </c>
      <c r="P42" s="776"/>
      <c r="Q42" s="878">
        <f>O42*$Q$37*M42+O42*(1-$Q$37)*K42</f>
        <v>760.50001112261396</v>
      </c>
      <c r="R42" s="776"/>
      <c r="S42" s="879">
        <f>IF(AND(Q42&lt;&gt;0,O42&lt;&gt;0),Q42*(1-D17-D18-D19)/O42/30/(($D$25*1000000/$D$8))*1000,0)</f>
        <v>5.4753860042008995</v>
      </c>
      <c r="T42" s="776" t="s">
        <v>459</v>
      </c>
      <c r="U42" s="880">
        <f>S42*O42*30*$D$11*(1+$D$24)/1000</f>
        <v>473.63473393282169</v>
      </c>
      <c r="V42" s="776" t="s">
        <v>460</v>
      </c>
      <c r="W42" s="880">
        <f>IF(O42&lt;&gt;0,U42/O42,0)</f>
        <v>16.91552621188649</v>
      </c>
      <c r="X42" s="776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776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392.09452775387177</v>
      </c>
      <c r="K43" s="876">
        <f>$M$32*(H39+(G41-F41)*H41+(G42-F42)*H42+(G43-F43)*H43)*$B$38*$C$38</f>
        <v>32.674543979489314</v>
      </c>
      <c r="L43" s="875">
        <f t="shared" si="0"/>
        <v>490.1181596923397</v>
      </c>
      <c r="M43" s="876">
        <f t="shared" si="0"/>
        <v>40.843179974361647</v>
      </c>
      <c r="N43" s="776"/>
      <c r="O43" s="877">
        <v>8</v>
      </c>
      <c r="P43" s="776"/>
      <c r="Q43" s="878">
        <f>O43*$Q$37*M43+O43*(1-$Q$37)*K43</f>
        <v>310.40816780514854</v>
      </c>
      <c r="R43" s="776"/>
      <c r="S43" s="879">
        <f>IF(AND(Q43&lt;&gt;0,O43&lt;&gt;0),Q43*(1-D17-D18-D19)/O43/30/(($D$25*1000000/$D$8))*1000,0)</f>
        <v>7.8219800060012856</v>
      </c>
      <c r="T43" s="776" t="s">
        <v>459</v>
      </c>
      <c r="U43" s="880">
        <f>S43*O43*30*$D$11*(1+$D$24)/1000</f>
        <v>193.32029956441701</v>
      </c>
      <c r="V43" s="776" t="s">
        <v>460</v>
      </c>
      <c r="W43" s="880">
        <f>IF(O43&lt;&gt;0,U43/O43,0)</f>
        <v>24.165037445552127</v>
      </c>
      <c r="X43" s="776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776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576.9390908378399</v>
      </c>
      <c r="K44" s="876">
        <f>$M$32*(H39+(G41-F41)*H41+(G42-F42)*H42+(G43-F43)*H43+(G44-F44)*H44)*$B$38*$C$38</f>
        <v>48.078257569819996</v>
      </c>
      <c r="L44" s="875">
        <f t="shared" si="0"/>
        <v>721.1738635472999</v>
      </c>
      <c r="M44" s="876">
        <f t="shared" si="0"/>
        <v>60.097821962274992</v>
      </c>
      <c r="N44" s="776"/>
      <c r="O44" s="877">
        <v>0</v>
      </c>
      <c r="P44" s="776"/>
      <c r="Q44" s="878">
        <f>O44*$Q$37*M44+O44*(1-$Q$37)*K44</f>
        <v>0</v>
      </c>
      <c r="R44" s="776"/>
      <c r="S44" s="879">
        <f>IF(AND(Q44&lt;&gt;0,O44&lt;&gt;0),Q44*(1-D17-D18-D19)/O44/30/(($D$25*1000000/$D$8))*1000,0)</f>
        <v>0</v>
      </c>
      <c r="T44" s="776" t="s">
        <v>459</v>
      </c>
      <c r="U44" s="880">
        <f>S44*O44*30*$D$11*(1+$D$24)/1000</f>
        <v>0</v>
      </c>
      <c r="V44" s="776" t="s">
        <v>460</v>
      </c>
      <c r="W44" s="880">
        <f>IF(O44&lt;&gt;0,U44/O44,0)</f>
        <v>0</v>
      </c>
      <c r="X44" s="776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776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1221.0943864334865</v>
      </c>
      <c r="K45" s="876">
        <f>$M$32*(H39+(G41-F41)*H41+(G42-F42)*H42+(G43-F43)*H43+(G44-F44)*H44+(G45-F45)*H45)*$B$38*$C$38</f>
        <v>101.75786553612387</v>
      </c>
      <c r="L45" s="875">
        <f t="shared" si="0"/>
        <v>1526.3679830418582</v>
      </c>
      <c r="M45" s="876">
        <f t="shared" si="0"/>
        <v>127.19733192015484</v>
      </c>
      <c r="N45" s="776"/>
      <c r="O45" s="877">
        <v>0</v>
      </c>
      <c r="P45" s="776"/>
      <c r="Q45" s="878">
        <f>O45*$Q$37*M45+O45*(1-$Q$37)*K45</f>
        <v>0</v>
      </c>
      <c r="R45" s="776"/>
      <c r="S45" s="879">
        <f>IF(AND(Q45&lt;&gt;0,O45&lt;&gt;0),Q45*(1-D17-D18-D19)/O45/30/(($D$25*1000000/$D$8))*1000,0)</f>
        <v>0</v>
      </c>
      <c r="T45" s="776" t="s">
        <v>459</v>
      </c>
      <c r="U45" s="880">
        <f>S45*O45*30*$D$11*(1+$D$24)/1000</f>
        <v>0</v>
      </c>
      <c r="V45" s="776" t="s">
        <v>460</v>
      </c>
      <c r="W45" s="880">
        <f>IF(O45&lt;&gt;0,U45/O45,0)</f>
        <v>0</v>
      </c>
      <c r="X45" s="776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776"/>
      <c r="B46" s="776"/>
      <c r="C46" s="781"/>
      <c r="D46" s="776"/>
      <c r="E46" s="776"/>
      <c r="F46" s="781"/>
      <c r="G46" s="781"/>
      <c r="H46" s="781"/>
      <c r="I46" s="776"/>
      <c r="J46" s="781"/>
      <c r="K46" s="781"/>
      <c r="L46" s="781"/>
      <c r="M46" s="781"/>
      <c r="N46" s="776"/>
      <c r="O46" s="776"/>
      <c r="P46" s="776"/>
      <c r="Q46" s="776"/>
      <c r="R46" s="776"/>
      <c r="S46" s="1067"/>
      <c r="T46" s="776"/>
      <c r="U46" s="776"/>
      <c r="V46" s="776"/>
      <c r="W46" s="781"/>
      <c r="X46" s="776"/>
      <c r="Y46" s="781"/>
      <c r="Z46" s="776"/>
      <c r="AA46" s="776"/>
      <c r="AB46" s="777"/>
    </row>
    <row r="47" spans="1:28" s="778" customFormat="1" ht="34.9" customHeight="1" outlineLevel="1" x14ac:dyDescent="0.25">
      <c r="A47" s="776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776"/>
      <c r="P47" s="846"/>
      <c r="Q47" s="776"/>
      <c r="R47" s="846"/>
      <c r="S47" s="1067"/>
      <c r="T47" s="776"/>
      <c r="U47" s="776"/>
      <c r="V47" s="776"/>
      <c r="W47" s="781"/>
      <c r="X47" s="776"/>
      <c r="Y47" s="781"/>
      <c r="Z47" s="776"/>
      <c r="AA47" s="776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22.259363547015081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776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776"/>
      <c r="O49" s="806">
        <f>O52+O54+O55+O56+O57+O58</f>
        <v>127341</v>
      </c>
      <c r="P49" s="776"/>
      <c r="Q49" s="894">
        <f>Q52+Q54+Q55+Q56+Q57+Q58</f>
        <v>2834529.6134404475</v>
      </c>
      <c r="R49" s="776"/>
      <c r="S49" s="1308">
        <f>IF(AND(Q49&lt;&gt;0,O49&lt;&gt;0),Q49*(1-D17-D18-D19)/(($D$25*1000000/$D$8)),0)</f>
        <v>17142.564864466418</v>
      </c>
      <c r="T49" s="1285" t="s">
        <v>448</v>
      </c>
      <c r="U49" s="1283">
        <f>U52+U54+U55+U56+U57+U58</f>
        <v>1765327.6261032382</v>
      </c>
      <c r="V49" s="776" t="s">
        <v>449</v>
      </c>
      <c r="W49" s="1309">
        <f>W52*O52+W54*O54+W55*O55+W56*O56+W57*O57+W58*O58</f>
        <v>1765327.6261032382</v>
      </c>
      <c r="X49" s="776" t="s">
        <v>449</v>
      </c>
      <c r="Y49" s="854" t="s">
        <v>450</v>
      </c>
      <c r="Z49" s="776"/>
      <c r="AA49" s="776"/>
      <c r="AB49" s="777"/>
    </row>
    <row r="50" spans="1:28" s="778" customFormat="1" ht="24" customHeight="1" outlineLevel="1" x14ac:dyDescent="0.25">
      <c r="A50" s="776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776"/>
      <c r="O50" s="895" t="s">
        <v>455</v>
      </c>
      <c r="P50" s="776"/>
      <c r="Q50" s="860">
        <v>0.75</v>
      </c>
      <c r="R50" s="776"/>
      <c r="S50" s="1284"/>
      <c r="T50" s="1286"/>
      <c r="U50" s="1284"/>
      <c r="V50" s="776"/>
      <c r="W50" s="1310"/>
      <c r="X50" s="776"/>
      <c r="Y50" s="861">
        <f>$Y$33</f>
        <v>0.1</v>
      </c>
      <c r="Z50" s="776"/>
      <c r="AA50" s="776"/>
      <c r="AB50" s="777"/>
    </row>
    <row r="51" spans="1:28" s="778" customFormat="1" ht="24" customHeight="1" outlineLevel="1" x14ac:dyDescent="0.25">
      <c r="A51" s="776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776"/>
      <c r="O51" s="868"/>
      <c r="P51" s="776"/>
      <c r="Q51" s="869"/>
      <c r="R51" s="776"/>
      <c r="S51" s="870"/>
      <c r="T51" s="776"/>
      <c r="U51" s="870"/>
      <c r="V51" s="776"/>
      <c r="W51" s="850"/>
      <c r="X51" s="776"/>
      <c r="Y51" s="896"/>
      <c r="Z51" s="776"/>
      <c r="AA51" s="776"/>
      <c r="AB51" s="777"/>
    </row>
    <row r="52" spans="1:28" s="778" customFormat="1" ht="24" customHeight="1" outlineLevel="1" x14ac:dyDescent="0.25">
      <c r="A52" s="776"/>
      <c r="B52" s="1307"/>
      <c r="C52" s="1280"/>
      <c r="D52" s="1282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78.558939310686455</v>
      </c>
      <c r="K52" s="876">
        <f>$M$32*H52*$B$51*$C$51</f>
        <v>6.5465782758905382</v>
      </c>
      <c r="L52" s="875">
        <f>J52*$D$51</f>
        <v>98.198674138358072</v>
      </c>
      <c r="M52" s="876">
        <f>K52*$D$51</f>
        <v>8.1832228448631721</v>
      </c>
      <c r="N52" s="776"/>
      <c r="O52" s="877">
        <v>62341</v>
      </c>
      <c r="P52" s="776"/>
      <c r="Q52" s="878">
        <f>O52*$Q$50*M52+O52*(1-$Q$50)*K52</f>
        <v>484642.78060303431</v>
      </c>
      <c r="R52" s="776"/>
      <c r="S52" s="879">
        <f>IF(AND(Q52&lt;&gt;0,O52&lt;&gt;0),Q52*(1-D17-D18-D19)/O52/30/(($D$25*1000000/$D$8))*1000,0)</f>
        <v>1.5671895654881145</v>
      </c>
      <c r="T52" s="776" t="s">
        <v>459</v>
      </c>
      <c r="U52" s="880">
        <f>S52*O52*30*$D$11*(1+$D$24)/1000</f>
        <v>301832.54580698768</v>
      </c>
      <c r="V52" s="776" t="s">
        <v>460</v>
      </c>
      <c r="W52" s="880">
        <f>IF(O52&lt;&gt;0,U52/O52,0)</f>
        <v>4.8416378596266929</v>
      </c>
      <c r="X52" s="776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776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776"/>
      <c r="O53" s="868"/>
      <c r="P53" s="776"/>
      <c r="Q53" s="869"/>
      <c r="R53" s="776"/>
      <c r="S53" s="885"/>
      <c r="T53" s="776"/>
      <c r="U53" s="886"/>
      <c r="V53" s="776"/>
      <c r="W53" s="897"/>
      <c r="X53" s="776"/>
      <c r="Y53" s="896"/>
      <c r="Z53" s="776"/>
      <c r="AA53" s="781"/>
      <c r="AB53" s="777"/>
    </row>
    <row r="54" spans="1:28" s="778" customFormat="1" ht="24" customHeight="1" outlineLevel="1" x14ac:dyDescent="0.25">
      <c r="A54" s="776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249.96026144309323</v>
      </c>
      <c r="K54" s="876">
        <f>$M$32*(H52+(G54-F54)*H54)*$B$51*$C$51</f>
        <v>20.830021786924437</v>
      </c>
      <c r="L54" s="875">
        <f t="shared" ref="L54:M58" si="1">J54*$D$51</f>
        <v>312.45032680386652</v>
      </c>
      <c r="M54" s="876">
        <f t="shared" si="1"/>
        <v>26.037527233655545</v>
      </c>
      <c r="N54" s="776"/>
      <c r="O54" s="877">
        <v>42500</v>
      </c>
      <c r="P54" s="776"/>
      <c r="Q54" s="878">
        <f>O54*$Q$50*M54+O54*(1-$Q$50)*K54</f>
        <v>1051265.1620588426</v>
      </c>
      <c r="R54" s="776"/>
      <c r="S54" s="879">
        <f>IF(AND(Q54&lt;&gt;0,O54&lt;&gt;0),Q54*(1-D17-D18-D19)/O54/30/(($D$25*1000000/$D$8))*1000,0)</f>
        <v>4.9865122538258193</v>
      </c>
      <c r="T54" s="776" t="s">
        <v>459</v>
      </c>
      <c r="U54" s="880">
        <f>S54*O54*30*$D$11*(1+$D$24)/1000</f>
        <v>654721.48329042795</v>
      </c>
      <c r="V54" s="776" t="s">
        <v>460</v>
      </c>
      <c r="W54" s="898">
        <f>IF(O54&lt;&gt;0,U54/O54,0)</f>
        <v>15.405211371539481</v>
      </c>
      <c r="X54" s="776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776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428.50330533101697</v>
      </c>
      <c r="K55" s="876">
        <f>$M$32*(H52+(G54-F54)*H54+(G55-F55)*H55)*$B$51*$C$51</f>
        <v>35.70860877758475</v>
      </c>
      <c r="L55" s="875">
        <f t="shared" si="1"/>
        <v>535.6291316637712</v>
      </c>
      <c r="M55" s="876">
        <f t="shared" si="1"/>
        <v>44.635760971980936</v>
      </c>
      <c r="N55" s="776"/>
      <c r="O55" s="877">
        <v>10000</v>
      </c>
      <c r="P55" s="776"/>
      <c r="Q55" s="878">
        <f>O55*$Q$50*M55+O55*(1-$Q$50)*K55</f>
        <v>424039.72923381894</v>
      </c>
      <c r="R55" s="776"/>
      <c r="S55" s="879">
        <f>IF(AND(Q55&lt;&gt;0,O55&lt;&gt;0),Q55*(1-D17-D18-D19)/O55/30/(($D$25*1000000/$D$8))*1000,0)</f>
        <v>8.5483067208442609</v>
      </c>
      <c r="T55" s="776" t="s">
        <v>459</v>
      </c>
      <c r="U55" s="880">
        <f>S55*O55*30*$D$11*(1+$D$24)/1000</f>
        <v>264089.33779781964</v>
      </c>
      <c r="V55" s="776" t="s">
        <v>460</v>
      </c>
      <c r="W55" s="899">
        <f>IF(O55&lt;&gt;0,U55/O55,0)</f>
        <v>26.408933779781965</v>
      </c>
      <c r="X55" s="776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776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707.03045379617811</v>
      </c>
      <c r="K56" s="876">
        <f>$M$32*(H52+(G54-F54)*H54+(G55-F55)*H55+(G56-F56)*H56)*$B$51*$C$51</f>
        <v>58.919204483014845</v>
      </c>
      <c r="L56" s="875">
        <f t="shared" si="1"/>
        <v>883.78806724522269</v>
      </c>
      <c r="M56" s="876">
        <f t="shared" si="1"/>
        <v>73.649005603768558</v>
      </c>
      <c r="N56" s="776"/>
      <c r="O56" s="877">
        <v>12500</v>
      </c>
      <c r="P56" s="776"/>
      <c r="Q56" s="878">
        <f>O56*$Q$50*M56+O56*(1-$Q$50)*K56</f>
        <v>874581.94154475164</v>
      </c>
      <c r="R56" s="776"/>
      <c r="S56" s="879">
        <f>IF(AND(Q56&lt;&gt;0,O56&lt;&gt;0),Q56*(1-D17-D18-D19)/O56/30/(($D$25*1000000/$D$8))*1000,0)</f>
        <v>14.10470608939303</v>
      </c>
      <c r="T56" s="776" t="s">
        <v>459</v>
      </c>
      <c r="U56" s="880">
        <f>S56*O56*30*$D$11*(1+$D$24)/1000</f>
        <v>544684.25920800306</v>
      </c>
      <c r="V56" s="776" t="s">
        <v>460</v>
      </c>
      <c r="W56" s="899">
        <f>IF(O56&lt;&gt;0,U56/O56,0)</f>
        <v>43.574740736640244</v>
      </c>
      <c r="X56" s="776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776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1456.9112381254577</v>
      </c>
      <c r="K57" s="876">
        <f>$M$32*(H52+(G54-F54)*H54+(G55-F55)*H55+(G56-F56)*H56+(G57-F57)*H57)*$B$51*$C$51</f>
        <v>121.40926984378815</v>
      </c>
      <c r="L57" s="875">
        <f t="shared" si="1"/>
        <v>1821.1390476568222</v>
      </c>
      <c r="M57" s="876">
        <f t="shared" si="1"/>
        <v>151.7615873047352</v>
      </c>
      <c r="N57" s="776"/>
      <c r="O57" s="877">
        <v>0</v>
      </c>
      <c r="P57" s="776"/>
      <c r="Q57" s="878">
        <f>O57*$Q$50*M57+O57*(1-$Q$50)*K57</f>
        <v>0</v>
      </c>
      <c r="R57" s="776"/>
      <c r="S57" s="879">
        <f>IF(AND(Q57&lt;&gt;0,O57&lt;&gt;0),Q57*(1-D17-D18-D19)/O57/30/(($D$25*1000000/$D$8))*1000,0)</f>
        <v>0</v>
      </c>
      <c r="T57" s="776" t="s">
        <v>459</v>
      </c>
      <c r="U57" s="880">
        <f>S57*O57*30*$D$11*(1+$D$24)/1000</f>
        <v>0</v>
      </c>
      <c r="V57" s="776" t="s">
        <v>460</v>
      </c>
      <c r="W57" s="899">
        <f>IF(O57&lt;&gt;0,U57/O57,0)</f>
        <v>0</v>
      </c>
      <c r="X57" s="776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776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3063.7986331167713</v>
      </c>
      <c r="K58" s="876">
        <f>$M$32*(H52+(G54-F54)*H54+(G55-F55)*H55+(G56-F56)*H56+(G57-F57)*H57+(G58-F58)*H58)*$B$51*$C$51</f>
        <v>255.31655275973097</v>
      </c>
      <c r="L58" s="875">
        <f t="shared" si="1"/>
        <v>3829.7482913959639</v>
      </c>
      <c r="M58" s="876">
        <f t="shared" si="1"/>
        <v>319.14569094966373</v>
      </c>
      <c r="N58" s="776"/>
      <c r="O58" s="877">
        <v>0</v>
      </c>
      <c r="P58" s="776"/>
      <c r="Q58" s="878">
        <f>O58*$Q$50*M58+O58*(1-$Q$50)*K58</f>
        <v>0</v>
      </c>
      <c r="R58" s="776"/>
      <c r="S58" s="879">
        <f>IF(AND(Q58&lt;&gt;0,O58&lt;&gt;0),Q58*(1-D17-D18-D19)/O58/30/(($D$25*1000000/$D$8))*1000,0)</f>
        <v>0</v>
      </c>
      <c r="T58" s="776" t="s">
        <v>459</v>
      </c>
      <c r="U58" s="880">
        <f>S58*O58*30*$D$11*(1+$D$24)/1000</f>
        <v>0</v>
      </c>
      <c r="V58" s="776" t="s">
        <v>460</v>
      </c>
      <c r="W58" s="900">
        <f>IF(O58&lt;&gt;0,U58/O58,0)</f>
        <v>0</v>
      </c>
      <c r="X58" s="776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776"/>
      <c r="B59" s="776"/>
      <c r="C59" s="781"/>
      <c r="D59" s="776"/>
      <c r="E59" s="776"/>
      <c r="F59" s="776"/>
      <c r="G59" s="776"/>
      <c r="H59" s="781"/>
      <c r="I59" s="776"/>
      <c r="J59" s="781"/>
      <c r="K59" s="781"/>
      <c r="L59" s="781"/>
      <c r="M59" s="781"/>
      <c r="N59" s="776"/>
      <c r="O59" s="776"/>
      <c r="P59" s="776"/>
      <c r="Q59" s="776"/>
      <c r="R59" s="776"/>
      <c r="S59" s="1067"/>
      <c r="T59" s="776"/>
      <c r="U59" s="776"/>
      <c r="V59" s="776"/>
      <c r="W59" s="781"/>
      <c r="X59" s="776"/>
      <c r="Y59" s="781"/>
      <c r="Z59" s="776"/>
      <c r="AA59" s="776"/>
      <c r="AB59" s="777"/>
    </row>
    <row r="60" spans="1:28" s="778" customFormat="1" ht="34.9" customHeight="1" outlineLevel="1" x14ac:dyDescent="0.25">
      <c r="A60" s="776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776"/>
      <c r="P60" s="846"/>
      <c r="Q60" s="776"/>
      <c r="R60" s="846"/>
      <c r="S60" s="1067"/>
      <c r="T60" s="776"/>
      <c r="U60" s="776"/>
      <c r="V60" s="776"/>
      <c r="W60" s="781"/>
      <c r="X60" s="776"/>
      <c r="Y60" s="781"/>
      <c r="Z60" s="776"/>
      <c r="AA60" s="776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7.8205395418138393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776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776"/>
      <c r="O62" s="806">
        <f>O65+O67+O68+O69+O70+O71</f>
        <v>42447</v>
      </c>
      <c r="P62" s="776"/>
      <c r="Q62" s="853">
        <f>Q65+Q67+Q68+Q69+Q70+Q71</f>
        <v>331958.44193137204</v>
      </c>
      <c r="R62" s="776"/>
      <c r="S62" s="1283">
        <f>IF(AND(Q62&lt;&gt;0,O62&lt;&gt;0),Q62*(1-D17-D18-D19)/(H15)/(($D$25*1000000/$D$8)),0)</f>
        <v>4015.2123273876764</v>
      </c>
      <c r="T62" s="1285" t="s">
        <v>448</v>
      </c>
      <c r="U62" s="1283">
        <f>U65+U67+U68+U69+U70+U71</f>
        <v>413483.35574335716</v>
      </c>
      <c r="V62" s="776" t="s">
        <v>449</v>
      </c>
      <c r="W62" s="1283">
        <f>W65*O65+W67*O67+W68*O68+W69*O69+W70*O70+W71*O71</f>
        <v>413483.35574335716</v>
      </c>
      <c r="X62" s="776" t="s">
        <v>449</v>
      </c>
      <c r="Y62" s="854" t="s">
        <v>450</v>
      </c>
      <c r="Z62" s="776"/>
      <c r="AA62" s="776"/>
      <c r="AB62" s="777"/>
    </row>
    <row r="63" spans="1:28" s="778" customFormat="1" ht="24" customHeight="1" outlineLevel="1" x14ac:dyDescent="0.25">
      <c r="A63" s="776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776"/>
      <c r="O63" s="895" t="s">
        <v>455</v>
      </c>
      <c r="P63" s="776"/>
      <c r="Q63" s="860">
        <v>0.75</v>
      </c>
      <c r="R63" s="776"/>
      <c r="S63" s="1284"/>
      <c r="T63" s="1286"/>
      <c r="U63" s="1284"/>
      <c r="V63" s="776"/>
      <c r="W63" s="1287"/>
      <c r="X63" s="776"/>
      <c r="Y63" s="861">
        <f>$Y$33</f>
        <v>0.1</v>
      </c>
      <c r="Z63" s="776"/>
      <c r="AA63" s="776"/>
      <c r="AB63" s="777"/>
    </row>
    <row r="64" spans="1:28" s="778" customFormat="1" ht="24" customHeight="1" outlineLevel="1" x14ac:dyDescent="0.25">
      <c r="A64" s="776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776"/>
      <c r="O64" s="868"/>
      <c r="P64" s="776"/>
      <c r="Q64" s="869"/>
      <c r="R64" s="776"/>
      <c r="S64" s="870"/>
      <c r="T64" s="776"/>
      <c r="U64" s="870"/>
      <c r="V64" s="776"/>
      <c r="W64" s="871"/>
      <c r="X64" s="776"/>
      <c r="Y64" s="896"/>
      <c r="Z64" s="776"/>
      <c r="AA64" s="776"/>
      <c r="AB64" s="777"/>
    </row>
    <row r="65" spans="1:28" s="778" customFormat="1" ht="24" customHeight="1" outlineLevel="1" x14ac:dyDescent="0.25">
      <c r="A65" s="776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39.279469655343227</v>
      </c>
      <c r="K65" s="876">
        <f>$M$32*H65*$B$64*$C$64</f>
        <v>3.2732891379452691</v>
      </c>
      <c r="L65" s="875">
        <f>J65*$D$51</f>
        <v>49.099337069179036</v>
      </c>
      <c r="M65" s="876">
        <f>K65*$D$51</f>
        <v>4.091611422431586</v>
      </c>
      <c r="N65" s="776"/>
      <c r="O65" s="877">
        <v>25947</v>
      </c>
      <c r="P65" s="776"/>
      <c r="Q65" s="878">
        <f>O65*$Q$63*M65+O65*(1-$Q$63)*K65</f>
        <v>100856.78949894075</v>
      </c>
      <c r="R65" s="776"/>
      <c r="S65" s="879">
        <f>IF(AND(Q65&lt;&gt;0,O65&lt;&gt;0),Q65*(1-D17-D18-D19)/(H15)/O65/30/(($D$25*1000000/$D$8))*1000,0)</f>
        <v>1.5671895654881145</v>
      </c>
      <c r="T65" s="776" t="s">
        <v>459</v>
      </c>
      <c r="U65" s="880">
        <f>S65*O65*30*$D$11*(1+$D$24)/1000</f>
        <v>125625.97754373381</v>
      </c>
      <c r="V65" s="776" t="s">
        <v>460</v>
      </c>
      <c r="W65" s="880">
        <f>IF(O65&lt;&gt;0,U65/O65,0)</f>
        <v>4.8416378596266929</v>
      </c>
      <c r="X65" s="776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776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776"/>
      <c r="O66" s="868"/>
      <c r="P66" s="776"/>
      <c r="Q66" s="869"/>
      <c r="R66" s="776"/>
      <c r="S66" s="885"/>
      <c r="T66" s="776"/>
      <c r="U66" s="886"/>
      <c r="V66" s="776"/>
      <c r="W66" s="886"/>
      <c r="X66" s="776"/>
      <c r="Y66" s="896"/>
      <c r="Z66" s="907"/>
      <c r="AA66" s="781"/>
      <c r="AB66" s="781"/>
    </row>
    <row r="67" spans="1:28" s="778" customFormat="1" ht="24" customHeight="1" outlineLevel="1" x14ac:dyDescent="0.25">
      <c r="A67" s="776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124.98013072154662</v>
      </c>
      <c r="K67" s="876">
        <f>$M$32*(H65+(G67-F67)*H67)*$B$64*$C$64</f>
        <v>10.415010893462219</v>
      </c>
      <c r="L67" s="875">
        <f t="shared" ref="L67:M71" si="3">J67*$D$51</f>
        <v>156.22516340193326</v>
      </c>
      <c r="M67" s="876">
        <f t="shared" si="3"/>
        <v>13.018763616827773</v>
      </c>
      <c r="N67" s="776"/>
      <c r="O67" s="877">
        <v>15000</v>
      </c>
      <c r="P67" s="776"/>
      <c r="Q67" s="878">
        <f>O67*$Q$63*M67+O67*(1-$Q$63)*K67</f>
        <v>185517.38153979575</v>
      </c>
      <c r="R67" s="776"/>
      <c r="S67" s="879">
        <f>IF(AND(Q67&lt;&gt;0,O67&lt;&gt;0),Q67*(1-D17-D18-D19)/O67/30/(H15)/(($D$25*1000000/$D$8))*1000,0)</f>
        <v>4.9865122538258184</v>
      </c>
      <c r="T67" s="776" t="s">
        <v>459</v>
      </c>
      <c r="U67" s="880">
        <f>S67*O67*30*$D$11*(1+$D$24)/1000</f>
        <v>231078.17057309218</v>
      </c>
      <c r="V67" s="776" t="s">
        <v>460</v>
      </c>
      <c r="W67" s="880">
        <f>IF(O67&lt;&gt;0,U67/O67,0)</f>
        <v>15.40521137153948</v>
      </c>
      <c r="X67" s="776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776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214.25165266550849</v>
      </c>
      <c r="K68" s="876">
        <f>$M$32*(H65+(G67-F67)*H67+(G68-F68)*H68)*$B$64*$C$64</f>
        <v>17.854304388792375</v>
      </c>
      <c r="L68" s="875">
        <f t="shared" si="3"/>
        <v>267.8145658318856</v>
      </c>
      <c r="M68" s="876">
        <f t="shared" si="3"/>
        <v>22.317880485990468</v>
      </c>
      <c r="N68" s="776"/>
      <c r="O68" s="877">
        <v>500</v>
      </c>
      <c r="P68" s="776"/>
      <c r="Q68" s="878">
        <f>O68*$Q$63*M68+O68*(1-$Q$63)*K68</f>
        <v>10600.993230845472</v>
      </c>
      <c r="R68" s="776"/>
      <c r="S68" s="879">
        <f>IF(AND(Q68&lt;&gt;0,O68&lt;&gt;0),Q68*(1-D17-D18-D19)/O68/30/(H15)/(($D$25*1000000/$D$8))*1000,0)</f>
        <v>8.5483067208442591</v>
      </c>
      <c r="T68" s="776" t="s">
        <v>459</v>
      </c>
      <c r="U68" s="880">
        <f>S68*O68*30*$D$11*(1+$D$24)/1000</f>
        <v>13204.466889890979</v>
      </c>
      <c r="V68" s="776" t="s">
        <v>460</v>
      </c>
      <c r="W68" s="880">
        <f>IF(O68&lt;&gt;0,U68/O68,0)</f>
        <v>26.408933779781957</v>
      </c>
      <c r="X68" s="776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776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353.51522689808905</v>
      </c>
      <c r="K69" s="876">
        <f>$M$32*(H65+(G67-F67)*H67+(G68-F68)*H68+(G69-F69)*H69)*$B$64*$C$64</f>
        <v>29.459602241507422</v>
      </c>
      <c r="L69" s="875">
        <f t="shared" si="3"/>
        <v>441.89403362261135</v>
      </c>
      <c r="M69" s="876">
        <f t="shared" si="3"/>
        <v>36.824502801884279</v>
      </c>
      <c r="N69" s="776"/>
      <c r="O69" s="877">
        <v>1000</v>
      </c>
      <c r="P69" s="776"/>
      <c r="Q69" s="878">
        <f>O69*$Q$63*M69+O69*(1-$Q$63)*K69</f>
        <v>34983.277661790067</v>
      </c>
      <c r="R69" s="776"/>
      <c r="S69" s="879">
        <f>IF(AND(Q69&lt;&gt;0,O69&lt;&gt;0),Q69*(1-D17-D18-D19)/O69/30/(H15)/(($D$25*1000000/$D$8))*1000,0)</f>
        <v>14.104706089393034</v>
      </c>
      <c r="T69" s="776" t="s">
        <v>459</v>
      </c>
      <c r="U69" s="880">
        <f>S69*O69*30*$D$11*(1+$D$24)/1000</f>
        <v>43574.740736640255</v>
      </c>
      <c r="V69" s="776" t="s">
        <v>460</v>
      </c>
      <c r="W69" s="880">
        <f>IF(O69&lt;&gt;0,U69/O69,0)</f>
        <v>43.574740736640258</v>
      </c>
      <c r="X69" s="776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776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728.45561906272883</v>
      </c>
      <c r="K70" s="876">
        <f>$M$32*(H65+(G67-F67)*H67+(G68-F68)*H68+(G69-F69)*H69+(G70-F70)*H70)*$B$64*$C$64</f>
        <v>60.704634921894076</v>
      </c>
      <c r="L70" s="875">
        <f t="shared" si="3"/>
        <v>910.56952382841109</v>
      </c>
      <c r="M70" s="876">
        <f t="shared" si="3"/>
        <v>75.880793652367601</v>
      </c>
      <c r="N70" s="776"/>
      <c r="O70" s="877">
        <v>0</v>
      </c>
      <c r="P70" s="776"/>
      <c r="Q70" s="878">
        <f>O70*$Q$63*M70+O70*(1-$Q$63)*K70</f>
        <v>0</v>
      </c>
      <c r="R70" s="776"/>
      <c r="S70" s="879">
        <f>IF(AND(Q70&lt;&gt;0,O70&lt;&gt;0),Q70*(1-D17-D18-D19)/O70/30/(H15)/(($D$25*1000000/$D$8))*1000,0)</f>
        <v>0</v>
      </c>
      <c r="T70" s="776" t="s">
        <v>459</v>
      </c>
      <c r="U70" s="880">
        <f>S70*O70*30*$D$11*(1+$D$24)/1000</f>
        <v>0</v>
      </c>
      <c r="V70" s="776" t="s">
        <v>460</v>
      </c>
      <c r="W70" s="880">
        <f>IF(O70&lt;&gt;0,U70/O70,0)</f>
        <v>0</v>
      </c>
      <c r="X70" s="776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776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1531.8993165583856</v>
      </c>
      <c r="K71" s="876">
        <f>$M$32*(H65+(G67-F67)*H67+(G68-F68)*H68+(G69-F69)*H69+(G70-F70)*H70+(G71-F71)*H71)*$B$64*$C$64</f>
        <v>127.65827637986548</v>
      </c>
      <c r="L71" s="875">
        <f t="shared" si="3"/>
        <v>1914.8741456979819</v>
      </c>
      <c r="M71" s="876">
        <f t="shared" si="3"/>
        <v>159.57284547483187</v>
      </c>
      <c r="N71" s="776"/>
      <c r="O71" s="877">
        <v>0</v>
      </c>
      <c r="P71" s="776"/>
      <c r="Q71" s="878">
        <f>O71*$Q$63*M71+O71*(1-$Q$63)*K71</f>
        <v>0</v>
      </c>
      <c r="R71" s="776"/>
      <c r="S71" s="879">
        <f>IF(AND(Q71&lt;&gt;0,O71&lt;&gt;0),Q71*(1-D17-D18-D19)/O71/30/(H15)/(($D$25*1000000/$D$8))*1000,0)</f>
        <v>0</v>
      </c>
      <c r="T71" s="776" t="s">
        <v>459</v>
      </c>
      <c r="U71" s="880">
        <f>S71*O71*30*$D$11*(1+$D$24)/1000</f>
        <v>0</v>
      </c>
      <c r="V71" s="776" t="s">
        <v>460</v>
      </c>
      <c r="W71" s="880">
        <f>IF(O71&lt;&gt;0,U71/O71,0)</f>
        <v>0</v>
      </c>
      <c r="X71" s="776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776"/>
      <c r="B72" s="776"/>
      <c r="C72" s="781"/>
      <c r="D72" s="776"/>
      <c r="E72" s="776"/>
      <c r="F72" s="776"/>
      <c r="G72" s="776"/>
      <c r="H72" s="781"/>
      <c r="I72" s="776"/>
      <c r="J72" s="781"/>
      <c r="K72" s="781"/>
      <c r="L72" s="781"/>
      <c r="M72" s="781"/>
      <c r="N72" s="776"/>
      <c r="O72" s="776"/>
      <c r="P72" s="776"/>
      <c r="Q72" s="776"/>
      <c r="R72" s="776"/>
      <c r="S72" s="1067"/>
      <c r="T72" s="776"/>
      <c r="U72" s="776"/>
      <c r="V72" s="776"/>
      <c r="W72" s="781"/>
      <c r="X72" s="776"/>
      <c r="Y72" s="781"/>
      <c r="Z72" s="776"/>
      <c r="AA72" s="776"/>
      <c r="AB72" s="777"/>
    </row>
    <row r="73" spans="1:28" s="778" customFormat="1" ht="34.9" customHeight="1" outlineLevel="1" x14ac:dyDescent="0.25">
      <c r="A73" s="776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776"/>
      <c r="O73" s="776"/>
      <c r="P73" s="776"/>
      <c r="Q73" s="776"/>
      <c r="R73" s="776"/>
      <c r="S73" s="1067"/>
      <c r="T73" s="776"/>
      <c r="U73" s="776"/>
      <c r="V73" s="776"/>
      <c r="W73" s="781"/>
      <c r="X73" s="776"/>
      <c r="Y73" s="781"/>
      <c r="Z73" s="776"/>
      <c r="AA73" s="776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30.912191093519198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776"/>
      <c r="O75" s="806">
        <f>O78+O80+O81+O82+O83+O84</f>
        <v>1741</v>
      </c>
      <c r="P75" s="776"/>
      <c r="Q75" s="853">
        <f>Q78+Q80+Q81+Q82+Q83+Q84</f>
        <v>53818.124693816921</v>
      </c>
      <c r="R75" s="776"/>
      <c r="S75" s="1283">
        <f>IF(AND(Q75&lt;&gt;0,O75&lt;&gt;0),Q75*(1-D17-D18-D19)/(($D$25*1000000/$D$8)),0)</f>
        <v>325.47929260400429</v>
      </c>
      <c r="T75" s="1285" t="s">
        <v>448</v>
      </c>
      <c r="U75" s="1283">
        <f>U78+U80+U81+U82+U83+U84</f>
        <v>33517.597366622096</v>
      </c>
      <c r="V75" s="776" t="s">
        <v>449</v>
      </c>
      <c r="W75" s="1283">
        <f>W78*O78+W80*O80+W81*O81+W82*O82+W83*O83+W84*O84</f>
        <v>33517.597366622096</v>
      </c>
      <c r="X75" s="776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776"/>
      <c r="O76" s="895" t="s">
        <v>455</v>
      </c>
      <c r="P76" s="776"/>
      <c r="Q76" s="860">
        <v>0.75</v>
      </c>
      <c r="R76" s="776"/>
      <c r="S76" s="1284"/>
      <c r="T76" s="1286"/>
      <c r="U76" s="1284"/>
      <c r="V76" s="776"/>
      <c r="W76" s="1287"/>
      <c r="X76" s="776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776"/>
      <c r="O77" s="868"/>
      <c r="P77" s="776"/>
      <c r="Q77" s="869"/>
      <c r="R77" s="776"/>
      <c r="S77" s="870"/>
      <c r="T77" s="776"/>
      <c r="U77" s="870"/>
      <c r="V77" s="776"/>
      <c r="W77" s="871"/>
      <c r="X77" s="776"/>
      <c r="Y77" s="871"/>
      <c r="Z77" s="882"/>
      <c r="AA77" s="882"/>
      <c r="AB77" s="777"/>
    </row>
    <row r="78" spans="1:28" s="778" customFormat="1" ht="24" customHeight="1" outlineLevel="1" x14ac:dyDescent="0.25">
      <c r="A78" s="776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75.618230352532422</v>
      </c>
      <c r="K78" s="876">
        <f>$M$32*H78*$B$77*$C$77</f>
        <v>6.3015191960443682</v>
      </c>
      <c r="L78" s="875">
        <f>J78*$D$77</f>
        <v>94.522787940665523</v>
      </c>
      <c r="M78" s="876">
        <f>K78*$D$77</f>
        <v>7.87689899505546</v>
      </c>
      <c r="N78" s="776"/>
      <c r="O78" s="877">
        <v>264</v>
      </c>
      <c r="P78" s="776"/>
      <c r="Q78" s="878">
        <f>O78*$Q$76*M78+O78*(1-$Q$76)*K78</f>
        <v>1975.5262679599093</v>
      </c>
      <c r="R78" s="776"/>
      <c r="S78" s="879">
        <f>IF(AND(Q78&lt;&gt;0,O78&lt;&gt;0),Q78*(1-D17-D18-D19)/O78/30/(($D$25*1000000/$D$8))*1000,0)</f>
        <v>1.508524715443105</v>
      </c>
      <c r="T78" s="776" t="s">
        <v>459</v>
      </c>
      <c r="U78" s="880">
        <f>S78*O78*30*$D$11*(1+$D$24)/1000</f>
        <v>1230.345620799254</v>
      </c>
      <c r="V78" s="776" t="s">
        <v>460</v>
      </c>
      <c r="W78" s="880">
        <f>IF(O78&lt;&gt;0,U78/O78,0)</f>
        <v>4.6604000787850532</v>
      </c>
      <c r="X78" s="776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776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776"/>
      <c r="O79" s="868"/>
      <c r="P79" s="776"/>
      <c r="Q79" s="869"/>
      <c r="R79" s="776"/>
      <c r="S79" s="885"/>
      <c r="T79" s="776"/>
      <c r="U79" s="886"/>
      <c r="V79" s="776"/>
      <c r="W79" s="886"/>
      <c r="X79" s="776"/>
      <c r="Y79" s="871"/>
      <c r="Z79" s="882"/>
      <c r="AA79" s="850"/>
      <c r="AB79" s="777"/>
    </row>
    <row r="80" spans="1:28" s="778" customFormat="1" ht="24" customHeight="1" outlineLevel="1" x14ac:dyDescent="0.25">
      <c r="A80" s="776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277.26684462595222</v>
      </c>
      <c r="K80" s="876">
        <f>$M$32*(H78+(G80-F80)*H80)*$B$77*$C$77</f>
        <v>23.105570385496016</v>
      </c>
      <c r="L80" s="875">
        <f t="shared" ref="L80:M84" si="4">J80*$D$77</f>
        <v>346.58355578244027</v>
      </c>
      <c r="M80" s="876">
        <f t="shared" si="4"/>
        <v>28.881962981870018</v>
      </c>
      <c r="N80" s="776"/>
      <c r="O80" s="877">
        <v>994</v>
      </c>
      <c r="P80" s="776"/>
      <c r="Q80" s="878">
        <f>O80*$Q$76*M80+O80*(1-$Q$76)*K80</f>
        <v>27273.237643779859</v>
      </c>
      <c r="R80" s="776"/>
      <c r="S80" s="879">
        <f>IF(AND(Q80&lt;&gt;0,O80&lt;&gt;0),Q80*(1-D17-D18-D19)/O80/30/(($D$25*1000000/$D$8))*1000,0)</f>
        <v>5.5312572899580505</v>
      </c>
      <c r="T80" s="776" t="s">
        <v>459</v>
      </c>
      <c r="U80" s="880">
        <f>S80*O80*30*$D$11*(1+$D$24)/1000</f>
        <v>16985.604820478587</v>
      </c>
      <c r="V80" s="776" t="s">
        <v>460</v>
      </c>
      <c r="W80" s="880">
        <f>IF(O80&lt;&gt;0,U80/O80,0)</f>
        <v>17.08813362221186</v>
      </c>
      <c r="X80" s="776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776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420.10127973629119</v>
      </c>
      <c r="K81" s="876">
        <f>$M$32*(H78+(G80-F80)*H80+(G81-F81)*H81)*$B$77*$C$77</f>
        <v>35.008439978024271</v>
      </c>
      <c r="L81" s="875">
        <f t="shared" si="4"/>
        <v>525.12659967036393</v>
      </c>
      <c r="M81" s="876">
        <f t="shared" si="4"/>
        <v>43.760549972530342</v>
      </c>
      <c r="N81" s="776"/>
      <c r="O81" s="877">
        <v>183</v>
      </c>
      <c r="P81" s="776"/>
      <c r="Q81" s="878">
        <f>O81*$Q$76*M81+O81*(1-$Q$76)*K81</f>
        <v>7607.7716127244003</v>
      </c>
      <c r="R81" s="776"/>
      <c r="S81" s="879">
        <f>IF(AND(Q81&lt;&gt;0,O81&lt;&gt;0),Q81*(1-D17-D18-D19)/O81/30/(($D$25*1000000/$D$8))*1000,0)</f>
        <v>8.380692863572806</v>
      </c>
      <c r="T81" s="776" t="s">
        <v>459</v>
      </c>
      <c r="U81" s="880">
        <f>S81*O81*30*$D$11*(1+$D$24)/1000</f>
        <v>4738.0734134314707</v>
      </c>
      <c r="V81" s="776" t="s">
        <v>460</v>
      </c>
      <c r="W81" s="880">
        <f>IF(O81&lt;&gt;0,U81/O81,0)</f>
        <v>25.891111548805849</v>
      </c>
      <c r="X81" s="776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776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571.337740441356</v>
      </c>
      <c r="K82" s="876">
        <f>$M$32*(H78+(G80-F80)*H80+(G81-F81)*H81+(G82-F82)*H82)*$B$77*$C$77</f>
        <v>47.611478370113005</v>
      </c>
      <c r="L82" s="875">
        <f t="shared" si="4"/>
        <v>714.17217555169498</v>
      </c>
      <c r="M82" s="876">
        <f t="shared" si="4"/>
        <v>59.514347962641253</v>
      </c>
      <c r="N82" s="776"/>
      <c r="O82" s="877">
        <v>300</v>
      </c>
      <c r="P82" s="776"/>
      <c r="Q82" s="878">
        <f>O82*$Q$76*M82+O82*(1-$Q$76)*K82</f>
        <v>16961.589169352756</v>
      </c>
      <c r="R82" s="776"/>
      <c r="S82" s="879">
        <f>IF(AND(Q82&lt;&gt;0,O82&lt;&gt;0),Q82*(1-D17-D18-D19)/O82/30/(($D$25*1000000/$D$8))*1000,0)</f>
        <v>11.397742294459013</v>
      </c>
      <c r="T82" s="776" t="s">
        <v>459</v>
      </c>
      <c r="U82" s="880">
        <f>S82*O82*30*$D$11*(1+$D$24)/1000</f>
        <v>10563.573511912784</v>
      </c>
      <c r="V82" s="776" t="s">
        <v>460</v>
      </c>
      <c r="W82" s="880">
        <f>IF(O82&lt;&gt;0,U82/O82,0)</f>
        <v>35.211911706375943</v>
      </c>
      <c r="X82" s="776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776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810.7954698910421</v>
      </c>
      <c r="K83" s="876">
        <f>$M$32*(H78+(G80-F80)*H80+(G81-F81)*H81+(G82-F82)*H82+(G83-F83)*H83)*$B$77*$C$77</f>
        <v>67.566289157586837</v>
      </c>
      <c r="L83" s="875">
        <f t="shared" si="4"/>
        <v>1013.4943373638026</v>
      </c>
      <c r="M83" s="876">
        <f t="shared" si="4"/>
        <v>84.457861446983543</v>
      </c>
      <c r="N83" s="776"/>
      <c r="O83" s="877">
        <v>0</v>
      </c>
      <c r="P83" s="776"/>
      <c r="Q83" s="878">
        <f>O83*$Q$76*M83+O83*(1-$Q$76)*K83</f>
        <v>0</v>
      </c>
      <c r="R83" s="776"/>
      <c r="S83" s="879">
        <f>IF(AND(Q83&lt;&gt;0,O83&lt;&gt;0),Q83*(1-D17-D18-D19)/O83/30/(($D$25*1000000/$D$8))*1000,0)</f>
        <v>0</v>
      </c>
      <c r="T83" s="776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776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776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1566.9777734163658</v>
      </c>
      <c r="K84" s="876">
        <f>$M$32*(H78+(G80-F80)*H80+(G81-F81)*H81+(G82-F82)*H82+(G83-F83)*H83+(G84-F84)*H84)*$B$77*$C$77</f>
        <v>130.58148111803052</v>
      </c>
      <c r="L84" s="875">
        <f t="shared" si="4"/>
        <v>1958.7222167704572</v>
      </c>
      <c r="M84" s="876">
        <f t="shared" si="4"/>
        <v>163.22685139753816</v>
      </c>
      <c r="N84" s="776"/>
      <c r="O84" s="877">
        <v>0</v>
      </c>
      <c r="P84" s="776"/>
      <c r="Q84" s="878">
        <f>O84*$Q$76*M84+O84*(1-$Q$76)*K84</f>
        <v>0</v>
      </c>
      <c r="R84" s="776"/>
      <c r="S84" s="879">
        <f>IF(AND(Q84&lt;&gt;0,O84&lt;&gt;0),Q84*(1-D17-D18-D19)/O84/30/(($D$25*1000000/$D$8))*1000,0)</f>
        <v>0</v>
      </c>
      <c r="T84" s="776" t="s">
        <v>459</v>
      </c>
      <c r="U84" s="880">
        <f>S84*O84*30*$D$11*(1+$D$24)/1000</f>
        <v>0</v>
      </c>
      <c r="V84" s="776" t="s">
        <v>460</v>
      </c>
      <c r="W84" s="880">
        <f>IF(O84&lt;&gt;0,U84/O84,0)</f>
        <v>0</v>
      </c>
      <c r="X84" s="776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776"/>
      <c r="B85" s="776"/>
      <c r="C85" s="781"/>
      <c r="D85" s="776"/>
      <c r="E85" s="776"/>
      <c r="F85" s="776"/>
      <c r="G85" s="776"/>
      <c r="H85" s="781"/>
      <c r="I85" s="776"/>
      <c r="J85" s="781"/>
      <c r="K85" s="781"/>
      <c r="L85" s="781"/>
      <c r="M85" s="781"/>
      <c r="N85" s="776"/>
      <c r="O85" s="776"/>
      <c r="P85" s="776"/>
      <c r="Q85" s="776"/>
      <c r="R85" s="776"/>
      <c r="S85" s="1067"/>
      <c r="T85" s="776"/>
      <c r="U85" s="776"/>
      <c r="V85" s="776"/>
      <c r="W85" s="781"/>
      <c r="X85" s="776"/>
      <c r="Y85" s="781"/>
      <c r="Z85" s="776"/>
      <c r="AA85" s="776"/>
      <c r="AB85" s="777"/>
    </row>
    <row r="86" spans="1:28" s="778" customFormat="1" ht="34.9" customHeight="1" outlineLevel="1" x14ac:dyDescent="0.25">
      <c r="A86" s="776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776"/>
      <c r="O86" s="776"/>
      <c r="P86" s="776"/>
      <c r="Q86" s="776"/>
      <c r="R86" s="776"/>
      <c r="S86" s="1067"/>
      <c r="T86" s="776"/>
      <c r="U86" s="776"/>
      <c r="V86" s="776"/>
      <c r="W86" s="781"/>
      <c r="X86" s="776"/>
      <c r="Y86" s="781"/>
      <c r="Z86" s="776"/>
      <c r="AA86" s="776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67.139623795354666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776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776"/>
      <c r="O88" s="881">
        <f>O91+O93+O94+O95+O96</f>
        <v>20</v>
      </c>
      <c r="P88" s="776"/>
      <c r="Q88" s="853">
        <f>Q91+Q93+Q94+Q95+Q96</f>
        <v>1342.7924759070934</v>
      </c>
      <c r="R88" s="776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836.28290302642881</v>
      </c>
      <c r="V88" s="776" t="s">
        <v>449</v>
      </c>
      <c r="W88" s="1283">
        <f>W91*O91+W93*O93+W94*O94+W95*O95+W96*O96</f>
        <v>836.2829030264287</v>
      </c>
      <c r="X88" s="776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776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776"/>
      <c r="O89" s="895" t="s">
        <v>455</v>
      </c>
      <c r="P89" s="776"/>
      <c r="Q89" s="860">
        <v>0.75</v>
      </c>
      <c r="R89" s="776"/>
      <c r="S89" s="1284"/>
      <c r="T89" s="1286"/>
      <c r="U89" s="1284"/>
      <c r="V89" s="776"/>
      <c r="W89" s="1287"/>
      <c r="X89" s="776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776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776"/>
      <c r="O90" s="868"/>
      <c r="P90" s="776"/>
      <c r="Q90" s="869"/>
      <c r="R90" s="776"/>
      <c r="S90" s="870"/>
      <c r="T90" s="776"/>
      <c r="U90" s="870"/>
      <c r="V90" s="776"/>
      <c r="W90" s="871"/>
      <c r="X90" s="776"/>
      <c r="Y90" s="781"/>
      <c r="Z90" s="776"/>
      <c r="AA90" s="776"/>
      <c r="AB90" s="777"/>
    </row>
    <row r="91" spans="1:28" s="778" customFormat="1" ht="24" customHeight="1" outlineLevel="1" x14ac:dyDescent="0.25">
      <c r="A91" s="776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58.814179163080766</v>
      </c>
      <c r="K91" s="876">
        <f>$M$32*H91*$B$90*$C$90</f>
        <v>4.9011815969233972</v>
      </c>
      <c r="L91" s="875">
        <f>J91*$D$90</f>
        <v>73.517723953850961</v>
      </c>
      <c r="M91" s="876">
        <f>K91*$D$90</f>
        <v>6.1264769961542465</v>
      </c>
      <c r="N91" s="776"/>
      <c r="O91" s="877">
        <v>1</v>
      </c>
      <c r="P91" s="776"/>
      <c r="Q91" s="878">
        <f>O91*$Q$76*M91+O91*(1-$Q$76)*K91</f>
        <v>5.8201531463465344</v>
      </c>
      <c r="R91" s="776"/>
      <c r="S91" s="879">
        <f>IF(AND(Q91&lt;&gt;0,O91&lt;&gt;0),Q91*(1-D17-D18-D19)/O91/30/(($D$25*1000000/$D$8))*1000,0)</f>
        <v>1.1732970009001924</v>
      </c>
      <c r="T91" s="776" t="s">
        <v>459</v>
      </c>
      <c r="U91" s="880">
        <f>S91*O91*30*$D$11*(1+$D$24)/1000</f>
        <v>3.6247556168328177</v>
      </c>
      <c r="V91" s="776" t="s">
        <v>460</v>
      </c>
      <c r="W91" s="880">
        <f>IF(O91&lt;&gt;0,U91/O91,0)</f>
        <v>3.6247556168328177</v>
      </c>
      <c r="X91" s="776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776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776"/>
      <c r="O92" s="868"/>
      <c r="P92" s="776"/>
      <c r="Q92" s="869"/>
      <c r="R92" s="776"/>
      <c r="S92" s="885"/>
      <c r="T92" s="776"/>
      <c r="U92" s="886"/>
      <c r="V92" s="776"/>
      <c r="W92" s="886"/>
      <c r="X92" s="776"/>
      <c r="Y92" s="908"/>
      <c r="Z92" s="882"/>
      <c r="AA92" s="850"/>
      <c r="AB92" s="777"/>
    </row>
    <row r="93" spans="1:28" s="778" customFormat="1" ht="24" customHeight="1" outlineLevel="1" x14ac:dyDescent="0.25">
      <c r="A93" s="776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184.84456308396813</v>
      </c>
      <c r="K93" s="876">
        <f>$M$32*(H91+(G93-F93)*H93)*$B$90*$C$90</f>
        <v>15.403713590330678</v>
      </c>
      <c r="L93" s="875">
        <f t="shared" ref="L93:M96" si="5">J93*$D$90</f>
        <v>231.05570385496014</v>
      </c>
      <c r="M93" s="876">
        <f t="shared" si="5"/>
        <v>19.254641987913349</v>
      </c>
      <c r="N93" s="776"/>
      <c r="O93" s="877">
        <v>2</v>
      </c>
      <c r="P93" s="776"/>
      <c r="Q93" s="878">
        <f>O93*$Q$76*M93+O93*(1-$Q$76)*K93</f>
        <v>36.583819777035366</v>
      </c>
      <c r="R93" s="776"/>
      <c r="S93" s="879">
        <f>IF(AND(Q93&lt;&gt;0,O93&lt;&gt;0),Q93*(1-D17-D18-D19)/O93/30/(($D$25*1000000/$D$8))*1000,0)</f>
        <v>3.687504859972035</v>
      </c>
      <c r="T93" s="776" t="s">
        <v>459</v>
      </c>
      <c r="U93" s="880">
        <f>S93*O93*30*$D$11*(1+$D$24)/1000</f>
        <v>22.784178162949154</v>
      </c>
      <c r="V93" s="776" t="s">
        <v>460</v>
      </c>
      <c r="W93" s="880">
        <f>IF(O93&lt;&gt;0,U93/O93,0)</f>
        <v>11.392089081474577</v>
      </c>
      <c r="X93" s="776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776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772.98635471477576</v>
      </c>
      <c r="K94" s="876">
        <f>$M$32*(H91+(G93-F93)*H93+(G94-F94)*H94)*$B$90*$C$90</f>
        <v>64.415529559564646</v>
      </c>
      <c r="L94" s="875">
        <f t="shared" si="5"/>
        <v>966.23294339346967</v>
      </c>
      <c r="M94" s="876">
        <f t="shared" si="5"/>
        <v>80.519411949455815</v>
      </c>
      <c r="N94" s="776"/>
      <c r="O94" s="877">
        <v>17</v>
      </c>
      <c r="P94" s="776"/>
      <c r="Q94" s="878">
        <f>O94*$Q$76*M94+O94*(1-$Q$76)*K94</f>
        <v>1300.3885029837115</v>
      </c>
      <c r="R94" s="776"/>
      <c r="S94" s="879">
        <f>IF(AND(Q94&lt;&gt;0,O94&lt;&gt;0),Q94*(1-D17-D18-D19)/O94/30/(($D$25*1000000/$D$8))*1000,0)</f>
        <v>15.420474868973962</v>
      </c>
      <c r="T94" s="776" t="s">
        <v>459</v>
      </c>
      <c r="U94" s="880">
        <f>S94*O94*30*$D$11*(1+$D$24)/1000</f>
        <v>809.87396924664688</v>
      </c>
      <c r="V94" s="776" t="s">
        <v>460</v>
      </c>
      <c r="W94" s="880">
        <f>IF(O94&lt;&gt;0,U94/O94,0)</f>
        <v>47.639645249802754</v>
      </c>
      <c r="X94" s="776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776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4469.8776163941384</v>
      </c>
      <c r="K95" s="876">
        <f>$M$32*(H91+(G93-F93)*H93+(G94-F94)*H94+(G95-F95)*H95)*$B$90*$C$90</f>
        <v>372.4898013661782</v>
      </c>
      <c r="L95" s="875">
        <f t="shared" si="5"/>
        <v>5587.3470204926725</v>
      </c>
      <c r="M95" s="876">
        <f t="shared" si="5"/>
        <v>465.61225170772275</v>
      </c>
      <c r="N95" s="776"/>
      <c r="O95" s="877">
        <v>0</v>
      </c>
      <c r="P95" s="776"/>
      <c r="Q95" s="878">
        <f>O95*$Q$76*M95+O95*(1-$Q$76)*K95</f>
        <v>0</v>
      </c>
      <c r="R95" s="776"/>
      <c r="S95" s="879">
        <f>IF(AND(Q95&lt;&gt;0,O95&lt;&gt;0),Q95*(1-D17-D18-D19)/O95/30/(($D$25*1000000/$D$8))*1000,0)</f>
        <v>0</v>
      </c>
      <c r="T95" s="776" t="s">
        <v>459</v>
      </c>
      <c r="U95" s="880">
        <f>S95*O95*30*$D$11*(1+$D$24)/1000</f>
        <v>0</v>
      </c>
      <c r="V95" s="776" t="s">
        <v>460</v>
      </c>
      <c r="W95" s="880">
        <f>IF(O95&lt;&gt;0,U95/O95,0)</f>
        <v>0</v>
      </c>
      <c r="X95" s="776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776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9511.0929732296318</v>
      </c>
      <c r="K96" s="876">
        <f>$M$32*(H91+(G93-F93)*H93+(G94-F94)*H94+(G95-F95)*H95+(G96-F96)*H96)*$B$90*$C$90</f>
        <v>792.59108110246939</v>
      </c>
      <c r="L96" s="875">
        <f t="shared" si="5"/>
        <v>11888.866216537041</v>
      </c>
      <c r="M96" s="876">
        <f t="shared" si="5"/>
        <v>990.73885137808679</v>
      </c>
      <c r="N96" s="776"/>
      <c r="O96" s="877">
        <v>0</v>
      </c>
      <c r="P96" s="776"/>
      <c r="Q96" s="878">
        <f>O96*$Q$76*M96+O96*(1-$Q$76)*K96</f>
        <v>0</v>
      </c>
      <c r="R96" s="776"/>
      <c r="S96" s="879">
        <f>IF(AND(Q96&lt;&gt;0,O96&lt;&gt;0),Q96*(1-D17-D18-D19)/O96/30/(($D$25*1000000/$D$8))*1000,0)</f>
        <v>0</v>
      </c>
      <c r="T96" s="776" t="s">
        <v>459</v>
      </c>
      <c r="U96" s="880">
        <f>S96*O96*30*$D$11*(1+$D$24)/1000</f>
        <v>0</v>
      </c>
      <c r="V96" s="776" t="s">
        <v>460</v>
      </c>
      <c r="W96" s="880">
        <f>IF(O96&lt;&gt;0,U96/O96,0)</f>
        <v>0</v>
      </c>
      <c r="X96" s="776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776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776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472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35.367766725121299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'RT1A)BIODIG Energia Elétrica'!M22-'RT1A)BIODIG Energia Elétrica'!M8-'RT1A)BIODIG Energia Elétrica'!M9</f>
        <v>139.18478181501041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5.8389267695991469E-3</v>
      </c>
      <c r="R8" s="794"/>
      <c r="S8" s="800">
        <f>(S12-S10)/S10</f>
        <v>1.5150377173070211E-2</v>
      </c>
      <c r="T8" s="1059"/>
      <c r="U8" s="800">
        <f>(U12-U10)/U10</f>
        <v>1.5150377173070426E-2</v>
      </c>
      <c r="V8" s="1059"/>
      <c r="W8" s="800">
        <f>(W12-W10)/W10</f>
        <v>1.5150377173070426E-2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38.445204527290919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1.3515814940692983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38.669683261168032</v>
      </c>
      <c r="R12" s="794"/>
      <c r="S12" s="806">
        <f>S33</f>
        <v>257956.37470262585</v>
      </c>
      <c r="T12" s="1059"/>
      <c r="U12" s="806">
        <f>U33</f>
        <v>26564141.258459114</v>
      </c>
      <c r="V12" s="1059"/>
      <c r="W12" s="806">
        <f>W33</f>
        <v>26564141.258459114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38.445204527290919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1.4691859788220032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224.0540158593553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38.445204527290919</v>
      </c>
      <c r="E25" s="1059"/>
      <c r="F25" s="839" t="s">
        <v>424</v>
      </c>
      <c r="G25" s="816" t="s">
        <v>425</v>
      </c>
      <c r="H25" s="1075">
        <f>H24/12</f>
        <v>18.67116798827961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1.4691859788220032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224.0540158593553</v>
      </c>
      <c r="M32" s="845">
        <f>H25</f>
        <v>18.67116798827961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38.669683261168032</v>
      </c>
      <c r="R33" s="1059"/>
      <c r="S33" s="806">
        <f>12*S34</f>
        <v>257956.37470262585</v>
      </c>
      <c r="T33" s="1059" t="s">
        <v>438</v>
      </c>
      <c r="U33" s="806">
        <f>12*U34</f>
        <v>26564141.258459114</v>
      </c>
      <c r="V33" s="1059" t="s">
        <v>439</v>
      </c>
      <c r="W33" s="806">
        <f>12*W34</f>
        <v>26564141.258459114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21496.364558552155</v>
      </c>
      <c r="T34" s="1059" t="s">
        <v>441</v>
      </c>
      <c r="U34" s="806">
        <f>U36+U49+U62+U75+U88</f>
        <v>2213678.438204926</v>
      </c>
      <c r="V34" s="1059" t="s">
        <v>442</v>
      </c>
      <c r="W34" s="806">
        <f>W36+W49+W62+W75+W88</f>
        <v>2213678.438204926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27.853590057515561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1114.1436023006224</v>
      </c>
      <c r="R36" s="1059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693.88178950799681</v>
      </c>
      <c r="V36" s="1059" t="s">
        <v>449</v>
      </c>
      <c r="W36" s="128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56.013503964838826</v>
      </c>
      <c r="K39" s="876">
        <f>$M$32*H39*$B$38*$C$38</f>
        <v>4.6677919970699024</v>
      </c>
      <c r="L39" s="875">
        <f>J39*$D$38</f>
        <v>70.016879956048527</v>
      </c>
      <c r="M39" s="876">
        <f>K39*$D$38</f>
        <v>5.8347399963373778</v>
      </c>
      <c r="N39" s="1059"/>
      <c r="O39" s="877">
        <v>2</v>
      </c>
      <c r="P39" s="1059"/>
      <c r="Q39" s="878">
        <f>O39*$Q$37*M39+O39*(1-$Q$37)*K39</f>
        <v>11.086005993041018</v>
      </c>
      <c r="R39" s="1059"/>
      <c r="S39" s="879">
        <f>IF(AND(Q39&lt;&gt;0,O39&lt;&gt;0),Q39*(1-D17-D18-D19)/O39/30/(($D$25*1000000/$D$8))*1000,0)</f>
        <v>1.1174257151430405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162.4391614980326</v>
      </c>
      <c r="K41" s="876">
        <f>$M$32*(H39+(G41-F41)*H41)*$B$38*$C$38</f>
        <v>13.536596791502717</v>
      </c>
      <c r="L41" s="875">
        <f t="shared" ref="L41:M45" si="0">J41*$D$38</f>
        <v>203.04895187254075</v>
      </c>
      <c r="M41" s="876">
        <f t="shared" si="0"/>
        <v>16.920745989378396</v>
      </c>
      <c r="N41" s="1059"/>
      <c r="O41" s="877">
        <v>2</v>
      </c>
      <c r="P41" s="1059"/>
      <c r="Q41" s="878">
        <f>O41*$Q$37*M41+O41*(1-$Q$37)*K41</f>
        <v>32.149417379818956</v>
      </c>
      <c r="R41" s="1059"/>
      <c r="S41" s="879">
        <f>IF(AND(Q41&lt;&gt;0,O41&lt;&gt;0),Q41*(1-D17-D18-D19)/O41/30/(($D$25*1000000/$D$8))*1000,0)</f>
        <v>3.2405345739148186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274.46616942771027</v>
      </c>
      <c r="K42" s="876">
        <f>$M$32*(H39+(G41-F41)*H41+(G42-F42)*H42)*$B$38*$C$38</f>
        <v>22.872180785642524</v>
      </c>
      <c r="L42" s="875">
        <f t="shared" si="0"/>
        <v>343.08271178463781</v>
      </c>
      <c r="M42" s="876">
        <f t="shared" si="0"/>
        <v>28.590225982053155</v>
      </c>
      <c r="N42" s="1059"/>
      <c r="O42" s="877">
        <v>28</v>
      </c>
      <c r="P42" s="1059"/>
      <c r="Q42" s="878">
        <f>O42*$Q$37*M42+O42*(1-$Q$37)*K42</f>
        <v>760.50001112261396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392.09452775387177</v>
      </c>
      <c r="K43" s="876">
        <f>$M$32*(H39+(G41-F41)*H41+(G42-F42)*H42+(G43-F43)*H43)*$B$38*$C$38</f>
        <v>32.674543979489314</v>
      </c>
      <c r="L43" s="875">
        <f t="shared" si="0"/>
        <v>490.1181596923397</v>
      </c>
      <c r="M43" s="876">
        <f t="shared" si="0"/>
        <v>40.843179974361647</v>
      </c>
      <c r="N43" s="1059"/>
      <c r="O43" s="877">
        <v>8</v>
      </c>
      <c r="P43" s="1059"/>
      <c r="Q43" s="878">
        <f>O43*$Q$37*M43+O43*(1-$Q$37)*K43</f>
        <v>310.40816780514854</v>
      </c>
      <c r="R43" s="1059"/>
      <c r="S43" s="879">
        <f>IF(AND(Q43&lt;&gt;0,O43&lt;&gt;0),Q43*(1-D17-D18-D19)/O43/30/(($D$25*1000000/$D$8))*1000,0)</f>
        <v>7.8219800060012856</v>
      </c>
      <c r="T43" s="1059" t="s">
        <v>459</v>
      </c>
      <c r="U43" s="880">
        <f>S43*O43*30*$D$11*(1+$D$24)/1000</f>
        <v>193.32029956441701</v>
      </c>
      <c r="V43" s="1059" t="s">
        <v>460</v>
      </c>
      <c r="W43" s="880">
        <f>IF(O43&lt;&gt;0,U43/O43,0)</f>
        <v>24.165037445552127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576.9390908378399</v>
      </c>
      <c r="K44" s="876">
        <f>$M$32*(H39+(G41-F41)*H41+(G42-F42)*H42+(G43-F43)*H43+(G44-F44)*H44)*$B$38*$C$38</f>
        <v>48.078257569819996</v>
      </c>
      <c r="L44" s="875">
        <f t="shared" si="0"/>
        <v>721.1738635472999</v>
      </c>
      <c r="M44" s="876">
        <f t="shared" si="0"/>
        <v>60.097821962274992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1221.0943864334865</v>
      </c>
      <c r="K45" s="876">
        <f>$M$32*(H39+(G41-F41)*H41+(G42-F42)*H42+(G43-F43)*H43+(G44-F44)*H44+(G45-F45)*H45)*$B$38*$C$38</f>
        <v>101.75786553612387</v>
      </c>
      <c r="L45" s="875">
        <f t="shared" si="0"/>
        <v>1526.3679830418582</v>
      </c>
      <c r="M45" s="876">
        <f t="shared" si="0"/>
        <v>127.19733192015484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67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67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22.259363547015081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2834529.6134404475</v>
      </c>
      <c r="R49" s="1059"/>
      <c r="S49" s="1308">
        <f>IF(AND(Q49&lt;&gt;0,O49&lt;&gt;0),Q49*(1-D17-D18-D19)/(($D$25*1000000/$D$8)),0)</f>
        <v>17142.564864466418</v>
      </c>
      <c r="T49" s="1285" t="s">
        <v>448</v>
      </c>
      <c r="U49" s="1283">
        <f>U52+U54+U55+U56+U57+U58</f>
        <v>1765327.6261032382</v>
      </c>
      <c r="V49" s="1059" t="s">
        <v>449</v>
      </c>
      <c r="W49" s="1309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78.558939310686455</v>
      </c>
      <c r="K52" s="876">
        <f>$M$32*H52*$B$51*$C$51</f>
        <v>6.5465782758905382</v>
      </c>
      <c r="L52" s="875">
        <f>J52*$D$51</f>
        <v>98.198674138358072</v>
      </c>
      <c r="M52" s="876">
        <f>K52*$D$51</f>
        <v>8.1832228448631721</v>
      </c>
      <c r="N52" s="1059"/>
      <c r="O52" s="877">
        <v>62341</v>
      </c>
      <c r="P52" s="1059"/>
      <c r="Q52" s="878">
        <f>O52*$Q$50*M52+O52*(1-$Q$50)*K52</f>
        <v>484642.78060303431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249.96026144309323</v>
      </c>
      <c r="K54" s="876">
        <f>$M$32*(H52+(G54-F54)*H54)*$B$51*$C$51</f>
        <v>20.830021786924437</v>
      </c>
      <c r="L54" s="875">
        <f t="shared" ref="L54:M58" si="1">J54*$D$51</f>
        <v>312.45032680386652</v>
      </c>
      <c r="M54" s="876">
        <f t="shared" si="1"/>
        <v>26.037527233655545</v>
      </c>
      <c r="N54" s="1059"/>
      <c r="O54" s="877">
        <v>42500</v>
      </c>
      <c r="P54" s="1059"/>
      <c r="Q54" s="878">
        <f>O54*$Q$50*M54+O54*(1-$Q$50)*K54</f>
        <v>1051265.1620588426</v>
      </c>
      <c r="R54" s="1059"/>
      <c r="S54" s="879">
        <f>IF(AND(Q54&lt;&gt;0,O54&lt;&gt;0),Q54*(1-D17-D18-D19)/O54/30/(($D$25*1000000/$D$8))*1000,0)</f>
        <v>4.9865122538258193</v>
      </c>
      <c r="T54" s="1059" t="s">
        <v>459</v>
      </c>
      <c r="U54" s="880">
        <f>S54*O54*30*$D$11*(1+$D$24)/1000</f>
        <v>654721.48329042795</v>
      </c>
      <c r="V54" s="1059" t="s">
        <v>460</v>
      </c>
      <c r="W54" s="898">
        <f>IF(O54&lt;&gt;0,U54/O54,0)</f>
        <v>15.405211371539481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428.50330533101697</v>
      </c>
      <c r="K55" s="876">
        <f>$M$32*(H52+(G54-F54)*H54+(G55-F55)*H55)*$B$51*$C$51</f>
        <v>35.70860877758475</v>
      </c>
      <c r="L55" s="875">
        <f t="shared" si="1"/>
        <v>535.6291316637712</v>
      </c>
      <c r="M55" s="876">
        <f t="shared" si="1"/>
        <v>44.635760971980936</v>
      </c>
      <c r="N55" s="1059"/>
      <c r="O55" s="877">
        <v>10000</v>
      </c>
      <c r="P55" s="1059"/>
      <c r="Q55" s="878">
        <f>O55*$Q$50*M55+O55*(1-$Q$50)*K55</f>
        <v>424039.72923381894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707.03045379617811</v>
      </c>
      <c r="K56" s="876">
        <f>$M$32*(H52+(G54-F54)*H54+(G55-F55)*H55+(G56-F56)*H56)*$B$51*$C$51</f>
        <v>58.919204483014845</v>
      </c>
      <c r="L56" s="875">
        <f t="shared" si="1"/>
        <v>883.78806724522269</v>
      </c>
      <c r="M56" s="876">
        <f t="shared" si="1"/>
        <v>73.649005603768558</v>
      </c>
      <c r="N56" s="1059"/>
      <c r="O56" s="877">
        <v>12500</v>
      </c>
      <c r="P56" s="1059"/>
      <c r="Q56" s="878">
        <f>O56*$Q$50*M56+O56*(1-$Q$50)*K56</f>
        <v>874581.94154475164</v>
      </c>
      <c r="R56" s="1059"/>
      <c r="S56" s="879">
        <f>IF(AND(Q56&lt;&gt;0,O56&lt;&gt;0),Q56*(1-D17-D18-D19)/O56/30/(($D$25*1000000/$D$8))*1000,0)</f>
        <v>14.10470608939303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1456.9112381254577</v>
      </c>
      <c r="K57" s="876">
        <f>$M$32*(H52+(G54-F54)*H54+(G55-F55)*H55+(G56-F56)*H56+(G57-F57)*H57)*$B$51*$C$51</f>
        <v>121.40926984378815</v>
      </c>
      <c r="L57" s="875">
        <f t="shared" si="1"/>
        <v>1821.1390476568222</v>
      </c>
      <c r="M57" s="876">
        <f t="shared" si="1"/>
        <v>151.7615873047352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3063.7986331167713</v>
      </c>
      <c r="K58" s="876">
        <f>$M$32*(H52+(G54-F54)*H54+(G55-F55)*H55+(G56-F56)*H56+(G57-F57)*H57+(G58-F58)*H58)*$B$51*$C$51</f>
        <v>255.31655275973097</v>
      </c>
      <c r="L58" s="875">
        <f t="shared" si="1"/>
        <v>3829.7482913959639</v>
      </c>
      <c r="M58" s="876">
        <f t="shared" si="1"/>
        <v>319.14569094966373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67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67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7.8205395418138393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331958.44193137204</v>
      </c>
      <c r="R62" s="1059"/>
      <c r="S62" s="1283">
        <f>IF(AND(Q62&lt;&gt;0,O62&lt;&gt;0),Q62*(1-D17-D18-D19)/(H15)/(($D$25*1000000/$D$8)),0)</f>
        <v>4015.2123273876764</v>
      </c>
      <c r="T62" s="1285" t="s">
        <v>448</v>
      </c>
      <c r="U62" s="1283">
        <f>U65+U67+U68+U69+U70+U71</f>
        <v>413483.35574335716</v>
      </c>
      <c r="V62" s="1059" t="s">
        <v>449</v>
      </c>
      <c r="W62" s="1283">
        <f>W65*O65+W67*O67+W68*O68+W69*O69+W70*O70+W71*O71</f>
        <v>413483.35574335716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39.279469655343227</v>
      </c>
      <c r="K65" s="876">
        <f>$M$32*H65*$B$64*$C$64</f>
        <v>3.2732891379452691</v>
      </c>
      <c r="L65" s="875">
        <f>J65*$D$51</f>
        <v>49.099337069179036</v>
      </c>
      <c r="M65" s="876">
        <f>K65*$D$51</f>
        <v>4.091611422431586</v>
      </c>
      <c r="N65" s="1059"/>
      <c r="O65" s="877">
        <v>25947</v>
      </c>
      <c r="P65" s="1059"/>
      <c r="Q65" s="878">
        <f>O65*$Q$63*M65+O65*(1-$Q$63)*K65</f>
        <v>100856.78949894075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124.98013072154662</v>
      </c>
      <c r="K67" s="876">
        <f>$M$32*(H65+(G67-F67)*H67)*$B$64*$C$64</f>
        <v>10.415010893462219</v>
      </c>
      <c r="L67" s="875">
        <f t="shared" ref="L67:M71" si="3">J67*$D$51</f>
        <v>156.22516340193326</v>
      </c>
      <c r="M67" s="876">
        <f t="shared" si="3"/>
        <v>13.018763616827773</v>
      </c>
      <c r="N67" s="1059"/>
      <c r="O67" s="877">
        <v>15000</v>
      </c>
      <c r="P67" s="1059"/>
      <c r="Q67" s="878">
        <f>O67*$Q$63*M67+O67*(1-$Q$63)*K67</f>
        <v>185517.38153979575</v>
      </c>
      <c r="R67" s="1059"/>
      <c r="S67" s="879">
        <f>IF(AND(Q67&lt;&gt;0,O67&lt;&gt;0),Q67*(1-D17-D18-D19)/O67/30/(H15)/(($D$25*1000000/$D$8))*1000,0)</f>
        <v>4.9865122538258184</v>
      </c>
      <c r="T67" s="1059" t="s">
        <v>459</v>
      </c>
      <c r="U67" s="880">
        <f>S67*O67*30*$D$11*(1+$D$24)/1000</f>
        <v>231078.17057309218</v>
      </c>
      <c r="V67" s="1059" t="s">
        <v>460</v>
      </c>
      <c r="W67" s="880">
        <f>IF(O67&lt;&gt;0,U67/O67,0)</f>
        <v>15.40521137153948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214.25165266550849</v>
      </c>
      <c r="K68" s="876">
        <f>$M$32*(H65+(G67-F67)*H67+(G68-F68)*H68)*$B$64*$C$64</f>
        <v>17.854304388792375</v>
      </c>
      <c r="L68" s="875">
        <f t="shared" si="3"/>
        <v>267.8145658318856</v>
      </c>
      <c r="M68" s="876">
        <f t="shared" si="3"/>
        <v>22.317880485990468</v>
      </c>
      <c r="N68" s="1059"/>
      <c r="O68" s="877">
        <v>500</v>
      </c>
      <c r="P68" s="1059"/>
      <c r="Q68" s="878">
        <f>O68*$Q$63*M68+O68*(1-$Q$63)*K68</f>
        <v>10600.993230845472</v>
      </c>
      <c r="R68" s="1059"/>
      <c r="S68" s="879">
        <f>IF(AND(Q68&lt;&gt;0,O68&lt;&gt;0),Q68*(1-D17-D18-D19)/O68/30/(H15)/(($D$25*1000000/$D$8))*1000,0)</f>
        <v>8.5483067208442591</v>
      </c>
      <c r="T68" s="1059" t="s">
        <v>459</v>
      </c>
      <c r="U68" s="880">
        <f>S68*O68*30*$D$11*(1+$D$24)/1000</f>
        <v>13204.466889890979</v>
      </c>
      <c r="V68" s="1059" t="s">
        <v>460</v>
      </c>
      <c r="W68" s="880">
        <f>IF(O68&lt;&gt;0,U68/O68,0)</f>
        <v>26.408933779781957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353.51522689808905</v>
      </c>
      <c r="K69" s="876">
        <f>$M$32*(H65+(G67-F67)*H67+(G68-F68)*H68+(G69-F69)*H69)*$B$64*$C$64</f>
        <v>29.459602241507422</v>
      </c>
      <c r="L69" s="875">
        <f t="shared" si="3"/>
        <v>441.89403362261135</v>
      </c>
      <c r="M69" s="876">
        <f t="shared" si="3"/>
        <v>36.824502801884279</v>
      </c>
      <c r="N69" s="1059"/>
      <c r="O69" s="877">
        <v>1000</v>
      </c>
      <c r="P69" s="1059"/>
      <c r="Q69" s="878">
        <f>O69*$Q$63*M69+O69*(1-$Q$63)*K69</f>
        <v>34983.277661790067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728.45561906272883</v>
      </c>
      <c r="K70" s="876">
        <f>$M$32*(H65+(G67-F67)*H67+(G68-F68)*H68+(G69-F69)*H69+(G70-F70)*H70)*$B$64*$C$64</f>
        <v>60.704634921894076</v>
      </c>
      <c r="L70" s="875">
        <f t="shared" si="3"/>
        <v>910.56952382841109</v>
      </c>
      <c r="M70" s="876">
        <f t="shared" si="3"/>
        <v>75.880793652367601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1531.8993165583856</v>
      </c>
      <c r="K71" s="876">
        <f>$M$32*(H65+(G67-F67)*H67+(G68-F68)*H68+(G69-F69)*H69+(G70-F70)*H70+(G71-F71)*H71)*$B$64*$C$64</f>
        <v>127.65827637986548</v>
      </c>
      <c r="L71" s="875">
        <f t="shared" si="3"/>
        <v>1914.8741456979819</v>
      </c>
      <c r="M71" s="876">
        <f t="shared" si="3"/>
        <v>159.57284547483187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67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67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30.745901003623587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53528.613647308666</v>
      </c>
      <c r="R75" s="1059"/>
      <c r="S75" s="1283">
        <f>IF(AND(Q75&lt;&gt;0,O75&lt;&gt;0),Q75*(1-D17-D18-D19)/(($D$25*1000000/$D$8)),0)</f>
        <v>323.72839825094673</v>
      </c>
      <c r="T75" s="1285" t="s">
        <v>448</v>
      </c>
      <c r="U75" s="1283">
        <f>U78+U80+U81+U82+U83+U84</f>
        <v>33337.29166579622</v>
      </c>
      <c r="V75" s="1059" t="s">
        <v>449</v>
      </c>
      <c r="W75" s="1283">
        <f>W78*O78+W80*O80+W81*O81+W82*O82+W83*O83+W84*O84</f>
        <v>33337.29166579622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f>0.225-0.005</f>
        <v>0.22</v>
      </c>
      <c r="I78" s="857"/>
      <c r="J78" s="875">
        <f>$L$32*H78*$B$77*$C$77</f>
        <v>73.937825233587247</v>
      </c>
      <c r="K78" s="876">
        <f>$M$32*H78*$B$77*$C$77</f>
        <v>6.1614854361322706</v>
      </c>
      <c r="L78" s="875">
        <f>J78*$D$77</f>
        <v>92.422281541984063</v>
      </c>
      <c r="M78" s="876">
        <f>K78*$D$77</f>
        <v>7.7018567951653383</v>
      </c>
      <c r="N78" s="1059"/>
      <c r="O78" s="877">
        <v>264</v>
      </c>
      <c r="P78" s="1059"/>
      <c r="Q78" s="878">
        <f>O78*$Q$76*M78+O78*(1-$Q$76)*K78</f>
        <v>1931.6256842274668</v>
      </c>
      <c r="R78" s="1059"/>
      <c r="S78" s="879">
        <f>IF(AND(Q78&lt;&gt;0,O78&lt;&gt;0),Q78*(1-D17-D18-D19)/O78/30/(($D$25*1000000/$D$8))*1000,0)</f>
        <v>1.4750019439888136</v>
      </c>
      <c r="T78" s="1059" t="s">
        <v>459</v>
      </c>
      <c r="U78" s="880">
        <f>S78*O78*30*$D$11*(1+$D$24)/1000</f>
        <v>1203.0046070037149</v>
      </c>
      <c r="V78" s="1059" t="s">
        <v>460</v>
      </c>
      <c r="W78" s="880">
        <f>IF(O78&lt;&gt;0,U78/O78,0)</f>
        <v>4.5568356325898289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275.58643950700696</v>
      </c>
      <c r="K80" s="876">
        <f>$M$32*(H78+(G80-F80)*H80)*$B$77*$C$77</f>
        <v>22.965536625583919</v>
      </c>
      <c r="L80" s="875">
        <f t="shared" ref="L80:M84" si="4">J80*$D$77</f>
        <v>344.48304938375873</v>
      </c>
      <c r="M80" s="876">
        <f t="shared" si="4"/>
        <v>28.7069207819799</v>
      </c>
      <c r="N80" s="1059"/>
      <c r="O80" s="877">
        <v>994</v>
      </c>
      <c r="P80" s="1059"/>
      <c r="Q80" s="878">
        <f>O80*$Q$76*M80+O80*(1-$Q$76)*K80</f>
        <v>27107.945294423622</v>
      </c>
      <c r="R80" s="1059"/>
      <c r="S80" s="879">
        <f>IF(AND(Q80&lt;&gt;0,O80&lt;&gt;0),Q80*(1-D17-D18-D19)/O80/30/(($D$25*1000000/$D$8))*1000,0)</f>
        <v>5.4977345185037603</v>
      </c>
      <c r="T80" s="1059" t="s">
        <v>459</v>
      </c>
      <c r="U80" s="880">
        <f>S80*O80*30*$D$11*(1+$D$24)/1000</f>
        <v>16882.661760960538</v>
      </c>
      <c r="V80" s="1059" t="s">
        <v>460</v>
      </c>
      <c r="W80" s="880">
        <f>IF(O80&lt;&gt;0,U80/O80,0)</f>
        <v>16.984569176016638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418.42087461734604</v>
      </c>
      <c r="K81" s="876">
        <f>$M$32*(H78+(G80-F80)*H80+(G81-F81)*H81)*$B$77*$C$77</f>
        <v>34.86840621811217</v>
      </c>
      <c r="L81" s="875">
        <f t="shared" si="4"/>
        <v>523.02609327168261</v>
      </c>
      <c r="M81" s="876">
        <f t="shared" si="4"/>
        <v>43.585507772640213</v>
      </c>
      <c r="N81" s="1059"/>
      <c r="O81" s="877">
        <v>183</v>
      </c>
      <c r="P81" s="1059"/>
      <c r="Q81" s="878">
        <f>O81*$Q$76*M81+O81*(1-$Q$76)*K81</f>
        <v>7577.3405262735014</v>
      </c>
      <c r="R81" s="1059"/>
      <c r="S81" s="879">
        <f>IF(AND(Q81&lt;&gt;0,O81&lt;&gt;0),Q81*(1-D17-D18-D19)/O81/30/(($D$25*1000000/$D$8))*1000,0)</f>
        <v>8.3471700921185157</v>
      </c>
      <c r="T81" s="1059" t="s">
        <v>459</v>
      </c>
      <c r="U81" s="880">
        <f>S81*O81*30*$D$11*(1+$D$24)/1000</f>
        <v>4719.1211197777457</v>
      </c>
      <c r="V81" s="1059" t="s">
        <v>460</v>
      </c>
      <c r="W81" s="880">
        <f>IF(O81&lt;&gt;0,U81/O81,0)</f>
        <v>25.787547102610631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569.65733532241086</v>
      </c>
      <c r="K82" s="876">
        <f>$M$32*(H78+(G80-F80)*H80+(G81-F81)*H81+(G82-F82)*H82)*$B$77*$C$77</f>
        <v>47.471444610200912</v>
      </c>
      <c r="L82" s="875">
        <f t="shared" si="4"/>
        <v>712.07166915301354</v>
      </c>
      <c r="M82" s="876">
        <f t="shared" si="4"/>
        <v>59.339305762751138</v>
      </c>
      <c r="N82" s="1059"/>
      <c r="O82" s="877">
        <v>300</v>
      </c>
      <c r="P82" s="1059"/>
      <c r="Q82" s="878">
        <f>O82*$Q$76*M82+O82*(1-$Q$76)*K82</f>
        <v>16911.702142384074</v>
      </c>
      <c r="R82" s="1059"/>
      <c r="S82" s="879">
        <f>IF(AND(Q82&lt;&gt;0,O82&lt;&gt;0),Q82*(1-D17-D18-D19)/O82/30/(($D$25*1000000/$D$8))*1000,0)</f>
        <v>11.364219523004724</v>
      </c>
      <c r="T82" s="1059" t="s">
        <v>459</v>
      </c>
      <c r="U82" s="880">
        <f>S82*O82*30*$D$11*(1+$D$24)/1000</f>
        <v>10532.504178054221</v>
      </c>
      <c r="V82" s="1059" t="s">
        <v>460</v>
      </c>
      <c r="W82" s="880">
        <f>IF(O82&lt;&gt;0,U82/O82,0)</f>
        <v>35.108347260180736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809.11506477209684</v>
      </c>
      <c r="K83" s="876">
        <f>$M$32*(H78+(G80-F80)*H80+(G81-F81)*H81+(G82-F82)*H82+(G83-F83)*H83)*$B$77*$C$77</f>
        <v>67.426255397674751</v>
      </c>
      <c r="L83" s="875">
        <f t="shared" si="4"/>
        <v>1011.3938309651211</v>
      </c>
      <c r="M83" s="876">
        <f t="shared" si="4"/>
        <v>84.282819247093443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1565.2973682974211</v>
      </c>
      <c r="K84" s="876">
        <f>$M$32*(H78+(G80-F80)*H80+(G81-F81)*H81+(G82-F82)*H82+(G83-F83)*H83+(G84-F84)*H84)*$B$77*$C$77</f>
        <v>130.44144735811844</v>
      </c>
      <c r="L84" s="875">
        <f t="shared" si="4"/>
        <v>1956.6217103717763</v>
      </c>
      <c r="M84" s="876">
        <f t="shared" si="4"/>
        <v>163.05180919764805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67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67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67.139623795354666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1342.7924759070934</v>
      </c>
      <c r="R88" s="1059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836.28290302642881</v>
      </c>
      <c r="V88" s="1059" t="s">
        <v>449</v>
      </c>
      <c r="W88" s="1283">
        <f>W91*O91+W93*O93+W94*O94+W95*O95+W96*O96</f>
        <v>836.2829030264287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58.814179163080766</v>
      </c>
      <c r="K91" s="876">
        <f>$M$32*H91*$B$90*$C$90</f>
        <v>4.9011815969233972</v>
      </c>
      <c r="L91" s="875">
        <f>J91*$D$90</f>
        <v>73.517723953850961</v>
      </c>
      <c r="M91" s="876">
        <f>K91*$D$90</f>
        <v>6.1264769961542465</v>
      </c>
      <c r="N91" s="1059"/>
      <c r="O91" s="877">
        <v>1</v>
      </c>
      <c r="P91" s="1059"/>
      <c r="Q91" s="878">
        <f>O91*$Q$76*M91+O91*(1-$Q$76)*K91</f>
        <v>5.8201531463465344</v>
      </c>
      <c r="R91" s="1059"/>
      <c r="S91" s="879">
        <f>IF(AND(Q91&lt;&gt;0,O91&lt;&gt;0),Q91*(1-D17-D18-D19)/O91/30/(($D$25*1000000/$D$8))*1000,0)</f>
        <v>1.1732970009001924</v>
      </c>
      <c r="T91" s="1059" t="s">
        <v>459</v>
      </c>
      <c r="U91" s="880">
        <f>S91*O91*30*$D$11*(1+$D$24)/1000</f>
        <v>3.6247556168328177</v>
      </c>
      <c r="V91" s="1059" t="s">
        <v>460</v>
      </c>
      <c r="W91" s="880">
        <f>IF(O91&lt;&gt;0,U91/O91,0)</f>
        <v>3.6247556168328177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184.84456308396813</v>
      </c>
      <c r="K93" s="876">
        <f>$M$32*(H91+(G93-F93)*H93)*$B$90*$C$90</f>
        <v>15.403713590330678</v>
      </c>
      <c r="L93" s="875">
        <f t="shared" ref="L93:M96" si="5">J93*$D$90</f>
        <v>231.05570385496014</v>
      </c>
      <c r="M93" s="876">
        <f t="shared" si="5"/>
        <v>19.254641987913349</v>
      </c>
      <c r="N93" s="1059"/>
      <c r="O93" s="877">
        <v>2</v>
      </c>
      <c r="P93" s="1059"/>
      <c r="Q93" s="878">
        <f>O93*$Q$76*M93+O93*(1-$Q$76)*K93</f>
        <v>36.583819777035366</v>
      </c>
      <c r="R93" s="1059"/>
      <c r="S93" s="879">
        <f>IF(AND(Q93&lt;&gt;0,O93&lt;&gt;0),Q93*(1-D17-D18-D19)/O93/30/(($D$25*1000000/$D$8))*1000,0)</f>
        <v>3.687504859972035</v>
      </c>
      <c r="T93" s="1059" t="s">
        <v>459</v>
      </c>
      <c r="U93" s="880">
        <f>S93*O93*30*$D$11*(1+$D$24)/1000</f>
        <v>22.784178162949154</v>
      </c>
      <c r="V93" s="1059" t="s">
        <v>460</v>
      </c>
      <c r="W93" s="880">
        <f>IF(O93&lt;&gt;0,U93/O93,0)</f>
        <v>11.392089081474577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772.98635471477576</v>
      </c>
      <c r="K94" s="876">
        <f>$M$32*(H91+(G93-F93)*H93+(G94-F94)*H94)*$B$90*$C$90</f>
        <v>64.415529559564646</v>
      </c>
      <c r="L94" s="875">
        <f t="shared" si="5"/>
        <v>966.23294339346967</v>
      </c>
      <c r="M94" s="876">
        <f t="shared" si="5"/>
        <v>80.519411949455815</v>
      </c>
      <c r="N94" s="1059"/>
      <c r="O94" s="877">
        <v>17</v>
      </c>
      <c r="P94" s="1059"/>
      <c r="Q94" s="878">
        <f>O94*$Q$76*M94+O94*(1-$Q$76)*K94</f>
        <v>1300.3885029837115</v>
      </c>
      <c r="R94" s="1059"/>
      <c r="S94" s="879">
        <f>IF(AND(Q94&lt;&gt;0,O94&lt;&gt;0),Q94*(1-D17-D18-D19)/O94/30/(($D$25*1000000/$D$8))*1000,0)</f>
        <v>15.420474868973962</v>
      </c>
      <c r="T94" s="1059" t="s">
        <v>459</v>
      </c>
      <c r="U94" s="880">
        <f>S94*O94*30*$D$11*(1+$D$24)/1000</f>
        <v>809.87396924664688</v>
      </c>
      <c r="V94" s="1059" t="s">
        <v>460</v>
      </c>
      <c r="W94" s="880">
        <f>IF(O94&lt;&gt;0,U94/O94,0)</f>
        <v>47.639645249802754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4469.8776163941384</v>
      </c>
      <c r="K95" s="876">
        <f>$M$32*(H91+(G93-F93)*H93+(G94-F94)*H94+(G95-F95)*H95)*$B$90*$C$90</f>
        <v>372.4898013661782</v>
      </c>
      <c r="L95" s="875">
        <f t="shared" si="5"/>
        <v>5587.3470204926725</v>
      </c>
      <c r="M95" s="876">
        <f t="shared" si="5"/>
        <v>465.61225170772275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9511.0929732296318</v>
      </c>
      <c r="K96" s="876">
        <f>$M$32*(H91+(G93-F93)*H93+(G94-F94)*H94+(G95-F95)*H95+(G96-F96)*H96)*$B$90*$C$90</f>
        <v>792.59108110246939</v>
      </c>
      <c r="L96" s="875">
        <f t="shared" si="5"/>
        <v>11888.866216537041</v>
      </c>
      <c r="M96" s="876">
        <f t="shared" si="5"/>
        <v>990.73885137808679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10" t="s">
        <v>281</v>
      </c>
      <c r="C2" s="508"/>
      <c r="D2" s="509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51" t="s">
        <v>120</v>
      </c>
      <c r="C4" s="519">
        <f>'C-Dados RT1 Simplif.'!C106</f>
        <v>814.4441166976485</v>
      </c>
      <c r="D4" s="513" t="s">
        <v>44</v>
      </c>
    </row>
    <row r="5" spans="2:4" ht="15" hidden="1" customHeight="1" outlineLevel="1" x14ac:dyDescent="0.25">
      <c r="B5" s="1352"/>
      <c r="C5" s="520">
        <f>'C-Dados RT1 Simplif.'!C105</f>
        <v>254106.56440966635</v>
      </c>
      <c r="D5" s="514" t="s">
        <v>5</v>
      </c>
    </row>
    <row r="6" spans="2:4" ht="15" hidden="1" customHeight="1" outlineLevel="1" x14ac:dyDescent="0.25">
      <c r="B6" s="504" t="s">
        <v>152</v>
      </c>
      <c r="C6" s="521">
        <f>'C-Dados RT1 Simplif.'!C107</f>
        <v>0.48399999999999999</v>
      </c>
      <c r="D6" s="502" t="s">
        <v>1</v>
      </c>
    </row>
    <row r="7" spans="2:4" ht="15" hidden="1" customHeight="1" outlineLevel="1" thickBot="1" x14ac:dyDescent="0.3">
      <c r="B7" s="505" t="s">
        <v>31</v>
      </c>
      <c r="C7" s="522">
        <f>'C-Dados RT1 Simplif.'!C7</f>
        <v>35</v>
      </c>
      <c r="D7" s="515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11" t="s">
        <v>122</v>
      </c>
      <c r="C9" s="523"/>
      <c r="D9" s="516"/>
    </row>
    <row r="10" spans="2:4" ht="15" hidden="1" customHeight="1" outlineLevel="1" x14ac:dyDescent="0.25">
      <c r="B10" s="506" t="s">
        <v>123</v>
      </c>
      <c r="C10" s="524">
        <v>183</v>
      </c>
      <c r="D10" s="517" t="s">
        <v>153</v>
      </c>
    </row>
    <row r="11" spans="2:4" ht="15" hidden="1" customHeight="1" outlineLevel="1" x14ac:dyDescent="0.25">
      <c r="B11" s="507" t="s">
        <v>125</v>
      </c>
      <c r="C11" s="524"/>
      <c r="D11" s="517"/>
    </row>
    <row r="12" spans="2:4" ht="15" hidden="1" customHeight="1" outlineLevel="1" x14ac:dyDescent="0.25">
      <c r="B12" s="506" t="s">
        <v>123</v>
      </c>
      <c r="C12" s="524">
        <v>40</v>
      </c>
      <c r="D12" s="517" t="s">
        <v>154</v>
      </c>
    </row>
    <row r="13" spans="2:4" ht="15" hidden="1" customHeight="1" outlineLevel="1" x14ac:dyDescent="0.25">
      <c r="B13" s="507" t="s">
        <v>126</v>
      </c>
      <c r="C13" s="525"/>
      <c r="D13" s="517"/>
    </row>
    <row r="14" spans="2:4" ht="15" hidden="1" customHeight="1" outlineLevel="1" thickBot="1" x14ac:dyDescent="0.3">
      <c r="B14" s="505" t="s">
        <v>127</v>
      </c>
      <c r="C14" s="772">
        <f>'C-Dados RT1 Simplif.'!C133</f>
        <v>250.9</v>
      </c>
      <c r="D14" s="515" t="s">
        <v>155</v>
      </c>
    </row>
    <row r="15" spans="2:4" s="2" customFormat="1" ht="15" customHeight="1" thickTop="1" x14ac:dyDescent="0.25">
      <c r="B15" s="603" t="s">
        <v>134</v>
      </c>
      <c r="C15" s="604">
        <f>(C10*C5*C6+C12*C5*C6*C7)*1000/(C14*C5*C6*C7)</f>
        <v>180.26533052439785</v>
      </c>
      <c r="D15" s="605" t="s">
        <v>0</v>
      </c>
    </row>
    <row r="16" spans="2:4" ht="4.9000000000000004" customHeight="1" x14ac:dyDescent="0.25"/>
    <row r="17" spans="2:5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</row>
    <row r="18" spans="2:5" s="2" customFormat="1" ht="15.75" thickTop="1" x14ac:dyDescent="0.25">
      <c r="B18" s="1348" t="s">
        <v>358</v>
      </c>
      <c r="C18" s="561">
        <f>'RT1A)BIODIG Energia Elétrica'!F9*(C17-C15)/1000000</f>
        <v>4.285046608149349</v>
      </c>
      <c r="D18" s="452" t="s">
        <v>289</v>
      </c>
    </row>
    <row r="19" spans="2:5" s="2" customFormat="1" x14ac:dyDescent="0.25">
      <c r="B19" s="1349"/>
      <c r="C19" s="561">
        <f>C18*C7</f>
        <v>149.97663128522723</v>
      </c>
      <c r="D19" s="452" t="s">
        <v>353</v>
      </c>
    </row>
    <row r="20" spans="2:5" s="2" customFormat="1" ht="15.75" thickBot="1" x14ac:dyDescent="0.3">
      <c r="B20" s="1350"/>
      <c r="C20" s="601">
        <f>C18*1000000/C5</f>
        <v>16.863187372212348</v>
      </c>
      <c r="D20" s="596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5" s="2" customFormat="1" ht="15.75" thickTop="1" x14ac:dyDescent="0.25">
      <c r="B23" s="1348" t="s">
        <v>318</v>
      </c>
      <c r="C23" s="561">
        <f>'RT1A)BIODIG Energia Elétrica'!F12*(C22-C15)/1000000</f>
        <v>5.9303065330222253</v>
      </c>
      <c r="D23" s="452" t="s">
        <v>289</v>
      </c>
    </row>
    <row r="24" spans="2:5" s="2" customFormat="1" x14ac:dyDescent="0.25">
      <c r="B24" s="1349"/>
      <c r="C24" s="561">
        <f>C23*C7</f>
        <v>207.56072865577789</v>
      </c>
      <c r="D24" s="452" t="s">
        <v>353</v>
      </c>
    </row>
    <row r="25" spans="2:5" s="2" customFormat="1" ht="15.75" thickBot="1" x14ac:dyDescent="0.3">
      <c r="B25" s="1350"/>
      <c r="C25" s="601">
        <f>C23*1000000/C5</f>
        <v>23.337872230099038</v>
      </c>
      <c r="D25" s="596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12" t="s">
        <v>356</v>
      </c>
      <c r="C27" s="526">
        <f>'Demanda Preço &amp; Quantidade'!C18</f>
        <v>390</v>
      </c>
      <c r="D27" s="518" t="s">
        <v>0</v>
      </c>
    </row>
    <row r="28" spans="2:5" s="2" customFormat="1" ht="15.75" thickTop="1" x14ac:dyDescent="0.25">
      <c r="B28" s="1348" t="s">
        <v>355</v>
      </c>
      <c r="C28" s="561">
        <f>'RT1A)BIODIG Energia Elétrica'!F15*(C27-C15)/1000000</f>
        <v>0</v>
      </c>
      <c r="D28" s="452" t="s">
        <v>289</v>
      </c>
    </row>
    <row r="29" spans="2:5" s="2" customFormat="1" x14ac:dyDescent="0.25">
      <c r="B29" s="1349"/>
      <c r="C29" s="561">
        <f>C28*C7</f>
        <v>0</v>
      </c>
      <c r="D29" s="452" t="s">
        <v>353</v>
      </c>
    </row>
    <row r="30" spans="2:5" s="2" customFormat="1" ht="15.75" thickBot="1" x14ac:dyDescent="0.3">
      <c r="B30" s="1350"/>
      <c r="C30" s="601">
        <f>C28*1000000/C5</f>
        <v>0</v>
      </c>
      <c r="D30" s="596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356"/>
      <c r="G5" s="86"/>
      <c r="H5" s="356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88" t="s">
        <v>10</v>
      </c>
      <c r="G6" s="89"/>
      <c r="H6" s="88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280.84661016732178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94">
        <f>-'Demanda Preço &amp; Quantidade'!C42</f>
        <v>-500</v>
      </c>
      <c r="L9" s="1030" t="s">
        <v>495</v>
      </c>
      <c r="M9" s="294">
        <f>'ANÁLISE DE SITES MULTICRITÉRIO'!H56</f>
        <v>0</v>
      </c>
      <c r="N9" s="274"/>
      <c r="O9" s="279"/>
      <c r="P9" s="280"/>
      <c r="Q9" s="281">
        <f>Q8+M9</f>
        <v>280.84661016732178</v>
      </c>
      <c r="R9" s="281">
        <f>M8</f>
        <v>0</v>
      </c>
      <c r="S9" s="281">
        <f>IF(R9&gt;=0,IF(M9&gt;=0,Q8,Q9),IF(M9&gt;=0,S8,Q9))</f>
        <v>280.84661016732178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280.84661016732178</v>
      </c>
      <c r="N10" s="272"/>
      <c r="O10" s="275">
        <f>M10</f>
        <v>280.84661016732178</v>
      </c>
      <c r="P10" s="276"/>
      <c r="Q10" s="277">
        <f>M10</f>
        <v>280.84661016732178</v>
      </c>
      <c r="R10" s="277"/>
      <c r="S10" s="277"/>
      <c r="T10" s="277"/>
      <c r="U10" s="277"/>
      <c r="V10" s="278">
        <f>Q10</f>
        <v>280.84661016732178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299.80021208947551</v>
      </c>
      <c r="R11" s="281">
        <f t="shared" ref="R11:R22" si="0">M10</f>
        <v>280.84661016732178</v>
      </c>
      <c r="S11" s="281">
        <f>IF(R11&gt;=0,IF(M11&gt;=0,Q10,Q11),IF(M11&gt;=0,S10,Q11))</f>
        <v>280.84661016732178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-2.628530566174025</v>
      </c>
      <c r="N12" s="274"/>
      <c r="O12" s="279"/>
      <c r="P12" s="280"/>
      <c r="Q12" s="281">
        <f>Q11+M12</f>
        <v>297.17168152330146</v>
      </c>
      <c r="R12" s="281">
        <f t="shared" si="0"/>
        <v>18.953601922153705</v>
      </c>
      <c r="S12" s="281">
        <f>IF(R12&gt;=0,IF(M12&gt;=0,Q11,Q12),IF(M12&gt;=0,S11,Q12))</f>
        <v>297.17168152330146</v>
      </c>
      <c r="T12" s="281">
        <f>IF(M12&gt;=0,M12,0)</f>
        <v>0</v>
      </c>
      <c r="U12" s="281">
        <f t="shared" si="1"/>
        <v>2.628530566174025</v>
      </c>
      <c r="V12" s="282">
        <f>SUM(T12:U12)</f>
        <v>2.628530566174025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297.17168152330146</v>
      </c>
      <c r="N13" s="272"/>
      <c r="O13" s="283">
        <f>M13</f>
        <v>297.17168152330146</v>
      </c>
      <c r="P13" s="284"/>
      <c r="Q13" s="285">
        <f>Q12+M13-O13</f>
        <v>297.17168152330146</v>
      </c>
      <c r="R13" s="285">
        <f t="shared" si="0"/>
        <v>-2.628530566174025</v>
      </c>
      <c r="S13" s="285">
        <v>0</v>
      </c>
      <c r="T13" s="285">
        <v>0</v>
      </c>
      <c r="U13" s="285">
        <f t="shared" si="1"/>
        <v>0</v>
      </c>
      <c r="V13" s="286">
        <f>Q13</f>
        <v>297.17168152330146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297.17168152330146</v>
      </c>
      <c r="R14" s="281">
        <f t="shared" si="0"/>
        <v>297.17168152330146</v>
      </c>
      <c r="S14" s="281">
        <f>IF(R14&gt;=0,IF(M14&gt;=0,Q13,Q14),IF(M14&gt;=0,S13,Q14))</f>
        <v>297.17168152330146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390</v>
      </c>
      <c r="L15" s="273" t="s">
        <v>175</v>
      </c>
      <c r="M15" s="913">
        <f>J37+'RT1B) Descarb Util Públ'!C42</f>
        <v>-5.3937353819428733</v>
      </c>
      <c r="N15" s="274"/>
      <c r="O15" s="279"/>
      <c r="P15" s="280"/>
      <c r="Q15" s="281">
        <f>Q14+M15</f>
        <v>291.7779461413586</v>
      </c>
      <c r="R15" s="281">
        <f t="shared" si="0"/>
        <v>0</v>
      </c>
      <c r="S15" s="281">
        <f>IF(R15&gt;=0,IF(M15&gt;=0,Q14,Q15),IF(M15&gt;=0,S14,Q15))</f>
        <v>291.7779461413586</v>
      </c>
      <c r="T15" s="281">
        <f>IF(M15&gt;=0,M15,0)</f>
        <v>0</v>
      </c>
      <c r="U15" s="281">
        <f t="shared" si="1"/>
        <v>5.3937353819428733</v>
      </c>
      <c r="V15" s="282">
        <f>SUM(T15:U15)</f>
        <v>5.3937353819428733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4500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291.7779461413586</v>
      </c>
      <c r="N16" s="272"/>
      <c r="O16" s="283">
        <f>M16</f>
        <v>291.7779461413586</v>
      </c>
      <c r="P16" s="284"/>
      <c r="Q16" s="285">
        <f>Q15+M16-O16</f>
        <v>291.7779461413586</v>
      </c>
      <c r="R16" s="285">
        <f t="shared" si="0"/>
        <v>-5.3937353819428733</v>
      </c>
      <c r="S16" s="285">
        <v>0</v>
      </c>
      <c r="T16" s="285">
        <v>0</v>
      </c>
      <c r="U16" s="285">
        <f t="shared" si="1"/>
        <v>0</v>
      </c>
      <c r="V16" s="286">
        <f>Q16</f>
        <v>291.7779461413586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291.7779461413586</v>
      </c>
      <c r="R17" s="281">
        <f t="shared" si="0"/>
        <v>291.7779461413586</v>
      </c>
      <c r="S17" s="281">
        <f>IF(R17&gt;=0,IF(M17&gt;=0,Q16,Q17),IF(M17&gt;=0,S16,Q17))</f>
        <v>291.7779461413586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269.21808551496798</v>
      </c>
      <c r="R18" s="281">
        <f t="shared" si="0"/>
        <v>0</v>
      </c>
      <c r="S18" s="281">
        <f>IF(R18&gt;=0,IF(M18&gt;=0,Q17,Q18),IF(M18&gt;=0,S17,Q18))</f>
        <v>269.21808551496798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269.21808551496798</v>
      </c>
      <c r="R19" s="281">
        <f t="shared" si="0"/>
        <v>-22.559860626390641</v>
      </c>
      <c r="S19" s="281">
        <f>IF(R19&gt;=0,IF(M19&gt;=0,Q18,Q19),IF(M19&gt;=0,S18,Q19))</f>
        <v>269.21808551496798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269.21808551496798</v>
      </c>
      <c r="R20" s="281">
        <f t="shared" si="0"/>
        <v>0</v>
      </c>
      <c r="S20" s="281">
        <f>IF(R20&gt;=0,IF(M20&gt;=0,Q19,Q20),IF(M20&gt;=0,S19,Q20))</f>
        <v>269.21808551496798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167.75731676496798</v>
      </c>
      <c r="R21" s="281">
        <f t="shared" si="0"/>
        <v>0</v>
      </c>
      <c r="S21" s="281">
        <f>IF(R21&gt;=0,IF(M21&gt;=0,Q20,Q21),IF(M21&gt;=0,S20,Q21))</f>
        <v>167.75731676496798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0"/>
      <c r="C22" s="91" t="s">
        <v>249</v>
      </c>
      <c r="D22" s="78" t="s">
        <v>41</v>
      </c>
      <c r="F22" s="427">
        <f>'C-Dados RT1 Simplif.'!C105*'C-Dados RT1 Simplif.'!C107*'C-Dados RT1 Simplif.'!C136/1000</f>
        <v>7714.3957782566204</v>
      </c>
      <c r="G22" s="305"/>
      <c r="H22" s="1040">
        <f>F16/F22</f>
        <v>0.58332501071353604</v>
      </c>
      <c r="L22" s="288" t="s">
        <v>168</v>
      </c>
      <c r="M22" s="297">
        <f>M16+M17+M18+M19+M20+M21</f>
        <v>167.75731676496798</v>
      </c>
      <c r="N22" s="272"/>
      <c r="O22" s="289">
        <f>M22</f>
        <v>167.75731676496798</v>
      </c>
      <c r="P22" s="290"/>
      <c r="Q22" s="291">
        <f>Q21+M22-O22</f>
        <v>167.75731676496798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167.75731676496798</v>
      </c>
    </row>
    <row r="23" spans="2:22" ht="15" customHeight="1" outlineLevel="1" thickTop="1" x14ac:dyDescent="0.25">
      <c r="B23" s="1270"/>
      <c r="C23" s="91" t="s">
        <v>250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0"/>
      <c r="C24" s="91" t="s">
        <v>251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0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1271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7" t="s">
        <v>30</v>
      </c>
      <c r="C30" s="1257"/>
      <c r="D30" s="110"/>
      <c r="F30" s="355"/>
      <c r="H30" s="355"/>
      <c r="J30" s="355"/>
    </row>
    <row r="31" spans="2:22" s="110" customFormat="1" ht="15.75" hidden="1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-2.2104714661933893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-4.9735607989351243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105">
        <f t="shared" si="2"/>
        <v>4500</v>
      </c>
      <c r="G40" s="103"/>
      <c r="H40" s="119">
        <f>H16</f>
        <v>1.8</v>
      </c>
      <c r="I40" s="115"/>
      <c r="J40" s="116">
        <f>-'RT1B) Comercializ Gás Biome'!C26</f>
        <v>-22.559860626390641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4" t="s">
        <v>113</v>
      </c>
      <c r="C46" s="1275"/>
      <c r="D46" s="1275"/>
      <c r="E46" s="1275"/>
      <c r="F46" s="1275"/>
      <c r="G46" s="1275"/>
      <c r="H46" s="1275"/>
      <c r="I46" s="126"/>
      <c r="J46" s="353"/>
      <c r="K46" s="126"/>
    </row>
    <row r="47" spans="2:11" s="110" customFormat="1" ht="15.75" x14ac:dyDescent="0.25">
      <c r="B47" s="1276"/>
      <c r="C47" s="1277"/>
      <c r="D47" s="1277"/>
      <c r="E47" s="1277"/>
      <c r="F47" s="1277"/>
      <c r="G47" s="1277"/>
      <c r="H47" s="1277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-112.25105971936547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72"/>
      <c r="K53" s="1272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168.59555044795633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0" t="s">
        <v>548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8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8"/>
      <c r="M5" s="781"/>
      <c r="N5" s="1058"/>
      <c r="O5" s="1346" t="s">
        <v>378</v>
      </c>
      <c r="P5" s="1058"/>
      <c r="Q5" s="1346" t="s">
        <v>379</v>
      </c>
      <c r="R5" s="1058"/>
      <c r="S5" s="1346" t="s">
        <v>380</v>
      </c>
      <c r="T5" s="1058"/>
      <c r="U5" s="1346" t="s">
        <v>381</v>
      </c>
      <c r="V5" s="1058"/>
      <c r="W5" s="1346" t="s">
        <v>382</v>
      </c>
      <c r="X5" s="1058"/>
      <c r="Y5" s="1346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42.628235417730139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8"/>
      <c r="M6" s="793"/>
      <c r="N6" s="794"/>
      <c r="O6" s="1347"/>
      <c r="P6" s="1058"/>
      <c r="Q6" s="1347"/>
      <c r="R6" s="1058"/>
      <c r="S6" s="1347"/>
      <c r="T6" s="1058"/>
      <c r="U6" s="1347"/>
      <c r="V6" s="1058"/>
      <c r="W6" s="1347"/>
      <c r="X6" s="1058"/>
      <c r="Y6" s="1347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'RT1B)BIODIG Descarb Biomet'!M22</f>
        <v>167.75731676496798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8"/>
      <c r="M8" s="793"/>
      <c r="N8" s="794"/>
      <c r="O8" s="800">
        <f>(O12-O10)/O10</f>
        <v>0</v>
      </c>
      <c r="P8" s="794"/>
      <c r="Q8" s="800">
        <f>(Q12-Q10)/Q10</f>
        <v>5.9292925928749853E-3</v>
      </c>
      <c r="R8" s="794"/>
      <c r="S8" s="800">
        <f>(S12-S10)/S10</f>
        <v>1.5233061901367551E-2</v>
      </c>
      <c r="T8" s="1058"/>
      <c r="U8" s="800">
        <f>(U12-U10)/U10</f>
        <v>1.5233061901367525E-2</v>
      </c>
      <c r="V8" s="1058"/>
      <c r="W8" s="800">
        <f>(W12-W10)/W10</f>
        <v>1.5233061901367525E-2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46.33742475201538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1.6290407749865035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46.612172901370407</v>
      </c>
      <c r="R12" s="794"/>
      <c r="S12" s="806">
        <f>S33</f>
        <v>257977.38543486263</v>
      </c>
      <c r="T12" s="1058"/>
      <c r="U12" s="806">
        <f>U33</f>
        <v>26566304.926869027</v>
      </c>
      <c r="V12" s="1058"/>
      <c r="W12" s="806">
        <f>W33</f>
        <v>26566304.926869027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2"/>
      <c r="G16" s="1334"/>
      <c r="H16" s="1336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46.33742475201538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1.7707876854200166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7" t="s">
        <v>419</v>
      </c>
      <c r="G23" s="1338"/>
      <c r="H23" s="1339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270.04892360241848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46.33742475201538</v>
      </c>
      <c r="E25" s="1058"/>
      <c r="F25" s="839" t="s">
        <v>424</v>
      </c>
      <c r="G25" s="816" t="s">
        <v>425</v>
      </c>
      <c r="H25" s="842">
        <f>H24/12</f>
        <v>22.504076966868208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1.7707876854200166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3" t="s">
        <v>427</v>
      </c>
      <c r="C29" s="1314"/>
      <c r="D29" s="1314"/>
      <c r="E29" s="1315"/>
      <c r="F29" s="1058"/>
      <c r="G29" s="1058"/>
      <c r="H29" s="781"/>
      <c r="I29" s="1058"/>
      <c r="J29" s="781"/>
      <c r="K29" s="1316" t="s">
        <v>428</v>
      </c>
      <c r="L29" s="1317"/>
      <c r="M29" s="1318"/>
      <c r="N29" s="1058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8"/>
      <c r="O31" s="1324" t="s">
        <v>433</v>
      </c>
      <c r="P31" s="1058"/>
      <c r="Q31" s="1324" t="s">
        <v>434</v>
      </c>
      <c r="R31" s="1058"/>
      <c r="S31" s="1324" t="s">
        <v>435</v>
      </c>
      <c r="T31" s="1058"/>
      <c r="U31" s="1324" t="s">
        <v>436</v>
      </c>
      <c r="V31" s="1058"/>
      <c r="W31" s="1324" t="s">
        <v>436</v>
      </c>
      <c r="X31" s="1058"/>
      <c r="Y31" s="1324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270.04892360241848</v>
      </c>
      <c r="M32" s="845">
        <f>H25</f>
        <v>22.504076966868208</v>
      </c>
      <c r="N32" s="846"/>
      <c r="O32" s="1325"/>
      <c r="P32" s="846"/>
      <c r="Q32" s="1325"/>
      <c r="R32" s="846"/>
      <c r="S32" s="1325"/>
      <c r="T32" s="1058"/>
      <c r="U32" s="1325"/>
      <c r="V32" s="1058"/>
      <c r="W32" s="1325"/>
      <c r="X32" s="1058"/>
      <c r="Y32" s="1326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46.612172901370407</v>
      </c>
      <c r="R33" s="1058"/>
      <c r="S33" s="806">
        <f>12*S34</f>
        <v>257977.38543486263</v>
      </c>
      <c r="T33" s="1058" t="s">
        <v>438</v>
      </c>
      <c r="U33" s="806">
        <f>12*U34</f>
        <v>26566304.926869027</v>
      </c>
      <c r="V33" s="1058" t="s">
        <v>439</v>
      </c>
      <c r="W33" s="806">
        <f>12*W34</f>
        <v>26566304.926869027</v>
      </c>
      <c r="X33" s="1058" t="s">
        <v>439</v>
      </c>
      <c r="Y33" s="1311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2213858.7439057524</v>
      </c>
      <c r="V34" s="1058" t="s">
        <v>442</v>
      </c>
      <c r="W34" s="806">
        <f>W36+W49+W62+W75+W88</f>
        <v>2213858.7439057524</v>
      </c>
      <c r="X34" s="1058" t="s">
        <v>442</v>
      </c>
      <c r="Y34" s="1312"/>
      <c r="Z34" s="1058"/>
      <c r="AA34" s="1058"/>
      <c r="AB34" s="777"/>
    </row>
    <row r="35" spans="1:28" s="778" customFormat="1" ht="25.15" customHeight="1" outlineLevel="1" x14ac:dyDescent="0.25">
      <c r="A35" s="1058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33.571511693933473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8"/>
      <c r="O36" s="806">
        <f>O39+O41+O42+O43+O44+O45</f>
        <v>40</v>
      </c>
      <c r="P36" s="1058"/>
      <c r="Q36" s="853">
        <f>Q39+Q41+Q42+Q43+Q44+Q45</f>
        <v>1342.8604677573389</v>
      </c>
      <c r="R36" s="1058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058" t="s">
        <v>449</v>
      </c>
      <c r="W36" s="1283">
        <f>W39*O39+W41*O41+W42*O42+W43*O43+W44*O44+W45*O45</f>
        <v>693.88178950799693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8"/>
      <c r="O37" s="859" t="s">
        <v>455</v>
      </c>
      <c r="P37" s="1058"/>
      <c r="Q37" s="860">
        <v>0.75</v>
      </c>
      <c r="R37" s="1058"/>
      <c r="S37" s="1284"/>
      <c r="T37" s="1286"/>
      <c r="U37" s="1284"/>
      <c r="V37" s="1058"/>
      <c r="W37" s="1287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67.512230900604621</v>
      </c>
      <c r="K39" s="876">
        <f>$M$32*H39*$B$38*$C$38</f>
        <v>5.626019241717052</v>
      </c>
      <c r="L39" s="875">
        <f>J39*$D$38</f>
        <v>84.390288625755773</v>
      </c>
      <c r="M39" s="876">
        <f>K39*$D$38</f>
        <v>7.0325240521463153</v>
      </c>
      <c r="N39" s="1058"/>
      <c r="O39" s="877">
        <v>2</v>
      </c>
      <c r="P39" s="1058"/>
      <c r="Q39" s="878">
        <f>O39*$Q$37*M39+O39*(1-$Q$37)*K39</f>
        <v>13.361795699078</v>
      </c>
      <c r="R39" s="1058"/>
      <c r="S39" s="879">
        <f>IF(AND(Q39&lt;&gt;0,O39&lt;&gt;0),Q39*(1-D17-D18-D19)/O39/30/(($D$25*1000000/$D$8))*1000,0)</f>
        <v>1.1174257151430409</v>
      </c>
      <c r="T39" s="1058" t="s">
        <v>459</v>
      </c>
      <c r="U39" s="880">
        <f>S39*O39*30*$D$11*(1+$D$24)/1000</f>
        <v>6.9042964130148938</v>
      </c>
      <c r="V39" s="1058" t="s">
        <v>460</v>
      </c>
      <c r="W39" s="880">
        <f>IF(O39&lt;&gt;0,U39/O39,0)</f>
        <v>3.4521482065074469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195.7854696117534</v>
      </c>
      <c r="K41" s="876">
        <f>$M$32*(H39+(G41-F41)*H41)*$B$38*$C$38</f>
        <v>16.31545580097945</v>
      </c>
      <c r="L41" s="875">
        <f t="shared" ref="L41:M45" si="0">J41*$D$38</f>
        <v>244.73183701469173</v>
      </c>
      <c r="M41" s="876">
        <f t="shared" si="0"/>
        <v>20.394319751224312</v>
      </c>
      <c r="N41" s="1058"/>
      <c r="O41" s="877">
        <v>2</v>
      </c>
      <c r="P41" s="1058"/>
      <c r="Q41" s="878">
        <f>O41*$Q$37*M41+O41*(1-$Q$37)*K41</f>
        <v>38.749207527326192</v>
      </c>
      <c r="R41" s="1058"/>
      <c r="S41" s="879">
        <f>IF(AND(Q41&lt;&gt;0,O41&lt;&gt;0),Q41*(1-D17-D18-D19)/O41/30/(($D$25*1000000/$D$8))*1000,0)</f>
        <v>3.2405345739148186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330.80993141296267</v>
      </c>
      <c r="K42" s="876">
        <f>$M$32*(H39+(G41-F41)*H41+(G42-F42)*H42)*$B$38*$C$38</f>
        <v>27.567494284413556</v>
      </c>
      <c r="L42" s="875">
        <f t="shared" si="0"/>
        <v>413.51241426620334</v>
      </c>
      <c r="M42" s="876">
        <f t="shared" si="0"/>
        <v>34.459367855516945</v>
      </c>
      <c r="N42" s="1058"/>
      <c r="O42" s="877">
        <v>28</v>
      </c>
      <c r="P42" s="1058"/>
      <c r="Q42" s="878">
        <f>O42*$Q$37*M42+O42*(1-$Q$37)*K42</f>
        <v>916.6191849567507</v>
      </c>
      <c r="R42" s="1058"/>
      <c r="S42" s="879">
        <f>IF(AND(Q42&lt;&gt;0,O42&lt;&gt;0),Q42*(1-D17-D18-D19)/O42/30/(($D$25*1000000/$D$8))*1000,0)</f>
        <v>5.4753860042009004</v>
      </c>
      <c r="T42" s="1058" t="s">
        <v>459</v>
      </c>
      <c r="U42" s="880">
        <f>S42*O42*30*$D$11*(1+$D$24)/1000</f>
        <v>473.6347339328218</v>
      </c>
      <c r="V42" s="1058" t="s">
        <v>460</v>
      </c>
      <c r="W42" s="880">
        <f>IF(O42&lt;&gt;0,U42/O42,0)</f>
        <v>16.915526211886494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472.58561630423236</v>
      </c>
      <c r="K43" s="876">
        <f>$M$32*(H39+(G41-F41)*H41+(G42-F42)*H42+(G43-F43)*H43)*$B$38*$C$38</f>
        <v>39.382134692019363</v>
      </c>
      <c r="L43" s="875">
        <f t="shared" si="0"/>
        <v>590.73202038029046</v>
      </c>
      <c r="M43" s="876">
        <f t="shared" si="0"/>
        <v>49.227668365024201</v>
      </c>
      <c r="N43" s="1058"/>
      <c r="O43" s="877">
        <v>8</v>
      </c>
      <c r="P43" s="1058"/>
      <c r="Q43" s="878">
        <f>O43*$Q$37*M43+O43*(1-$Q$37)*K43</f>
        <v>374.13027957418387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695.37597827622767</v>
      </c>
      <c r="K44" s="876">
        <f>$M$32*(H39+(G41-F41)*H41+(G42-F42)*H42+(G43-F43)*H43+(G44-F44)*H44)*$B$38*$C$38</f>
        <v>57.947998189685642</v>
      </c>
      <c r="L44" s="875">
        <f t="shared" si="0"/>
        <v>869.21997284528459</v>
      </c>
      <c r="M44" s="876">
        <f t="shared" si="0"/>
        <v>72.434997737107054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1471.7666336331808</v>
      </c>
      <c r="K45" s="876">
        <f>$M$32*(H39+(G41-F41)*H41+(G42-F42)*H42+(G43-F43)*H43+(G44-F44)*H44+(G45-F45)*H45)*$B$38*$C$38</f>
        <v>122.64721946943173</v>
      </c>
      <c r="L45" s="875">
        <f t="shared" si="0"/>
        <v>1839.7082920414759</v>
      </c>
      <c r="M45" s="876">
        <f t="shared" si="0"/>
        <v>153.30902433678966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26.828874916125915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8"/>
      <c r="O49" s="806">
        <f>O52+O54+O55+O56+O57+O58</f>
        <v>127341</v>
      </c>
      <c r="P49" s="1058"/>
      <c r="Q49" s="894">
        <f>Q52+Q54+Q55+Q56+Q57+Q58</f>
        <v>3416415.7606943902</v>
      </c>
      <c r="R49" s="1058"/>
      <c r="S49" s="1308">
        <f>IF(AND(Q49&lt;&gt;0,O49&lt;&gt;0),Q49*(1-D17-D18-D19)/(($D$25*1000000/$D$8)),0)</f>
        <v>17142.564864466425</v>
      </c>
      <c r="T49" s="1285" t="s">
        <v>448</v>
      </c>
      <c r="U49" s="1283">
        <f>U52+U54+U55+U56+U57+U58</f>
        <v>1765327.6261032387</v>
      </c>
      <c r="V49" s="1058" t="s">
        <v>449</v>
      </c>
      <c r="W49" s="1309">
        <f>W52*O52+W54*O54+W55*O55+W56*O56+W57*O57+W58*O58</f>
        <v>1765327.6261032387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8"/>
      <c r="O50" s="895" t="s">
        <v>455</v>
      </c>
      <c r="P50" s="1058"/>
      <c r="Q50" s="860">
        <v>0.75</v>
      </c>
      <c r="R50" s="1058"/>
      <c r="S50" s="1284"/>
      <c r="T50" s="1286"/>
      <c r="U50" s="1284"/>
      <c r="V50" s="1058"/>
      <c r="W50" s="1310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94.685903838097971</v>
      </c>
      <c r="K52" s="876">
        <f>$M$32*H52*$B$51*$C$51</f>
        <v>7.8904919865081649</v>
      </c>
      <c r="L52" s="875">
        <f>J52*$D$51</f>
        <v>118.35737979762246</v>
      </c>
      <c r="M52" s="876">
        <f>K52*$D$51</f>
        <v>9.8631149831352065</v>
      </c>
      <c r="N52" s="1058"/>
      <c r="O52" s="877">
        <v>62341</v>
      </c>
      <c r="P52" s="1058"/>
      <c r="Q52" s="878">
        <f>O52*$Q$50*M52+O52*(1-$Q$50)*K52</f>
        <v>584132.62860545027</v>
      </c>
      <c r="R52" s="1058"/>
      <c r="S52" s="879">
        <f>IF(AND(Q52&lt;&gt;0,O52&lt;&gt;0),Q52*(1-D17-D18-D19)/O52/30/(($D$25*1000000/$D$8))*1000,0)</f>
        <v>1.5671895654881147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301.27333039394813</v>
      </c>
      <c r="K54" s="876">
        <f>$M$32*(H52+(G54-F54)*H54)*$B$51*$C$51</f>
        <v>25.106110866162343</v>
      </c>
      <c r="L54" s="875">
        <f t="shared" ref="L54:M58" si="1">J54*$D$51</f>
        <v>376.59166299243515</v>
      </c>
      <c r="M54" s="876">
        <f t="shared" si="1"/>
        <v>31.382638582702928</v>
      </c>
      <c r="N54" s="1058"/>
      <c r="O54" s="877">
        <v>42500</v>
      </c>
      <c r="P54" s="1058"/>
      <c r="Q54" s="878">
        <f>O54*$Q$50*M54+O54*(1-$Q$50)*K54</f>
        <v>1267074.0327766307</v>
      </c>
      <c r="R54" s="1058"/>
      <c r="S54" s="879">
        <f>IF(AND(Q54&lt;&gt;0,O54&lt;&gt;0),Q54*(1-D17-D18-D19)/O54/30/(($D$25*1000000/$D$8))*1000,0)</f>
        <v>4.9865122538258202</v>
      </c>
      <c r="T54" s="1058" t="s">
        <v>459</v>
      </c>
      <c r="U54" s="880">
        <f>S54*O54*30*$D$11*(1+$D$24)/1000</f>
        <v>654721.48329042818</v>
      </c>
      <c r="V54" s="1058" t="s">
        <v>460</v>
      </c>
      <c r="W54" s="898">
        <f>IF(O54&lt;&gt;0,U54/O54,0)</f>
        <v>15.405211371539487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516.46856638962538</v>
      </c>
      <c r="K55" s="876">
        <f>$M$32*(H52+(G54-F54)*H54+(G55-F55)*H55)*$B$51*$C$51</f>
        <v>43.039047199135446</v>
      </c>
      <c r="L55" s="875">
        <f t="shared" si="1"/>
        <v>645.5857079870317</v>
      </c>
      <c r="M55" s="876">
        <f t="shared" si="1"/>
        <v>53.798808998919306</v>
      </c>
      <c r="N55" s="1058"/>
      <c r="O55" s="877">
        <v>10000</v>
      </c>
      <c r="P55" s="1058"/>
      <c r="Q55" s="878">
        <f>O55*$Q$50*M55+O55*(1-$Q$50)*K55</f>
        <v>511088.68548973347</v>
      </c>
      <c r="R55" s="1058"/>
      <c r="S55" s="879">
        <f>IF(AND(Q55&lt;&gt;0,O55&lt;&gt;0),Q55*(1-D17-D18-D19)/O55/30/(($D$25*1000000/$D$8))*1000,0)</f>
        <v>8.5483067208442627</v>
      </c>
      <c r="T55" s="1058" t="s">
        <v>459</v>
      </c>
      <c r="U55" s="880">
        <f>S55*O55*30*$D$11*(1+$D$24)/1000</f>
        <v>264089.33779781975</v>
      </c>
      <c r="V55" s="1058" t="s">
        <v>460</v>
      </c>
      <c r="W55" s="899">
        <f>IF(O55&lt;&gt;0,U55/O55,0)</f>
        <v>26.408933779781975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852.17313454288183</v>
      </c>
      <c r="K56" s="876">
        <f>$M$32*(H52+(G54-F54)*H54+(G55-F55)*H55+(G56-F56)*H56)*$B$51*$C$51</f>
        <v>71.014427878573485</v>
      </c>
      <c r="L56" s="875">
        <f t="shared" si="1"/>
        <v>1065.2164181786022</v>
      </c>
      <c r="M56" s="876">
        <f t="shared" si="1"/>
        <v>88.768034848216857</v>
      </c>
      <c r="N56" s="1058"/>
      <c r="O56" s="877">
        <v>12500</v>
      </c>
      <c r="P56" s="1058"/>
      <c r="Q56" s="878">
        <f>O56*$Q$50*M56+O56*(1-$Q$50)*K56</f>
        <v>1054120.4138225752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1755.993125724726</v>
      </c>
      <c r="K57" s="876">
        <f>$M$32*(H52+(G54-F54)*H54+(G55-F55)*H55+(G56-F56)*H56+(G57-F57)*H57)*$B$51*$C$51</f>
        <v>146.3327604770605</v>
      </c>
      <c r="L57" s="875">
        <f t="shared" si="1"/>
        <v>2194.9914071559074</v>
      </c>
      <c r="M57" s="876">
        <f t="shared" si="1"/>
        <v>182.91595059632562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3692.7502496858206</v>
      </c>
      <c r="K58" s="876">
        <f>$M$32*(H52+(G54-F54)*H54+(G55-F55)*H55+(G56-F56)*H56+(G57-F57)*H57+(G58-F58)*H58)*$B$51*$C$51</f>
        <v>307.7291874738184</v>
      </c>
      <c r="L58" s="875">
        <f t="shared" si="1"/>
        <v>4615.9378121072759</v>
      </c>
      <c r="M58" s="876">
        <f t="shared" si="1"/>
        <v>384.66148434227301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9.4259782720551275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8"/>
      <c r="O62" s="806">
        <f>O65+O67+O68+O69+O70+O71</f>
        <v>42447</v>
      </c>
      <c r="P62" s="1058"/>
      <c r="Q62" s="853">
        <f>Q65+Q67+Q68+Q69+Q70+Q71</f>
        <v>400104.49971392401</v>
      </c>
      <c r="R62" s="1058"/>
      <c r="S62" s="1283">
        <f>IF(AND(Q62&lt;&gt;0,O62&lt;&gt;0),Q62*(1-D17-D18-D19)/(H15)/(($D$25*1000000/$D$8)),0)</f>
        <v>4015.2123273876764</v>
      </c>
      <c r="T62" s="1285" t="s">
        <v>448</v>
      </c>
      <c r="U62" s="1283">
        <f>U65+U67+U68+U69+U70+U71</f>
        <v>413483.35574335727</v>
      </c>
      <c r="V62" s="1058" t="s">
        <v>449</v>
      </c>
      <c r="W62" s="1283">
        <f>W65*O65+W67*O67+W68*O68+W69*O69+W70*O70+W71*O71</f>
        <v>413483.35574335733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8"/>
      <c r="O63" s="895" t="s">
        <v>455</v>
      </c>
      <c r="P63" s="1058"/>
      <c r="Q63" s="860">
        <v>0.75</v>
      </c>
      <c r="R63" s="1058"/>
      <c r="S63" s="1284"/>
      <c r="T63" s="1286"/>
      <c r="U63" s="1284"/>
      <c r="V63" s="1058"/>
      <c r="W63" s="1287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47.342951919048986</v>
      </c>
      <c r="K65" s="876">
        <f>$M$32*H65*$B$64*$C$64</f>
        <v>3.9452459932540824</v>
      </c>
      <c r="L65" s="875">
        <f>J65*$D$51</f>
        <v>59.178689898811228</v>
      </c>
      <c r="M65" s="876">
        <f>K65*$D$51</f>
        <v>4.9315574915676033</v>
      </c>
      <c r="N65" s="1058"/>
      <c r="O65" s="877">
        <v>25947</v>
      </c>
      <c r="P65" s="1058"/>
      <c r="Q65" s="878">
        <f>O65*$Q$63*M65+O65*(1-$Q$63)*K65</f>
        <v>121561.16612201938</v>
      </c>
      <c r="R65" s="1058"/>
      <c r="S65" s="879">
        <f>IF(AND(Q65&lt;&gt;0,O65&lt;&gt;0),Q65*(1-D17-D18-D19)/(H15)/O65/30/(($D$25*1000000/$D$8))*1000,0)</f>
        <v>1.5671895654881147</v>
      </c>
      <c r="T65" s="1058" t="s">
        <v>459</v>
      </c>
      <c r="U65" s="880">
        <f>S65*O65*30*$D$11*(1+$D$24)/1000</f>
        <v>125625.97754373384</v>
      </c>
      <c r="V65" s="1058" t="s">
        <v>460</v>
      </c>
      <c r="W65" s="880">
        <f>IF(O65&lt;&gt;0,U65/O65,0)</f>
        <v>4.8416378596266947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150.63666519697406</v>
      </c>
      <c r="K67" s="876">
        <f>$M$32*(H65+(G67-F67)*H67)*$B$64*$C$64</f>
        <v>12.553055433081171</v>
      </c>
      <c r="L67" s="875">
        <f t="shared" ref="L67:M71" si="3">J67*$D$51</f>
        <v>188.29583149621757</v>
      </c>
      <c r="M67" s="876">
        <f t="shared" si="3"/>
        <v>15.691319291351464</v>
      </c>
      <c r="N67" s="1058"/>
      <c r="O67" s="877">
        <v>15000</v>
      </c>
      <c r="P67" s="1058"/>
      <c r="Q67" s="878">
        <f>O67*$Q$63*M67+O67*(1-$Q$63)*K67</f>
        <v>223601.29990175838</v>
      </c>
      <c r="R67" s="1058"/>
      <c r="S67" s="879">
        <f>IF(AND(Q67&lt;&gt;0,O67&lt;&gt;0),Q67*(1-D17-D18-D19)/O67/30/(H15)/(($D$25*1000000/$D$8))*1000,0)</f>
        <v>4.9865122538258202</v>
      </c>
      <c r="T67" s="1058" t="s">
        <v>459</v>
      </c>
      <c r="U67" s="880">
        <f>S67*O67*30*$D$11*(1+$D$24)/1000</f>
        <v>231078.17057309227</v>
      </c>
      <c r="V67" s="1058" t="s">
        <v>460</v>
      </c>
      <c r="W67" s="880">
        <f>IF(O67&lt;&gt;0,U67/O67,0)</f>
        <v>15.405211371539485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258.23428319481269</v>
      </c>
      <c r="K68" s="876">
        <f>$M$32*(H65+(G67-F67)*H67+(G68-F68)*H68)*$B$64*$C$64</f>
        <v>21.519523599567723</v>
      </c>
      <c r="L68" s="875">
        <f t="shared" si="3"/>
        <v>322.79285399351585</v>
      </c>
      <c r="M68" s="876">
        <f t="shared" si="3"/>
        <v>26.899404499459653</v>
      </c>
      <c r="N68" s="1058"/>
      <c r="O68" s="877">
        <v>500</v>
      </c>
      <c r="P68" s="1058"/>
      <c r="Q68" s="878">
        <f>O68*$Q$63*M68+O68*(1-$Q$63)*K68</f>
        <v>12777.217137243335</v>
      </c>
      <c r="R68" s="1058"/>
      <c r="S68" s="879">
        <f>IF(AND(Q68&lt;&gt;0,O68&lt;&gt;0),Q68*(1-D17-D18-D19)/O68/30/(H15)/(($D$25*1000000/$D$8))*1000,0)</f>
        <v>8.5483067208442627</v>
      </c>
      <c r="T68" s="1058" t="s">
        <v>459</v>
      </c>
      <c r="U68" s="880">
        <f>S68*O68*30*$D$11*(1+$D$24)/1000</f>
        <v>13204.466889890984</v>
      </c>
      <c r="V68" s="1058" t="s">
        <v>460</v>
      </c>
      <c r="W68" s="880">
        <f>IF(O68&lt;&gt;0,U68/O68,0)</f>
        <v>26.408933779781968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426.08656727144091</v>
      </c>
      <c r="K69" s="876">
        <f>$M$32*(H65+(G67-F67)*H67+(G68-F68)*H68+(G69-F69)*H69)*$B$64*$C$64</f>
        <v>35.507213939286743</v>
      </c>
      <c r="L69" s="875">
        <f t="shared" si="3"/>
        <v>532.60820908930111</v>
      </c>
      <c r="M69" s="876">
        <f t="shared" si="3"/>
        <v>44.384017424108428</v>
      </c>
      <c r="N69" s="1058"/>
      <c r="O69" s="877">
        <v>1000</v>
      </c>
      <c r="P69" s="1058"/>
      <c r="Q69" s="878">
        <f>O69*$Q$63*M69+O69*(1-$Q$63)*K69</f>
        <v>42164.816552903008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877.99656286236302</v>
      </c>
      <c r="K70" s="876">
        <f>$M$32*(H65+(G67-F67)*H67+(G68-F68)*H68+(G69-F69)*H69+(G70-F70)*H70)*$B$64*$C$64</f>
        <v>73.166380238530252</v>
      </c>
      <c r="L70" s="875">
        <f t="shared" si="3"/>
        <v>1097.4957035779537</v>
      </c>
      <c r="M70" s="876">
        <f t="shared" si="3"/>
        <v>91.457975298162808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1846.3751248429103</v>
      </c>
      <c r="K71" s="876">
        <f>$M$32*(H65+(G67-F67)*H67+(G68-F68)*H68+(G69-F69)*H69+(G70-F70)*H70+(G71-F71)*H71)*$B$64*$C$64</f>
        <v>153.8645937369092</v>
      </c>
      <c r="L71" s="875">
        <f t="shared" si="3"/>
        <v>2307.968906053638</v>
      </c>
      <c r="M71" s="876">
        <f t="shared" si="3"/>
        <v>192.33074217113651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37.257997358267694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8"/>
      <c r="O75" s="806">
        <f>O78+O80+O81+O82+O83+O84</f>
        <v>1741</v>
      </c>
      <c r="P75" s="1058"/>
      <c r="Q75" s="853">
        <f>Q78+Q80+Q81+Q82+Q83+Q84</f>
        <v>64866.173400744054</v>
      </c>
      <c r="R75" s="1058"/>
      <c r="S75" s="1283">
        <f>IF(AND(Q75&lt;&gt;0,O75&lt;&gt;0),Q75*(1-D17-D18-D19)/(($D$25*1000000/$D$8)),0)</f>
        <v>325.4792926040044</v>
      </c>
      <c r="T75" s="1285" t="s">
        <v>448</v>
      </c>
      <c r="U75" s="1283">
        <f>U78+U80+U81+U82+U83+U84</f>
        <v>33517.597366622111</v>
      </c>
      <c r="V75" s="1058" t="s">
        <v>449</v>
      </c>
      <c r="W75" s="1283">
        <f>W78*O78+W80*O80+W81*O81+W82*O82+W83*O83+W84*O84</f>
        <v>33517.597366622111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8"/>
      <c r="O76" s="895" t="s">
        <v>455</v>
      </c>
      <c r="P76" s="1058"/>
      <c r="Q76" s="860">
        <v>0.75</v>
      </c>
      <c r="R76" s="1058"/>
      <c r="S76" s="1284"/>
      <c r="T76" s="1286"/>
      <c r="U76" s="1284"/>
      <c r="V76" s="1058"/>
      <c r="W76" s="1287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91.141511715816236</v>
      </c>
      <c r="K78" s="876">
        <f>$M$32*H78*$B$77*$C$77</f>
        <v>7.5951259763180197</v>
      </c>
      <c r="L78" s="875">
        <f>J78*$D$77</f>
        <v>113.9268896447703</v>
      </c>
      <c r="M78" s="876">
        <f>K78*$D$77</f>
        <v>9.4939074703975237</v>
      </c>
      <c r="N78" s="1058"/>
      <c r="O78" s="877">
        <v>264</v>
      </c>
      <c r="P78" s="1058"/>
      <c r="Q78" s="878">
        <f>O78*$Q$76*M78+O78*(1-$Q$76)*K78</f>
        <v>2381.0719935756988</v>
      </c>
      <c r="R78" s="1058"/>
      <c r="S78" s="879">
        <f>IF(AND(Q78&lt;&gt;0,O78&lt;&gt;0),Q78*(1-D17-D18-D19)/O78/30/(($D$25*1000000/$D$8))*1000,0)</f>
        <v>1.5085247154431045</v>
      </c>
      <c r="T78" s="1058" t="s">
        <v>459</v>
      </c>
      <c r="U78" s="880">
        <f>S78*O78*30*$D$11*(1+$D$24)/1000</f>
        <v>1230.3456207992535</v>
      </c>
      <c r="V78" s="1058" t="s">
        <v>460</v>
      </c>
      <c r="W78" s="880">
        <f>IF(O78&lt;&gt;0,U78/O78,0)</f>
        <v>4.6604000787850515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334.18554295799282</v>
      </c>
      <c r="K80" s="876">
        <f>$M$32*(H78+(G80-F80)*H80)*$B$77*$C$77</f>
        <v>27.848795246499407</v>
      </c>
      <c r="L80" s="875">
        <f t="shared" ref="L80:M84" si="4">J80*$D$77</f>
        <v>417.73192869749101</v>
      </c>
      <c r="M80" s="876">
        <f t="shared" si="4"/>
        <v>34.810994058124258</v>
      </c>
      <c r="N80" s="1058"/>
      <c r="O80" s="877">
        <v>994</v>
      </c>
      <c r="P80" s="1058"/>
      <c r="Q80" s="878">
        <f>O80*$Q$76*M80+O80*(1-$Q$76)*K80</f>
        <v>32872.021689086738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506.34173175453464</v>
      </c>
      <c r="K81" s="876">
        <f>$M$32*(H78+(G80-F80)*H80+(G81-F81)*H81)*$B$77*$C$77</f>
        <v>42.195144312877893</v>
      </c>
      <c r="L81" s="875">
        <f t="shared" si="4"/>
        <v>632.92716469316827</v>
      </c>
      <c r="M81" s="876">
        <f t="shared" si="4"/>
        <v>52.743930391097365</v>
      </c>
      <c r="N81" s="1058"/>
      <c r="O81" s="877">
        <v>183</v>
      </c>
      <c r="P81" s="1058"/>
      <c r="Q81" s="878">
        <f>O81*$Q$76*M81+O81*(1-$Q$76)*K81</f>
        <v>9169.5322984922768</v>
      </c>
      <c r="R81" s="1058"/>
      <c r="S81" s="879">
        <f>IF(AND(Q81&lt;&gt;0,O81&lt;&gt;0),Q81*(1-D17-D18-D19)/O81/30/(($D$25*1000000/$D$8))*1000,0)</f>
        <v>8.3806928635728077</v>
      </c>
      <c r="T81" s="1058" t="s">
        <v>459</v>
      </c>
      <c r="U81" s="880">
        <f>S81*O81*30*$D$11*(1+$D$24)/1000</f>
        <v>4738.0734134314725</v>
      </c>
      <c r="V81" s="1058" t="s">
        <v>460</v>
      </c>
      <c r="W81" s="880">
        <f>IF(O81&lt;&gt;0,U81/O81,0)</f>
        <v>25.89111154880586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688.62475518616714</v>
      </c>
      <c r="K82" s="876">
        <f>$M$32*(H78+(G80-F80)*H80+(G81-F81)*H81+(G82-F82)*H82)*$B$77*$C$77</f>
        <v>57.385396265513933</v>
      </c>
      <c r="L82" s="875">
        <f t="shared" si="4"/>
        <v>860.78094398270889</v>
      </c>
      <c r="M82" s="876">
        <f t="shared" si="4"/>
        <v>71.731745331892412</v>
      </c>
      <c r="N82" s="1058"/>
      <c r="O82" s="877">
        <v>300</v>
      </c>
      <c r="P82" s="1058"/>
      <c r="Q82" s="878">
        <f>O82*$Q$76*M82+O82*(1-$Q$76)*K82</f>
        <v>20443.547419589337</v>
      </c>
      <c r="R82" s="1058"/>
      <c r="S82" s="879">
        <f>IF(AND(Q82&lt;&gt;0,O82&lt;&gt;0),Q82*(1-D17-D18-D19)/O82/30/(($D$25*1000000/$D$8))*1000,0)</f>
        <v>11.397742294459018</v>
      </c>
      <c r="T82" s="1058" t="s">
        <v>459</v>
      </c>
      <c r="U82" s="880">
        <f>S82*O82*30*$D$11*(1+$D$24)/1000</f>
        <v>10563.573511912789</v>
      </c>
      <c r="V82" s="1058" t="s">
        <v>460</v>
      </c>
      <c r="W82" s="880">
        <f>IF(O82&lt;&gt;0,U82/O82,0)</f>
        <v>35.211911706375965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977.23954228625189</v>
      </c>
      <c r="K83" s="876">
        <f>$M$32*(H78+(G80-F80)*H80+(G81-F81)*H81+(G82-F82)*H82+(G83-F83)*H83)*$B$77*$C$77</f>
        <v>81.436628523854324</v>
      </c>
      <c r="L83" s="875">
        <f t="shared" si="4"/>
        <v>1221.5494278578149</v>
      </c>
      <c r="M83" s="876">
        <f t="shared" si="4"/>
        <v>101.79578565481791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1888.6546594444142</v>
      </c>
      <c r="K84" s="876">
        <f>$M$32*(H78+(G80-F80)*H80+(G81-F81)*H81+(G82-F82)*H82+(G83-F83)*H83+(G84-F84)*H84)*$B$77*$C$77</f>
        <v>157.38788828703451</v>
      </c>
      <c r="L84" s="875">
        <f t="shared" si="4"/>
        <v>2360.8183243055178</v>
      </c>
      <c r="M84" s="876">
        <f t="shared" si="4"/>
        <v>196.73486035879313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80.922375202541119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8"/>
      <c r="O88" s="881">
        <f>O91+O93+O94+O95+O96</f>
        <v>20</v>
      </c>
      <c r="P88" s="1058"/>
      <c r="Q88" s="853">
        <f>Q91+Q93+Q94+Q95+Q96</f>
        <v>1618.4475040508223</v>
      </c>
      <c r="R88" s="1058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836.28290302642904</v>
      </c>
      <c r="V88" s="1058" t="s">
        <v>449</v>
      </c>
      <c r="W88" s="1283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8"/>
      <c r="O89" s="895" t="s">
        <v>455</v>
      </c>
      <c r="P89" s="1058"/>
      <c r="Q89" s="860">
        <v>0.75</v>
      </c>
      <c r="R89" s="1058"/>
      <c r="S89" s="1284"/>
      <c r="T89" s="1286"/>
      <c r="U89" s="1284"/>
      <c r="V89" s="1058"/>
      <c r="W89" s="1287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70.887842445634845</v>
      </c>
      <c r="K91" s="876">
        <f>$M$32*H91*$B$90*$C$90</f>
        <v>5.9073202038029038</v>
      </c>
      <c r="L91" s="875">
        <f>J91*$D$90</f>
        <v>88.609803057043564</v>
      </c>
      <c r="M91" s="876">
        <f>K91*$D$90</f>
        <v>7.3841502547536297</v>
      </c>
      <c r="N91" s="1058"/>
      <c r="O91" s="877">
        <v>1</v>
      </c>
      <c r="P91" s="1058"/>
      <c r="Q91" s="878">
        <f>O91*$Q$76*M91+O91*(1-$Q$76)*K91</f>
        <v>7.0149427420159487</v>
      </c>
      <c r="R91" s="1058"/>
      <c r="S91" s="879">
        <f>IF(AND(Q91&lt;&gt;0,O91&lt;&gt;0),Q91*(1-D17-D18-D19)/O91/30/(($D$25*1000000/$D$8))*1000,0)</f>
        <v>1.1732970009001928</v>
      </c>
      <c r="T91" s="1058" t="s">
        <v>459</v>
      </c>
      <c r="U91" s="880">
        <f>S91*O91*30*$D$11*(1+$D$24)/1000</f>
        <v>3.624755616832819</v>
      </c>
      <c r="V91" s="1058" t="s">
        <v>460</v>
      </c>
      <c r="W91" s="880">
        <f>IF(O91&lt;&gt;0,U91/O91,0)</f>
        <v>3.624755616832819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222.79036197199525</v>
      </c>
      <c r="K93" s="876">
        <f>$M$32*(H91+(G93-F93)*H93)*$B$90*$C$90</f>
        <v>18.565863497666271</v>
      </c>
      <c r="L93" s="875">
        <f t="shared" ref="L93:M96" si="5">J93*$D$90</f>
        <v>278.48795246499407</v>
      </c>
      <c r="M93" s="876">
        <f t="shared" si="5"/>
        <v>23.207329372082839</v>
      </c>
      <c r="N93" s="1058"/>
      <c r="O93" s="877">
        <v>2</v>
      </c>
      <c r="P93" s="1058"/>
      <c r="Q93" s="878">
        <f>O93*$Q$76*M93+O93*(1-$Q$76)*K93</f>
        <v>44.093925806957394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931.66878642834376</v>
      </c>
      <c r="K94" s="876">
        <f>$M$32*(H91+(G93-F93)*H93+(G94-F94)*H94)*$B$90*$C$90</f>
        <v>77.639065535695309</v>
      </c>
      <c r="L94" s="875">
        <f t="shared" si="5"/>
        <v>1164.5859830354298</v>
      </c>
      <c r="M94" s="876">
        <f t="shared" si="5"/>
        <v>97.048831919619133</v>
      </c>
      <c r="N94" s="1058"/>
      <c r="O94" s="877">
        <v>17</v>
      </c>
      <c r="P94" s="1058"/>
      <c r="Q94" s="878">
        <f>O94*$Q$76*M94+O94*(1-$Q$76)*K94</f>
        <v>1567.338635501849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5387.4760258682491</v>
      </c>
      <c r="K95" s="876">
        <f>$M$32*(H91+(G93-F93)*H93+(G94-F94)*H94+(G95-F95)*H95)*$B$90*$C$90</f>
        <v>448.95633548902083</v>
      </c>
      <c r="L95" s="875">
        <f t="shared" si="5"/>
        <v>6734.3450323353118</v>
      </c>
      <c r="M95" s="876">
        <f t="shared" si="5"/>
        <v>561.19541936127598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11463.576806922665</v>
      </c>
      <c r="K96" s="876">
        <f>$M$32*(H91+(G93-F93)*H93+(G94-F94)*H94+(G95-F95)*H95+(G96-F96)*H96)*$B$90*$C$90</f>
        <v>955.29806724355558</v>
      </c>
      <c r="L96" s="875">
        <f t="shared" si="5"/>
        <v>14329.471008653331</v>
      </c>
      <c r="M96" s="876">
        <f t="shared" si="5"/>
        <v>1194.1225840544444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548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42.628235417730139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'RT1B)BIODIG Descarb Biomet'!M22-'RT1B)BIODIG Descarb Biomet'!M8-'RT1B)BIODIG Descarb Biomet'!M9</f>
        <v>167.75731676496798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5.9292925928749853E-3</v>
      </c>
      <c r="R8" s="794"/>
      <c r="S8" s="800">
        <f>(S12-S10)/S10</f>
        <v>1.5233061901367551E-2</v>
      </c>
      <c r="T8" s="1059"/>
      <c r="U8" s="800">
        <f>(U12-U10)/U10</f>
        <v>1.5233061901367525E-2</v>
      </c>
      <c r="V8" s="1059"/>
      <c r="W8" s="800">
        <f>(W12-W10)/W10</f>
        <v>1.5233061901367525E-2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46.33742475201538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1.6290407749865035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46.612172901370407</v>
      </c>
      <c r="R12" s="794"/>
      <c r="S12" s="806">
        <f>S33</f>
        <v>257977.38543486263</v>
      </c>
      <c r="T12" s="1059"/>
      <c r="U12" s="806">
        <f>U33</f>
        <v>26566304.926869027</v>
      </c>
      <c r="V12" s="1059"/>
      <c r="W12" s="806">
        <f>W33</f>
        <v>26566304.926869027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46.33742475201538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1.7707876854200166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270.04892360241848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46.33742475201538</v>
      </c>
      <c r="E25" s="1059"/>
      <c r="F25" s="839" t="s">
        <v>424</v>
      </c>
      <c r="G25" s="816" t="s">
        <v>425</v>
      </c>
      <c r="H25" s="842">
        <f>H24/12</f>
        <v>22.504076966868208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1.7707876854200166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270.04892360241848</v>
      </c>
      <c r="M32" s="845">
        <f>H25</f>
        <v>22.504076966868208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46.612172901370407</v>
      </c>
      <c r="R33" s="1059"/>
      <c r="S33" s="806">
        <f>12*S34</f>
        <v>257977.38543486263</v>
      </c>
      <c r="T33" s="1059" t="s">
        <v>438</v>
      </c>
      <c r="U33" s="806">
        <f>12*U34</f>
        <v>26566304.926869027</v>
      </c>
      <c r="V33" s="1059" t="s">
        <v>439</v>
      </c>
      <c r="W33" s="806">
        <f>12*W34</f>
        <v>26566304.926869027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9" t="s">
        <v>441</v>
      </c>
      <c r="U34" s="806">
        <f>U36+U49+U62+U75+U88</f>
        <v>2213858.7439057524</v>
      </c>
      <c r="V34" s="1059" t="s">
        <v>442</v>
      </c>
      <c r="W34" s="806">
        <f>W36+W49+W62+W75+W88</f>
        <v>2213858.7439057524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33.571511693933473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1342.8604677573389</v>
      </c>
      <c r="R36" s="1059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059" t="s">
        <v>449</v>
      </c>
      <c r="W36" s="1283">
        <f>W39*O39+W41*O41+W42*O42+W43*O43+W44*O44+W45*O45</f>
        <v>693.88178950799693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67.512230900604621</v>
      </c>
      <c r="K39" s="876">
        <f>$M$32*H39*$B$38*$C$38</f>
        <v>5.626019241717052</v>
      </c>
      <c r="L39" s="875">
        <f>J39*$D$38</f>
        <v>84.390288625755773</v>
      </c>
      <c r="M39" s="876">
        <f>K39*$D$38</f>
        <v>7.0325240521463153</v>
      </c>
      <c r="N39" s="1059"/>
      <c r="O39" s="877">
        <v>2</v>
      </c>
      <c r="P39" s="1059"/>
      <c r="Q39" s="878">
        <f>O39*$Q$37*M39+O39*(1-$Q$37)*K39</f>
        <v>13.361795699078</v>
      </c>
      <c r="R39" s="1059"/>
      <c r="S39" s="879">
        <f>IF(AND(Q39&lt;&gt;0,O39&lt;&gt;0),Q39*(1-D17-D18-D19)/O39/30/(($D$25*1000000/$D$8))*1000,0)</f>
        <v>1.1174257151430409</v>
      </c>
      <c r="T39" s="1059" t="s">
        <v>459</v>
      </c>
      <c r="U39" s="880">
        <f>S39*O39*30*$D$11*(1+$D$24)/1000</f>
        <v>6.9042964130148938</v>
      </c>
      <c r="V39" s="1059" t="s">
        <v>460</v>
      </c>
      <c r="W39" s="880">
        <f>IF(O39&lt;&gt;0,U39/O39,0)</f>
        <v>3.4521482065074469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195.7854696117534</v>
      </c>
      <c r="K41" s="876">
        <f>$M$32*(H39+(G41-F41)*H41)*$B$38*$C$38</f>
        <v>16.31545580097945</v>
      </c>
      <c r="L41" s="875">
        <f t="shared" ref="L41:M45" si="0">J41*$D$38</f>
        <v>244.73183701469173</v>
      </c>
      <c r="M41" s="876">
        <f t="shared" si="0"/>
        <v>20.394319751224312</v>
      </c>
      <c r="N41" s="1059"/>
      <c r="O41" s="877">
        <v>2</v>
      </c>
      <c r="P41" s="1059"/>
      <c r="Q41" s="878">
        <f>O41*$Q$37*M41+O41*(1-$Q$37)*K41</f>
        <v>38.749207527326192</v>
      </c>
      <c r="R41" s="1059"/>
      <c r="S41" s="879">
        <f>IF(AND(Q41&lt;&gt;0,O41&lt;&gt;0),Q41*(1-D17-D18-D19)/O41/30/(($D$25*1000000/$D$8))*1000,0)</f>
        <v>3.2405345739148186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330.80993141296267</v>
      </c>
      <c r="K42" s="876">
        <f>$M$32*(H39+(G41-F41)*H41+(G42-F42)*H42)*$B$38*$C$38</f>
        <v>27.567494284413556</v>
      </c>
      <c r="L42" s="875">
        <f t="shared" si="0"/>
        <v>413.51241426620334</v>
      </c>
      <c r="M42" s="876">
        <f t="shared" si="0"/>
        <v>34.459367855516945</v>
      </c>
      <c r="N42" s="1059"/>
      <c r="O42" s="877">
        <v>28</v>
      </c>
      <c r="P42" s="1059"/>
      <c r="Q42" s="878">
        <f>O42*$Q$37*M42+O42*(1-$Q$37)*K42</f>
        <v>916.6191849567507</v>
      </c>
      <c r="R42" s="1059"/>
      <c r="S42" s="879">
        <f>IF(AND(Q42&lt;&gt;0,O42&lt;&gt;0),Q42*(1-D17-D18-D19)/O42/30/(($D$25*1000000/$D$8))*1000,0)</f>
        <v>5.4753860042009004</v>
      </c>
      <c r="T42" s="1059" t="s">
        <v>459</v>
      </c>
      <c r="U42" s="880">
        <f>S42*O42*30*$D$11*(1+$D$24)/1000</f>
        <v>473.6347339328218</v>
      </c>
      <c r="V42" s="1059" t="s">
        <v>460</v>
      </c>
      <c r="W42" s="880">
        <f>IF(O42&lt;&gt;0,U42/O42,0)</f>
        <v>16.915526211886494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472.58561630423236</v>
      </c>
      <c r="K43" s="876">
        <f>$M$32*(H39+(G41-F41)*H41+(G42-F42)*H42+(G43-F43)*H43)*$B$38*$C$38</f>
        <v>39.382134692019363</v>
      </c>
      <c r="L43" s="875">
        <f t="shared" si="0"/>
        <v>590.73202038029046</v>
      </c>
      <c r="M43" s="876">
        <f t="shared" si="0"/>
        <v>49.227668365024201</v>
      </c>
      <c r="N43" s="1059"/>
      <c r="O43" s="877">
        <v>8</v>
      </c>
      <c r="P43" s="1059"/>
      <c r="Q43" s="878">
        <f>O43*$Q$37*M43+O43*(1-$Q$37)*K43</f>
        <v>374.13027957418387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695.37597827622767</v>
      </c>
      <c r="K44" s="876">
        <f>$M$32*(H39+(G41-F41)*H41+(G42-F42)*H42+(G43-F43)*H43+(G44-F44)*H44)*$B$38*$C$38</f>
        <v>57.947998189685642</v>
      </c>
      <c r="L44" s="875">
        <f t="shared" si="0"/>
        <v>869.21997284528459</v>
      </c>
      <c r="M44" s="876">
        <f t="shared" si="0"/>
        <v>72.434997737107054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1471.7666336331808</v>
      </c>
      <c r="K45" s="876">
        <f>$M$32*(H39+(G41-F41)*H41+(G42-F42)*H42+(G43-F43)*H43+(G44-F44)*H44+(G45-F45)*H45)*$B$38*$C$38</f>
        <v>122.64721946943173</v>
      </c>
      <c r="L45" s="875">
        <f t="shared" si="0"/>
        <v>1839.7082920414759</v>
      </c>
      <c r="M45" s="876">
        <f t="shared" si="0"/>
        <v>153.30902433678966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26.828874916125915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3416415.7606943902</v>
      </c>
      <c r="R49" s="1059"/>
      <c r="S49" s="1308">
        <f>IF(AND(Q49&lt;&gt;0,O49&lt;&gt;0),Q49*(1-D17-D18-D19)/(($D$25*1000000/$D$8)),0)</f>
        <v>17142.564864466425</v>
      </c>
      <c r="T49" s="1285" t="s">
        <v>448</v>
      </c>
      <c r="U49" s="1283">
        <f>U52+U54+U55+U56+U57+U58</f>
        <v>1765327.6261032387</v>
      </c>
      <c r="V49" s="1059" t="s">
        <v>449</v>
      </c>
      <c r="W49" s="1309">
        <f>W52*O52+W54*O54+W55*O55+W56*O56+W57*O57+W58*O58</f>
        <v>1765327.6261032387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94.685903838097971</v>
      </c>
      <c r="K52" s="876">
        <f>$M$32*H52*$B$51*$C$51</f>
        <v>7.8904919865081649</v>
      </c>
      <c r="L52" s="875">
        <f>J52*$D$51</f>
        <v>118.35737979762246</v>
      </c>
      <c r="M52" s="876">
        <f>K52*$D$51</f>
        <v>9.8631149831352065</v>
      </c>
      <c r="N52" s="1059"/>
      <c r="O52" s="877">
        <v>62341</v>
      </c>
      <c r="P52" s="1059"/>
      <c r="Q52" s="878">
        <f>O52*$Q$50*M52+O52*(1-$Q$50)*K52</f>
        <v>584132.62860545027</v>
      </c>
      <c r="R52" s="1059"/>
      <c r="S52" s="879">
        <f>IF(AND(Q52&lt;&gt;0,O52&lt;&gt;0),Q52*(1-D17-D18-D19)/O52/30/(($D$25*1000000/$D$8))*1000,0)</f>
        <v>1.5671895654881147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301.27333039394813</v>
      </c>
      <c r="K54" s="876">
        <f>$M$32*(H52+(G54-F54)*H54)*$B$51*$C$51</f>
        <v>25.106110866162343</v>
      </c>
      <c r="L54" s="875">
        <f t="shared" ref="L54:M58" si="1">J54*$D$51</f>
        <v>376.59166299243515</v>
      </c>
      <c r="M54" s="876">
        <f t="shared" si="1"/>
        <v>31.382638582702928</v>
      </c>
      <c r="N54" s="1059"/>
      <c r="O54" s="877">
        <v>42500</v>
      </c>
      <c r="P54" s="1059"/>
      <c r="Q54" s="878">
        <f>O54*$Q$50*M54+O54*(1-$Q$50)*K54</f>
        <v>1267074.0327766307</v>
      </c>
      <c r="R54" s="1059"/>
      <c r="S54" s="879">
        <f>IF(AND(Q54&lt;&gt;0,O54&lt;&gt;0),Q54*(1-D17-D18-D19)/O54/30/(($D$25*1000000/$D$8))*1000,0)</f>
        <v>4.9865122538258202</v>
      </c>
      <c r="T54" s="1059" t="s">
        <v>459</v>
      </c>
      <c r="U54" s="880">
        <f>S54*O54*30*$D$11*(1+$D$24)/1000</f>
        <v>654721.48329042818</v>
      </c>
      <c r="V54" s="1059" t="s">
        <v>460</v>
      </c>
      <c r="W54" s="898">
        <f>IF(O54&lt;&gt;0,U54/O54,0)</f>
        <v>15.405211371539487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516.46856638962538</v>
      </c>
      <c r="K55" s="876">
        <f>$M$32*(H52+(G54-F54)*H54+(G55-F55)*H55)*$B$51*$C$51</f>
        <v>43.039047199135446</v>
      </c>
      <c r="L55" s="875">
        <f t="shared" si="1"/>
        <v>645.5857079870317</v>
      </c>
      <c r="M55" s="876">
        <f t="shared" si="1"/>
        <v>53.798808998919306</v>
      </c>
      <c r="N55" s="1059"/>
      <c r="O55" s="877">
        <v>10000</v>
      </c>
      <c r="P55" s="1059"/>
      <c r="Q55" s="878">
        <f>O55*$Q$50*M55+O55*(1-$Q$50)*K55</f>
        <v>511088.68548973347</v>
      </c>
      <c r="R55" s="1059"/>
      <c r="S55" s="879">
        <f>IF(AND(Q55&lt;&gt;0,O55&lt;&gt;0),Q55*(1-D17-D18-D19)/O55/30/(($D$25*1000000/$D$8))*1000,0)</f>
        <v>8.5483067208442627</v>
      </c>
      <c r="T55" s="1059" t="s">
        <v>459</v>
      </c>
      <c r="U55" s="880">
        <f>S55*O55*30*$D$11*(1+$D$24)/1000</f>
        <v>264089.33779781975</v>
      </c>
      <c r="V55" s="1059" t="s">
        <v>460</v>
      </c>
      <c r="W55" s="899">
        <f>IF(O55&lt;&gt;0,U55/O55,0)</f>
        <v>26.408933779781975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852.17313454288183</v>
      </c>
      <c r="K56" s="876">
        <f>$M$32*(H52+(G54-F54)*H54+(G55-F55)*H55+(G56-F56)*H56)*$B$51*$C$51</f>
        <v>71.014427878573485</v>
      </c>
      <c r="L56" s="875">
        <f t="shared" si="1"/>
        <v>1065.2164181786022</v>
      </c>
      <c r="M56" s="876">
        <f t="shared" si="1"/>
        <v>88.768034848216857</v>
      </c>
      <c r="N56" s="1059"/>
      <c r="O56" s="877">
        <v>12500</v>
      </c>
      <c r="P56" s="1059"/>
      <c r="Q56" s="878">
        <f>O56*$Q$50*M56+O56*(1-$Q$50)*K56</f>
        <v>1054120.4138225752</v>
      </c>
      <c r="R56" s="1059"/>
      <c r="S56" s="879">
        <f>IF(AND(Q56&lt;&gt;0,O56&lt;&gt;0),Q56*(1-D17-D18-D19)/O56/30/(($D$25*1000000/$D$8))*1000,0)</f>
        <v>14.104706089393034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1755.993125724726</v>
      </c>
      <c r="K57" s="876">
        <f>$M$32*(H52+(G54-F54)*H54+(G55-F55)*H55+(G56-F56)*H56+(G57-F57)*H57)*$B$51*$C$51</f>
        <v>146.3327604770605</v>
      </c>
      <c r="L57" s="875">
        <f t="shared" si="1"/>
        <v>2194.9914071559074</v>
      </c>
      <c r="M57" s="876">
        <f t="shared" si="1"/>
        <v>182.91595059632562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3692.7502496858206</v>
      </c>
      <c r="K58" s="876">
        <f>$M$32*(H52+(G54-F54)*H54+(G55-F55)*H55+(G56-F56)*H56+(G57-F57)*H57+(G58-F58)*H58)*$B$51*$C$51</f>
        <v>307.7291874738184</v>
      </c>
      <c r="L58" s="875">
        <f t="shared" si="1"/>
        <v>4615.9378121072759</v>
      </c>
      <c r="M58" s="876">
        <f t="shared" si="1"/>
        <v>384.66148434227301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9.4259782720551275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400104.49971392401</v>
      </c>
      <c r="R62" s="1059"/>
      <c r="S62" s="1283">
        <f>IF(AND(Q62&lt;&gt;0,O62&lt;&gt;0),Q62*(1-D17-D18-D19)/(H15)/(($D$25*1000000/$D$8)),0)</f>
        <v>4015.2123273876764</v>
      </c>
      <c r="T62" s="1285" t="s">
        <v>448</v>
      </c>
      <c r="U62" s="1283">
        <f>U65+U67+U68+U69+U70+U71</f>
        <v>413483.35574335727</v>
      </c>
      <c r="V62" s="1059" t="s">
        <v>449</v>
      </c>
      <c r="W62" s="1283">
        <f>W65*O65+W67*O67+W68*O68+W69*O69+W70*O70+W71*O71</f>
        <v>413483.35574335733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47.342951919048986</v>
      </c>
      <c r="K65" s="876">
        <f>$M$32*H65*$B$64*$C$64</f>
        <v>3.9452459932540824</v>
      </c>
      <c r="L65" s="875">
        <f>J65*$D$51</f>
        <v>59.178689898811228</v>
      </c>
      <c r="M65" s="876">
        <f>K65*$D$51</f>
        <v>4.9315574915676033</v>
      </c>
      <c r="N65" s="1059"/>
      <c r="O65" s="877">
        <v>25947</v>
      </c>
      <c r="P65" s="1059"/>
      <c r="Q65" s="878">
        <f>O65*$Q$63*M65+O65*(1-$Q$63)*K65</f>
        <v>121561.16612201938</v>
      </c>
      <c r="R65" s="1059"/>
      <c r="S65" s="879">
        <f>IF(AND(Q65&lt;&gt;0,O65&lt;&gt;0),Q65*(1-D17-D18-D19)/(H15)/O65/30/(($D$25*1000000/$D$8))*1000,0)</f>
        <v>1.5671895654881147</v>
      </c>
      <c r="T65" s="1059" t="s">
        <v>459</v>
      </c>
      <c r="U65" s="880">
        <f>S65*O65*30*$D$11*(1+$D$24)/1000</f>
        <v>125625.97754373384</v>
      </c>
      <c r="V65" s="1059" t="s">
        <v>460</v>
      </c>
      <c r="W65" s="880">
        <f>IF(O65&lt;&gt;0,U65/O65,0)</f>
        <v>4.8416378596266947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150.63666519697406</v>
      </c>
      <c r="K67" s="876">
        <f>$M$32*(H65+(G67-F67)*H67)*$B$64*$C$64</f>
        <v>12.553055433081171</v>
      </c>
      <c r="L67" s="875">
        <f t="shared" ref="L67:M71" si="3">J67*$D$51</f>
        <v>188.29583149621757</v>
      </c>
      <c r="M67" s="876">
        <f t="shared" si="3"/>
        <v>15.691319291351464</v>
      </c>
      <c r="N67" s="1059"/>
      <c r="O67" s="877">
        <v>15000</v>
      </c>
      <c r="P67" s="1059"/>
      <c r="Q67" s="878">
        <f>O67*$Q$63*M67+O67*(1-$Q$63)*K67</f>
        <v>223601.29990175838</v>
      </c>
      <c r="R67" s="1059"/>
      <c r="S67" s="879">
        <f>IF(AND(Q67&lt;&gt;0,O67&lt;&gt;0),Q67*(1-D17-D18-D19)/O67/30/(H15)/(($D$25*1000000/$D$8))*1000,0)</f>
        <v>4.9865122538258202</v>
      </c>
      <c r="T67" s="1059" t="s">
        <v>459</v>
      </c>
      <c r="U67" s="880">
        <f>S67*O67*30*$D$11*(1+$D$24)/1000</f>
        <v>231078.17057309227</v>
      </c>
      <c r="V67" s="1059" t="s">
        <v>460</v>
      </c>
      <c r="W67" s="880">
        <f>IF(O67&lt;&gt;0,U67/O67,0)</f>
        <v>15.405211371539485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258.23428319481269</v>
      </c>
      <c r="K68" s="876">
        <f>$M$32*(H65+(G67-F67)*H67+(G68-F68)*H68)*$B$64*$C$64</f>
        <v>21.519523599567723</v>
      </c>
      <c r="L68" s="875">
        <f t="shared" si="3"/>
        <v>322.79285399351585</v>
      </c>
      <c r="M68" s="876">
        <f t="shared" si="3"/>
        <v>26.899404499459653</v>
      </c>
      <c r="N68" s="1059"/>
      <c r="O68" s="877">
        <v>500</v>
      </c>
      <c r="P68" s="1059"/>
      <c r="Q68" s="878">
        <f>O68*$Q$63*M68+O68*(1-$Q$63)*K68</f>
        <v>12777.217137243335</v>
      </c>
      <c r="R68" s="1059"/>
      <c r="S68" s="879">
        <f>IF(AND(Q68&lt;&gt;0,O68&lt;&gt;0),Q68*(1-D17-D18-D19)/O68/30/(H15)/(($D$25*1000000/$D$8))*1000,0)</f>
        <v>8.5483067208442627</v>
      </c>
      <c r="T68" s="1059" t="s">
        <v>459</v>
      </c>
      <c r="U68" s="880">
        <f>S68*O68*30*$D$11*(1+$D$24)/1000</f>
        <v>13204.466889890984</v>
      </c>
      <c r="V68" s="1059" t="s">
        <v>460</v>
      </c>
      <c r="W68" s="880">
        <f>IF(O68&lt;&gt;0,U68/O68,0)</f>
        <v>26.408933779781968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426.08656727144091</v>
      </c>
      <c r="K69" s="876">
        <f>$M$32*(H65+(G67-F67)*H67+(G68-F68)*H68+(G69-F69)*H69)*$B$64*$C$64</f>
        <v>35.507213939286743</v>
      </c>
      <c r="L69" s="875">
        <f t="shared" si="3"/>
        <v>532.60820908930111</v>
      </c>
      <c r="M69" s="876">
        <f t="shared" si="3"/>
        <v>44.384017424108428</v>
      </c>
      <c r="N69" s="1059"/>
      <c r="O69" s="877">
        <v>1000</v>
      </c>
      <c r="P69" s="1059"/>
      <c r="Q69" s="878">
        <f>O69*$Q$63*M69+O69*(1-$Q$63)*K69</f>
        <v>42164.816552903008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877.99656286236302</v>
      </c>
      <c r="K70" s="876">
        <f>$M$32*(H65+(G67-F67)*H67+(G68-F68)*H68+(G69-F69)*H69+(G70-F70)*H70)*$B$64*$C$64</f>
        <v>73.166380238530252</v>
      </c>
      <c r="L70" s="875">
        <f t="shared" si="3"/>
        <v>1097.4957035779537</v>
      </c>
      <c r="M70" s="876">
        <f t="shared" si="3"/>
        <v>91.457975298162808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1846.3751248429103</v>
      </c>
      <c r="K71" s="876">
        <f>$M$32*(H65+(G67-F67)*H67+(G68-F68)*H68+(G69-F69)*H69+(G70-F70)*H70+(G71-F71)*H71)*$B$64*$C$64</f>
        <v>153.8645937369092</v>
      </c>
      <c r="L71" s="875">
        <f t="shared" si="3"/>
        <v>2307.968906053638</v>
      </c>
      <c r="M71" s="876">
        <f t="shared" si="3"/>
        <v>192.33074217113651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37.257997358267694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64866.173400744054</v>
      </c>
      <c r="R75" s="1059"/>
      <c r="S75" s="1283">
        <f>IF(AND(Q75&lt;&gt;0,O75&lt;&gt;0),Q75*(1-D17-D18-D19)/(($D$25*1000000/$D$8)),0)</f>
        <v>325.4792926040044</v>
      </c>
      <c r="T75" s="1285" t="s">
        <v>448</v>
      </c>
      <c r="U75" s="1283">
        <f>U78+U80+U81+U82+U83+U84</f>
        <v>33517.597366622111</v>
      </c>
      <c r="V75" s="1059" t="s">
        <v>449</v>
      </c>
      <c r="W75" s="1283">
        <f>W78*O78+W80*O80+W81*O81+W82*O82+W83*O83+W84*O84</f>
        <v>33517.597366622111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91.141511715816236</v>
      </c>
      <c r="K78" s="876">
        <f>$M$32*H78*$B$77*$C$77</f>
        <v>7.5951259763180197</v>
      </c>
      <c r="L78" s="875">
        <f>J78*$D$77</f>
        <v>113.9268896447703</v>
      </c>
      <c r="M78" s="876">
        <f>K78*$D$77</f>
        <v>9.4939074703975237</v>
      </c>
      <c r="N78" s="1059"/>
      <c r="O78" s="877">
        <v>264</v>
      </c>
      <c r="P78" s="1059"/>
      <c r="Q78" s="878">
        <f>O78*$Q$76*M78+O78*(1-$Q$76)*K78</f>
        <v>2381.0719935756988</v>
      </c>
      <c r="R78" s="1059"/>
      <c r="S78" s="879">
        <f>IF(AND(Q78&lt;&gt;0,O78&lt;&gt;0),Q78*(1-D17-D18-D19)/O78/30/(($D$25*1000000/$D$8))*1000,0)</f>
        <v>1.5085247154431045</v>
      </c>
      <c r="T78" s="1059" t="s">
        <v>459</v>
      </c>
      <c r="U78" s="880">
        <f>S78*O78*30*$D$11*(1+$D$24)/1000</f>
        <v>1230.3456207992535</v>
      </c>
      <c r="V78" s="1059" t="s">
        <v>460</v>
      </c>
      <c r="W78" s="880">
        <f>IF(O78&lt;&gt;0,U78/O78,0)</f>
        <v>4.6604000787850515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334.18554295799282</v>
      </c>
      <c r="K80" s="876">
        <f>$M$32*(H78+(G80-F80)*H80)*$B$77*$C$77</f>
        <v>27.848795246499407</v>
      </c>
      <c r="L80" s="875">
        <f t="shared" ref="L80:M84" si="4">J80*$D$77</f>
        <v>417.73192869749101</v>
      </c>
      <c r="M80" s="876">
        <f t="shared" si="4"/>
        <v>34.810994058124258</v>
      </c>
      <c r="N80" s="1059"/>
      <c r="O80" s="877">
        <v>994</v>
      </c>
      <c r="P80" s="1059"/>
      <c r="Q80" s="878">
        <f>O80*$Q$76*M80+O80*(1-$Q$76)*K80</f>
        <v>32872.021689086738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506.34173175453464</v>
      </c>
      <c r="K81" s="876">
        <f>$M$32*(H78+(G80-F80)*H80+(G81-F81)*H81)*$B$77*$C$77</f>
        <v>42.195144312877893</v>
      </c>
      <c r="L81" s="875">
        <f t="shared" si="4"/>
        <v>632.92716469316827</v>
      </c>
      <c r="M81" s="876">
        <f t="shared" si="4"/>
        <v>52.743930391097365</v>
      </c>
      <c r="N81" s="1059"/>
      <c r="O81" s="877">
        <v>183</v>
      </c>
      <c r="P81" s="1059"/>
      <c r="Q81" s="878">
        <f>O81*$Q$76*M81+O81*(1-$Q$76)*K81</f>
        <v>9169.5322984922768</v>
      </c>
      <c r="R81" s="1059"/>
      <c r="S81" s="879">
        <f>IF(AND(Q81&lt;&gt;0,O81&lt;&gt;0),Q81*(1-D17-D18-D19)/O81/30/(($D$25*1000000/$D$8))*1000,0)</f>
        <v>8.3806928635728077</v>
      </c>
      <c r="T81" s="1059" t="s">
        <v>459</v>
      </c>
      <c r="U81" s="880">
        <f>S81*O81*30*$D$11*(1+$D$24)/1000</f>
        <v>4738.0734134314725</v>
      </c>
      <c r="V81" s="1059" t="s">
        <v>460</v>
      </c>
      <c r="W81" s="880">
        <f>IF(O81&lt;&gt;0,U81/O81,0)</f>
        <v>25.89111154880586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688.62475518616714</v>
      </c>
      <c r="K82" s="876">
        <f>$M$32*(H78+(G80-F80)*H80+(G81-F81)*H81+(G82-F82)*H82)*$B$77*$C$77</f>
        <v>57.385396265513933</v>
      </c>
      <c r="L82" s="875">
        <f t="shared" si="4"/>
        <v>860.78094398270889</v>
      </c>
      <c r="M82" s="876">
        <f t="shared" si="4"/>
        <v>71.731745331892412</v>
      </c>
      <c r="N82" s="1059"/>
      <c r="O82" s="877">
        <v>300</v>
      </c>
      <c r="P82" s="1059"/>
      <c r="Q82" s="878">
        <f>O82*$Q$76*M82+O82*(1-$Q$76)*K82</f>
        <v>20443.547419589337</v>
      </c>
      <c r="R82" s="1059"/>
      <c r="S82" s="879">
        <f>IF(AND(Q82&lt;&gt;0,O82&lt;&gt;0),Q82*(1-D17-D18-D19)/O82/30/(($D$25*1000000/$D$8))*1000,0)</f>
        <v>11.397742294459018</v>
      </c>
      <c r="T82" s="1059" t="s">
        <v>459</v>
      </c>
      <c r="U82" s="880">
        <f>S82*O82*30*$D$11*(1+$D$24)/1000</f>
        <v>10563.573511912789</v>
      </c>
      <c r="V82" s="1059" t="s">
        <v>460</v>
      </c>
      <c r="W82" s="880">
        <f>IF(O82&lt;&gt;0,U82/O82,0)</f>
        <v>35.211911706375965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977.23954228625189</v>
      </c>
      <c r="K83" s="876">
        <f>$M$32*(H78+(G80-F80)*H80+(G81-F81)*H81+(G82-F82)*H82+(G83-F83)*H83)*$B$77*$C$77</f>
        <v>81.436628523854324</v>
      </c>
      <c r="L83" s="875">
        <f t="shared" si="4"/>
        <v>1221.5494278578149</v>
      </c>
      <c r="M83" s="876">
        <f t="shared" si="4"/>
        <v>101.79578565481791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1888.6546594444142</v>
      </c>
      <c r="K84" s="876">
        <f>$M$32*(H78+(G80-F80)*H80+(G81-F81)*H81+(G82-F82)*H82+(G83-F83)*H83+(G84-F84)*H84)*$B$77*$C$77</f>
        <v>157.38788828703451</v>
      </c>
      <c r="L84" s="875">
        <f t="shared" si="4"/>
        <v>2360.8183243055178</v>
      </c>
      <c r="M84" s="876">
        <f t="shared" si="4"/>
        <v>196.73486035879313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80.922375202541119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1618.4475040508223</v>
      </c>
      <c r="R88" s="1059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836.28290302642904</v>
      </c>
      <c r="V88" s="1059" t="s">
        <v>449</v>
      </c>
      <c r="W88" s="1283">
        <f>W91*O91+W93*O93+W94*O94+W95*O95+W96*O96</f>
        <v>836.28290302642904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70.887842445634845</v>
      </c>
      <c r="K91" s="876">
        <f>$M$32*H91*$B$90*$C$90</f>
        <v>5.9073202038029038</v>
      </c>
      <c r="L91" s="875">
        <f>J91*$D$90</f>
        <v>88.609803057043564</v>
      </c>
      <c r="M91" s="876">
        <f>K91*$D$90</f>
        <v>7.3841502547536297</v>
      </c>
      <c r="N91" s="1059"/>
      <c r="O91" s="877">
        <v>1</v>
      </c>
      <c r="P91" s="1059"/>
      <c r="Q91" s="878">
        <f>O91*$Q$76*M91+O91*(1-$Q$76)*K91</f>
        <v>7.0149427420159487</v>
      </c>
      <c r="R91" s="1059"/>
      <c r="S91" s="879">
        <f>IF(AND(Q91&lt;&gt;0,O91&lt;&gt;0),Q91*(1-D17-D18-D19)/O91/30/(($D$25*1000000/$D$8))*1000,0)</f>
        <v>1.1732970009001928</v>
      </c>
      <c r="T91" s="1059" t="s">
        <v>459</v>
      </c>
      <c r="U91" s="880">
        <f>S91*O91*30*$D$11*(1+$D$24)/1000</f>
        <v>3.624755616832819</v>
      </c>
      <c r="V91" s="1059" t="s">
        <v>460</v>
      </c>
      <c r="W91" s="880">
        <f>IF(O91&lt;&gt;0,U91/O91,0)</f>
        <v>3.624755616832819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222.79036197199525</v>
      </c>
      <c r="K93" s="876">
        <f>$M$32*(H91+(G93-F93)*H93)*$B$90*$C$90</f>
        <v>18.565863497666271</v>
      </c>
      <c r="L93" s="875">
        <f t="shared" ref="L93:M96" si="5">J93*$D$90</f>
        <v>278.48795246499407</v>
      </c>
      <c r="M93" s="876">
        <f t="shared" si="5"/>
        <v>23.207329372082839</v>
      </c>
      <c r="N93" s="1059"/>
      <c r="O93" s="877">
        <v>2</v>
      </c>
      <c r="P93" s="1059"/>
      <c r="Q93" s="878">
        <f>O93*$Q$76*M93+O93*(1-$Q$76)*K93</f>
        <v>44.093925806957394</v>
      </c>
      <c r="R93" s="1059"/>
      <c r="S93" s="879">
        <f>IF(AND(Q93&lt;&gt;0,O93&lt;&gt;0),Q93*(1-D17-D18-D19)/O93/30/(($D$25*1000000/$D$8))*1000,0)</f>
        <v>3.687504859972035</v>
      </c>
      <c r="T93" s="1059" t="s">
        <v>459</v>
      </c>
      <c r="U93" s="880">
        <f>S93*O93*30*$D$11*(1+$D$24)/1000</f>
        <v>22.784178162949154</v>
      </c>
      <c r="V93" s="1059" t="s">
        <v>460</v>
      </c>
      <c r="W93" s="880">
        <f>IF(O93&lt;&gt;0,U93/O93,0)</f>
        <v>11.392089081474577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931.66878642834376</v>
      </c>
      <c r="K94" s="876">
        <f>$M$32*(H91+(G93-F93)*H93+(G94-F94)*H94)*$B$90*$C$90</f>
        <v>77.639065535695309</v>
      </c>
      <c r="L94" s="875">
        <f t="shared" si="5"/>
        <v>1164.5859830354298</v>
      </c>
      <c r="M94" s="876">
        <f t="shared" si="5"/>
        <v>97.048831919619133</v>
      </c>
      <c r="N94" s="1059"/>
      <c r="O94" s="877">
        <v>17</v>
      </c>
      <c r="P94" s="1059"/>
      <c r="Q94" s="878">
        <f>O94*$Q$76*M94+O94*(1-$Q$76)*K94</f>
        <v>1567.338635501849</v>
      </c>
      <c r="R94" s="1059"/>
      <c r="S94" s="879">
        <f>IF(AND(Q94&lt;&gt;0,O94&lt;&gt;0),Q94*(1-D17-D18-D19)/O94/30/(($D$25*1000000/$D$8))*1000,0)</f>
        <v>15.420474868973963</v>
      </c>
      <c r="T94" s="1059" t="s">
        <v>459</v>
      </c>
      <c r="U94" s="880">
        <f>S94*O94*30*$D$11*(1+$D$24)/1000</f>
        <v>809.87396924664711</v>
      </c>
      <c r="V94" s="1059" t="s">
        <v>460</v>
      </c>
      <c r="W94" s="880">
        <f>IF(O94&lt;&gt;0,U94/O94,0)</f>
        <v>47.639645249802768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5387.4760258682491</v>
      </c>
      <c r="K95" s="876">
        <f>$M$32*(H91+(G93-F93)*H93+(G94-F94)*H94+(G95-F95)*H95)*$B$90*$C$90</f>
        <v>448.95633548902083</v>
      </c>
      <c r="L95" s="875">
        <f t="shared" si="5"/>
        <v>6734.3450323353118</v>
      </c>
      <c r="M95" s="876">
        <f t="shared" si="5"/>
        <v>561.19541936127598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11463.576806922665</v>
      </c>
      <c r="K96" s="876">
        <f>$M$32*(H91+(G93-F93)*H93+(G94-F94)*H94+(G95-F95)*H95+(G96-F96)*H96)*$B$90*$C$90</f>
        <v>955.29806724355558</v>
      </c>
      <c r="L96" s="875">
        <f t="shared" si="5"/>
        <v>14329.471008653331</v>
      </c>
      <c r="M96" s="876">
        <f t="shared" si="5"/>
        <v>1194.1225840544444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157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303</v>
      </c>
      <c r="C16" s="583">
        <f>'Demanda Preço &amp; Quantidade'!C48</f>
        <v>5.21</v>
      </c>
      <c r="D16" s="517" t="s">
        <v>131</v>
      </c>
    </row>
    <row r="17" spans="2:10" ht="15" hidden="1" customHeight="1" outlineLevel="1" thickBot="1" x14ac:dyDescent="0.3">
      <c r="B17" s="571" t="s">
        <v>303</v>
      </c>
      <c r="C17" s="585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3" t="s">
        <v>138</v>
      </c>
      <c r="C19" s="1354"/>
      <c r="D19" s="1355"/>
    </row>
    <row r="20" spans="2:10" ht="15" hidden="1" customHeight="1" outlineLevel="1" x14ac:dyDescent="0.25">
      <c r="B20" s="572" t="s">
        <v>139</v>
      </c>
      <c r="C20" s="586">
        <f>'Demanda Preço &amp; Quantidade'!I70</f>
        <v>25</v>
      </c>
      <c r="D20" s="575" t="s">
        <v>140</v>
      </c>
    </row>
    <row r="21" spans="2:10" ht="15" hidden="1" customHeight="1" outlineLevel="1" x14ac:dyDescent="0.25">
      <c r="B21" s="568" t="s">
        <v>142</v>
      </c>
      <c r="C21" s="587">
        <f>'Demanda Preço &amp; Quantidade'!I71</f>
        <v>2000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Quantidade'!C72*1000/12</f>
        <v>12500</v>
      </c>
      <c r="D22" s="517" t="s">
        <v>146</v>
      </c>
    </row>
    <row r="23" spans="2:10" ht="15" hidden="1" customHeight="1" outlineLevel="1" x14ac:dyDescent="0.25">
      <c r="B23" s="568" t="s">
        <v>147</v>
      </c>
      <c r="C23" s="560">
        <f>'Demanda Preço &amp; Quantidade'!P73</f>
        <v>350</v>
      </c>
      <c r="D23" s="517" t="s">
        <v>148</v>
      </c>
    </row>
    <row r="24" spans="2:10" ht="15" hidden="1" customHeight="1" outlineLevel="1" x14ac:dyDescent="0.25">
      <c r="B24" s="568" t="s">
        <v>150</v>
      </c>
      <c r="C24" s="589">
        <f>'Demanda Preço &amp; Quantidade'!P74</f>
        <v>0.2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Quantidade'!P75</f>
        <v>3.5000000000000003E-2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Quantidade'!P76</f>
        <v>0.35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288</v>
      </c>
      <c r="C27" s="589">
        <f>'Demanda Preço &amp; Quantidade'!P71</f>
        <v>0.1</v>
      </c>
      <c r="D27" s="517" t="s">
        <v>1</v>
      </c>
      <c r="G27" s="5"/>
      <c r="H27" s="5"/>
      <c r="I27" s="5"/>
      <c r="J27" s="5"/>
    </row>
    <row r="28" spans="2:10" ht="15" hidden="1" customHeight="1" outlineLevel="1" x14ac:dyDescent="0.25">
      <c r="B28" s="568" t="s">
        <v>151</v>
      </c>
      <c r="C28" s="589">
        <f>'Demanda Preço &amp; Quantidade'!P72</f>
        <v>0.1</v>
      </c>
      <c r="D28" s="517" t="s">
        <v>1</v>
      </c>
      <c r="G28" s="5"/>
      <c r="H28" s="5"/>
      <c r="I28" s="5"/>
      <c r="J28" s="5"/>
    </row>
    <row r="29" spans="2:10" ht="15" hidden="1" customHeight="1" outlineLevel="1" x14ac:dyDescent="0.25">
      <c r="B29" s="572" t="s">
        <v>274</v>
      </c>
      <c r="C29" s="590">
        <f>100/'Demanda Preço &amp; Quantidade'!P70</f>
        <v>4</v>
      </c>
      <c r="D29" s="575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collapsed="1" thickTop="1" x14ac:dyDescent="0.25">
      <c r="B31" s="591" t="s">
        <v>149</v>
      </c>
      <c r="C31" s="357"/>
      <c r="D31" s="527"/>
      <c r="G31" s="5"/>
      <c r="H31" s="5"/>
      <c r="I31" s="5"/>
      <c r="J31" s="5"/>
    </row>
    <row r="32" spans="2:10" ht="15" hidden="1" customHeight="1" outlineLevel="1" x14ac:dyDescent="0.25">
      <c r="B32" s="562" t="s">
        <v>306</v>
      </c>
      <c r="C32" s="742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hidden="1" customHeight="1" outlineLevel="1" x14ac:dyDescent="0.25">
      <c r="B33" s="563" t="s">
        <v>304</v>
      </c>
      <c r="C33" s="597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hidden="1" customHeight="1" outlineLevel="1" x14ac:dyDescent="0.25">
      <c r="B34" s="564" t="s">
        <v>305</v>
      </c>
      <c r="C34" s="599">
        <f>C33-C32</f>
        <v>-22.343104656569679</v>
      </c>
      <c r="D34" s="565" t="s">
        <v>6</v>
      </c>
      <c r="G34" s="743"/>
      <c r="H34" s="743"/>
      <c r="I34" s="743"/>
      <c r="J34" s="743"/>
    </row>
    <row r="35" spans="2:10" hidden="1" outlineLevel="1" x14ac:dyDescent="0.25">
      <c r="B35" s="563" t="s">
        <v>141</v>
      </c>
      <c r="C35" s="598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hidden="1" outlineLevel="1" x14ac:dyDescent="0.25">
      <c r="B36" s="670" t="s">
        <v>346</v>
      </c>
      <c r="C36" s="598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hidden="1" outlineLevel="1" x14ac:dyDescent="0.25">
      <c r="B37" s="670" t="s">
        <v>342</v>
      </c>
      <c r="C37" s="577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4" t="s">
        <v>144</v>
      </c>
      <c r="C38" s="599">
        <f>(C6/C35)*C20*C23*1000*C24/1000000+C37*C36/1000000</f>
        <v>18.625</v>
      </c>
      <c r="D38" s="565" t="s">
        <v>6</v>
      </c>
      <c r="G38" s="5"/>
      <c r="H38" s="5"/>
      <c r="I38" s="5"/>
      <c r="J38" s="5"/>
    </row>
    <row r="39" spans="2:10" x14ac:dyDescent="0.25">
      <c r="B39" s="564" t="s">
        <v>51</v>
      </c>
      <c r="C39" s="600">
        <f>C38/(-C34/C6)</f>
        <v>29.175667841144236</v>
      </c>
      <c r="D39" s="565" t="s">
        <v>121</v>
      </c>
      <c r="G39" s="5"/>
      <c r="H39" s="5"/>
      <c r="I39" s="5"/>
      <c r="J39" s="5"/>
    </row>
    <row r="40" spans="2:10" s="2" customFormat="1" x14ac:dyDescent="0.25">
      <c r="B40" s="1348" t="s">
        <v>290</v>
      </c>
      <c r="C40" s="561">
        <f>C41/C6</f>
        <v>-0.10623156161627655</v>
      </c>
      <c r="D40" s="452" t="s">
        <v>289</v>
      </c>
      <c r="G40" s="743"/>
      <c r="H40" s="743"/>
      <c r="I40" s="743"/>
      <c r="J40" s="743"/>
    </row>
    <row r="41" spans="2:10" s="2" customFormat="1" x14ac:dyDescent="0.25">
      <c r="B41" s="1349"/>
      <c r="C41" s="561">
        <f>(C38+C34)</f>
        <v>-3.7181046565696789</v>
      </c>
      <c r="D41" s="452" t="s">
        <v>353</v>
      </c>
      <c r="G41" s="743"/>
      <c r="H41" s="743"/>
      <c r="I41" s="743"/>
      <c r="J41" s="743"/>
    </row>
    <row r="42" spans="2:10" s="2" customFormat="1" ht="15.75" thickBot="1" x14ac:dyDescent="0.3">
      <c r="B42" s="1350"/>
      <c r="C42" s="601">
        <f>C40*1000000/C4</f>
        <v>-0.41805909998063573</v>
      </c>
      <c r="D42" s="596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157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308</v>
      </c>
      <c r="C16" s="583">
        <f>'Demanda Preço &amp; Quantidade'!C56</f>
        <v>5.21</v>
      </c>
      <c r="D16" s="517" t="s">
        <v>131</v>
      </c>
    </row>
    <row r="17" spans="2:10" ht="15" hidden="1" customHeight="1" outlineLevel="1" thickBot="1" x14ac:dyDescent="0.3">
      <c r="B17" s="571" t="s">
        <v>308</v>
      </c>
      <c r="C17" s="585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3" t="s">
        <v>138</v>
      </c>
      <c r="C19" s="1354"/>
      <c r="D19" s="1355"/>
    </row>
    <row r="20" spans="2:10" ht="15" hidden="1" customHeight="1" outlineLevel="1" x14ac:dyDescent="0.25">
      <c r="B20" s="572" t="s">
        <v>200</v>
      </c>
      <c r="C20" s="586">
        <f>'Demanda Preço &amp; Quantidade'!I86</f>
        <v>50</v>
      </c>
      <c r="D20" s="575" t="s">
        <v>201</v>
      </c>
    </row>
    <row r="21" spans="2:10" ht="15" hidden="1" customHeight="1" outlineLevel="1" x14ac:dyDescent="0.25">
      <c r="B21" s="568" t="s">
        <v>204</v>
      </c>
      <c r="C21" s="587">
        <f>'Demanda Preço &amp; Quantidade'!I87</f>
        <v>2250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Quantidade'!C86*1000/12</f>
        <v>83.333333333333329</v>
      </c>
      <c r="D22" s="517" t="s">
        <v>146</v>
      </c>
    </row>
    <row r="23" spans="2:10" ht="15" hidden="1" customHeight="1" outlineLevel="1" x14ac:dyDescent="0.25">
      <c r="B23" s="568" t="s">
        <v>205</v>
      </c>
      <c r="C23" s="560">
        <f>'Demanda Preço &amp; Quantidade'!P89</f>
        <v>50</v>
      </c>
      <c r="D23" s="517" t="s">
        <v>206</v>
      </c>
    </row>
    <row r="24" spans="2:10" ht="15" hidden="1" customHeight="1" outlineLevel="1" x14ac:dyDescent="0.25">
      <c r="B24" s="568" t="s">
        <v>309</v>
      </c>
      <c r="C24" s="589">
        <f>'Demanda Preço &amp; Quantidade'!P90</f>
        <v>0.25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Quantidade'!P91</f>
        <v>2.5000000000000001E-2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Quantidade'!P92</f>
        <v>0.55000000000000004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310</v>
      </c>
      <c r="C27" s="589">
        <f>'Demanda Preço &amp; Quantidade'!P87</f>
        <v>0.1</v>
      </c>
      <c r="D27" s="517" t="s">
        <v>1</v>
      </c>
    </row>
    <row r="28" spans="2:10" ht="15" hidden="1" customHeight="1" outlineLevel="1" x14ac:dyDescent="0.25">
      <c r="B28" s="568" t="s">
        <v>203</v>
      </c>
      <c r="C28" s="589">
        <f>'Demanda Preço &amp; Quantidade'!P88</f>
        <v>0.1</v>
      </c>
      <c r="D28" s="517" t="s">
        <v>1</v>
      </c>
    </row>
    <row r="29" spans="2:10" ht="15" hidden="1" customHeight="1" outlineLevel="1" x14ac:dyDescent="0.25">
      <c r="B29" s="572" t="s">
        <v>274</v>
      </c>
      <c r="C29" s="590">
        <f>100/'Demanda Preço &amp; Quantidade'!P86</f>
        <v>10</v>
      </c>
      <c r="D29" s="575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91" t="s">
        <v>149</v>
      </c>
      <c r="C31" s="357"/>
      <c r="D31" s="527"/>
    </row>
    <row r="32" spans="2:10" ht="15" hidden="1" customHeight="1" outlineLevel="1" x14ac:dyDescent="0.25">
      <c r="B32" s="562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3" t="s">
        <v>304</v>
      </c>
      <c r="C33" s="595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4" t="s">
        <v>305</v>
      </c>
      <c r="C34" s="597">
        <f>C33-C32</f>
        <v>-20.611919190912712</v>
      </c>
      <c r="D34" s="565" t="s">
        <v>6</v>
      </c>
    </row>
    <row r="35" spans="2:5" hidden="1" outlineLevel="1" x14ac:dyDescent="0.25">
      <c r="B35" s="563" t="s">
        <v>141</v>
      </c>
      <c r="C35" s="598">
        <f>'Demanda Preço &amp; Quantidade'!I88</f>
        <v>5</v>
      </c>
      <c r="D35" s="262" t="s">
        <v>121</v>
      </c>
    </row>
    <row r="36" spans="2:5" hidden="1" outlineLevel="1" x14ac:dyDescent="0.25">
      <c r="B36" s="670" t="s">
        <v>346</v>
      </c>
      <c r="C36" s="598">
        <f>'Demanda Preço &amp; Quantidade'!I90</f>
        <v>25</v>
      </c>
      <c r="D36" s="262" t="s">
        <v>351</v>
      </c>
    </row>
    <row r="37" spans="2:5" hidden="1" outlineLevel="1" x14ac:dyDescent="0.25">
      <c r="B37" s="670" t="s">
        <v>342</v>
      </c>
      <c r="C37" s="577">
        <v>500000</v>
      </c>
      <c r="D37" s="262" t="s">
        <v>343</v>
      </c>
    </row>
    <row r="38" spans="2:5" x14ac:dyDescent="0.25">
      <c r="B38" s="564" t="s">
        <v>144</v>
      </c>
      <c r="C38" s="599">
        <f>(C6/C35)*C20*C23*1000*C24/1000000+(C37*C36)/1000000</f>
        <v>16.875</v>
      </c>
      <c r="D38" s="565" t="s">
        <v>6</v>
      </c>
    </row>
    <row r="39" spans="2:5" x14ac:dyDescent="0.25">
      <c r="B39" s="564" t="s">
        <v>51</v>
      </c>
      <c r="C39" s="600">
        <f>C38/(-C34/C6)</f>
        <v>28.654536946777473</v>
      </c>
      <c r="D39" s="565" t="s">
        <v>121</v>
      </c>
    </row>
    <row r="40" spans="2:5" s="2" customFormat="1" x14ac:dyDescent="0.25">
      <c r="B40" s="1348" t="s">
        <v>290</v>
      </c>
      <c r="C40" s="561">
        <f>C41/C6</f>
        <v>-0.1067691197403632</v>
      </c>
      <c r="D40" s="452" t="s">
        <v>289</v>
      </c>
    </row>
    <row r="41" spans="2:5" s="2" customFormat="1" x14ac:dyDescent="0.25">
      <c r="B41" s="1349"/>
      <c r="C41" s="561">
        <f>(C38+C34)</f>
        <v>-3.7369191909127117</v>
      </c>
      <c r="D41" s="452" t="s">
        <v>353</v>
      </c>
    </row>
    <row r="42" spans="2:5" s="2" customFormat="1" ht="15.75" thickBot="1" x14ac:dyDescent="0.3">
      <c r="B42" s="1350"/>
      <c r="C42" s="601">
        <f>C40*1000000/C4</f>
        <v>-0.42017458300774874</v>
      </c>
      <c r="D42" s="596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347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3" t="s">
        <v>350</v>
      </c>
      <c r="C18" s="1354"/>
      <c r="D18" s="1355"/>
    </row>
    <row r="19" spans="2:5" ht="15" hidden="1" customHeight="1" outlineLevel="1" x14ac:dyDescent="0.25">
      <c r="B19" s="572" t="s">
        <v>348</v>
      </c>
      <c r="C19" s="693">
        <f>'Demanda Preço &amp; Quantidade'!C105</f>
        <v>4500000</v>
      </c>
      <c r="D19" s="575" t="s">
        <v>349</v>
      </c>
    </row>
    <row r="20" spans="2:5" hidden="1" outlineLevel="1" x14ac:dyDescent="0.25">
      <c r="B20" s="76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76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8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49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0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356"/>
      <c r="G5" s="86"/>
      <c r="H5" s="356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88" t="s">
        <v>10</v>
      </c>
      <c r="G6" s="89"/>
      <c r="H6" s="88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280.84661016732178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427">
        <f>-'Demanda Preço &amp; Quantidade'!C42</f>
        <v>-500</v>
      </c>
      <c r="L9" s="1030" t="s">
        <v>495</v>
      </c>
      <c r="M9" s="294">
        <f>'ANÁLISE DE SITES MULTICRITÉRIO'!H56</f>
        <v>0</v>
      </c>
      <c r="N9" s="274"/>
      <c r="O9" s="279"/>
      <c r="P9" s="280"/>
      <c r="Q9" s="281">
        <f>Q8+M9</f>
        <v>280.84661016732178</v>
      </c>
      <c r="R9" s="281">
        <f>M8</f>
        <v>0</v>
      </c>
      <c r="S9" s="281">
        <f>IF(R9&gt;=0,IF(M9&gt;=0,Q8,Q9),IF(M9&gt;=0,S8,Q9))</f>
        <v>280.84661016732178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280.84661016732178</v>
      </c>
      <c r="N10" s="272"/>
      <c r="O10" s="275">
        <f>M10</f>
        <v>280.84661016732178</v>
      </c>
      <c r="P10" s="276"/>
      <c r="Q10" s="277">
        <f>M10</f>
        <v>280.84661016732178</v>
      </c>
      <c r="R10" s="277"/>
      <c r="S10" s="277"/>
      <c r="T10" s="277"/>
      <c r="U10" s="277"/>
      <c r="V10" s="278">
        <f>Q10</f>
        <v>280.84661016732178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299.80021208947551</v>
      </c>
      <c r="R11" s="281">
        <f t="shared" ref="R11:R22" si="0">M10</f>
        <v>280.84661016732178</v>
      </c>
      <c r="S11" s="281">
        <f>IF(R11&gt;=0,IF(M11&gt;=0,Q10,Q11),IF(M11&gt;=0,S10,Q11))</f>
        <v>280.84661016732178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299.80021208947551</v>
      </c>
      <c r="R12" s="281">
        <f t="shared" si="0"/>
        <v>18.953601922153705</v>
      </c>
      <c r="S12" s="281">
        <f>IF(R12&gt;=0,IF(M12&gt;=0,Q11,Q12),IF(M12&gt;=0,S11,Q12))</f>
        <v>299.80021208947551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299.80021208947551</v>
      </c>
      <c r="N13" s="272"/>
      <c r="O13" s="283">
        <f>M13</f>
        <v>299.80021208947551</v>
      </c>
      <c r="P13" s="284"/>
      <c r="Q13" s="285">
        <f>Q12+M13-O13</f>
        <v>299.80021208947551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299.80021208947551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299.80021208947551</v>
      </c>
      <c r="R14" s="281">
        <f t="shared" si="0"/>
        <v>299.80021208947551</v>
      </c>
      <c r="S14" s="281">
        <f>IF(R14&gt;=0,IF(M14&gt;=0,Q13,Q14),IF(M14&gt;=0,S13,Q14))</f>
        <v>299.80021208947551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299.80021208947551</v>
      </c>
      <c r="R15" s="281">
        <f t="shared" si="0"/>
        <v>0</v>
      </c>
      <c r="S15" s="281">
        <f>IF(R15&gt;=0,IF(M15&gt;=0,Q14,Q15),IF(M15&gt;=0,S14,Q15))</f>
        <v>299.80021208947551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4500000</v>
      </c>
      <c r="G16" s="313"/>
      <c r="H16" s="100">
        <f>'Demanda Preço &amp; Quantidade'!C25</f>
        <v>2</v>
      </c>
      <c r="L16" s="288" t="s">
        <v>167</v>
      </c>
      <c r="M16" s="296">
        <f>SUM(M13:M15)</f>
        <v>299.80021208947551</v>
      </c>
      <c r="N16" s="272"/>
      <c r="O16" s="283">
        <f>M16</f>
        <v>299.80021208947551</v>
      </c>
      <c r="P16" s="284"/>
      <c r="Q16" s="285">
        <f>Q15+M16-O16</f>
        <v>299.80021208947551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299.80021208947551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299.80021208947551</v>
      </c>
      <c r="R17" s="281">
        <f t="shared" si="0"/>
        <v>299.80021208947551</v>
      </c>
      <c r="S17" s="281">
        <f>IF(R17&gt;=0,IF(M17&gt;=0,Q16,Q17),IF(M17&gt;=0,S16,Q17))</f>
        <v>299.80021208947551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277.24035146308489</v>
      </c>
      <c r="R18" s="281">
        <f t="shared" si="0"/>
        <v>0</v>
      </c>
      <c r="S18" s="281">
        <f>IF(R18&gt;=0,IF(M18&gt;=0,Q17,Q18),IF(M18&gt;=0,S17,Q18))</f>
        <v>277.24035146308489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277.24035146308489</v>
      </c>
      <c r="R19" s="281">
        <f t="shared" si="0"/>
        <v>-22.559860626390641</v>
      </c>
      <c r="S19" s="281">
        <f>IF(R19&gt;=0,IF(M19&gt;=0,Q18,Q19),IF(M19&gt;=0,S18,Q19))</f>
        <v>277.24035146308489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277.24035146308489</v>
      </c>
      <c r="R20" s="281">
        <f t="shared" si="0"/>
        <v>0</v>
      </c>
      <c r="S20" s="281">
        <f>IF(R20&gt;=0,IF(M20&gt;=0,Q19,Q20),IF(M20&gt;=0,S19,Q20))</f>
        <v>277.24035146308489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175.77958271308489</v>
      </c>
      <c r="R21" s="281">
        <f t="shared" si="0"/>
        <v>0</v>
      </c>
      <c r="S21" s="281">
        <f>IF(R21&gt;=0,IF(M21&gt;=0,Q20,Q21),IF(M21&gt;=0,S20,Q21))</f>
        <v>175.77958271308489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0"/>
      <c r="C22" s="98" t="s">
        <v>242</v>
      </c>
      <c r="D22" s="78" t="s">
        <v>234</v>
      </c>
      <c r="F22" s="94">
        <f>'C-Dados RT1 Simplif.'!C105*'C-Dados RT1 Simplif.'!C107*'C-Dados RT1 Simplif.'!C136</f>
        <v>7714395.7782566203</v>
      </c>
      <c r="G22" s="305"/>
      <c r="H22" s="305"/>
      <c r="L22" s="288" t="s">
        <v>168</v>
      </c>
      <c r="M22" s="297">
        <f>M16+M17+M18+M19+M20+M21</f>
        <v>175.77958271308489</v>
      </c>
      <c r="N22" s="272"/>
      <c r="O22" s="289">
        <f>M22</f>
        <v>175.77958271308489</v>
      </c>
      <c r="P22" s="290"/>
      <c r="Q22" s="291">
        <f>Q21+M22-O22</f>
        <v>175.77958271308489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175.77958271308489</v>
      </c>
    </row>
    <row r="23" spans="2:22" ht="15" customHeight="1" outlineLevel="1" thickTop="1" x14ac:dyDescent="0.25">
      <c r="B23" s="1270"/>
      <c r="C23" s="91" t="s">
        <v>39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0"/>
      <c r="C24" s="91" t="s">
        <v>111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0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1271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7" t="s">
        <v>30</v>
      </c>
      <c r="C30" s="1257"/>
      <c r="D30" s="110"/>
      <c r="F30" s="355"/>
      <c r="H30" s="355"/>
      <c r="J30" s="355"/>
    </row>
    <row r="31" spans="2:22" s="110" customFormat="1" ht="15.75" hidden="1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105">
        <f t="shared" si="2"/>
        <v>4500000</v>
      </c>
      <c r="G40" s="103"/>
      <c r="H40" s="119">
        <f>H16</f>
        <v>2</v>
      </c>
      <c r="I40" s="115"/>
      <c r="J40" s="116">
        <f>-'RT1C) Comercializ Gás Biomet'!C26</f>
        <v>-22.559860626390641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8" t="s">
        <v>113</v>
      </c>
      <c r="C46" s="1359"/>
      <c r="D46" s="1359"/>
      <c r="E46" s="1359"/>
      <c r="F46" s="634"/>
      <c r="G46" s="634"/>
      <c r="H46" s="634"/>
      <c r="I46" s="126"/>
      <c r="J46" s="1362" t="s">
        <v>10</v>
      </c>
      <c r="K46" s="126"/>
    </row>
    <row r="47" spans="2:11" s="110" customFormat="1" ht="15.6" customHeight="1" x14ac:dyDescent="0.25">
      <c r="B47" s="1360"/>
      <c r="C47" s="1361"/>
      <c r="D47" s="1361"/>
      <c r="E47" s="1361"/>
      <c r="F47" s="636"/>
      <c r="G47" s="636"/>
      <c r="H47" s="636"/>
      <c r="I47" s="86"/>
      <c r="J47" s="1362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-105.06702745423695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H51" s="637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2"/>
      <c r="F53" s="85"/>
      <c r="I53" s="126"/>
      <c r="J53" s="1272"/>
      <c r="K53" s="1272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175.77958271308484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0" t="s">
        <v>549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8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8"/>
      <c r="M5" s="781"/>
      <c r="N5" s="1058"/>
      <c r="O5" s="1346" t="s">
        <v>378</v>
      </c>
      <c r="P5" s="1058"/>
      <c r="Q5" s="1346" t="s">
        <v>379</v>
      </c>
      <c r="R5" s="1058"/>
      <c r="S5" s="1346" t="s">
        <v>380</v>
      </c>
      <c r="T5" s="1058"/>
      <c r="U5" s="1346" t="s">
        <v>381</v>
      </c>
      <c r="V5" s="1058"/>
      <c r="W5" s="1346" t="s">
        <v>382</v>
      </c>
      <c r="X5" s="1058"/>
      <c r="Y5" s="1346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44.666745856586779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8"/>
      <c r="M6" s="793"/>
      <c r="N6" s="794"/>
      <c r="O6" s="1347"/>
      <c r="P6" s="1058"/>
      <c r="Q6" s="1347"/>
      <c r="R6" s="1058"/>
      <c r="S6" s="1347"/>
      <c r="T6" s="1058"/>
      <c r="U6" s="1347"/>
      <c r="V6" s="1058"/>
      <c r="W6" s="1347"/>
      <c r="X6" s="1058"/>
      <c r="Y6" s="1347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'RT1C)BIODIG Gas Natural'!M22</f>
        <v>175.77958271308489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8"/>
      <c r="M8" s="793"/>
      <c r="N8" s="794"/>
      <c r="O8" s="800">
        <f>(O12-O10)/O10</f>
        <v>0</v>
      </c>
      <c r="P8" s="794"/>
      <c r="Q8" s="800">
        <f>(Q12-Q10)/Q10</f>
        <v>5.9292925928744276E-3</v>
      </c>
      <c r="R8" s="794"/>
      <c r="S8" s="800">
        <f>(S12-S10)/S10</f>
        <v>1.5233061901367551E-2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48.553311080433033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1.706942583320608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48.841197868181773</v>
      </c>
      <c r="R12" s="794"/>
      <c r="S12" s="806">
        <f>S33</f>
        <v>257977.38543486263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2"/>
      <c r="G16" s="1334"/>
      <c r="H16" s="1336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48.553311080433033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1.8554679248517925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7" t="s">
        <v>419</v>
      </c>
      <c r="G23" s="1338"/>
      <c r="H23" s="1339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282.96284190963894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48.553311080433033</v>
      </c>
      <c r="E25" s="1058"/>
      <c r="F25" s="839" t="s">
        <v>424</v>
      </c>
      <c r="G25" s="816" t="s">
        <v>425</v>
      </c>
      <c r="H25" s="842">
        <f>H24/12</f>
        <v>23.580236825803244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1.8554679248517925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3" t="s">
        <v>427</v>
      </c>
      <c r="C29" s="1314"/>
      <c r="D29" s="1314"/>
      <c r="E29" s="1315"/>
      <c r="F29" s="1058"/>
      <c r="G29" s="1058"/>
      <c r="H29" s="781"/>
      <c r="I29" s="1058"/>
      <c r="J29" s="781"/>
      <c r="K29" s="1316" t="s">
        <v>428</v>
      </c>
      <c r="L29" s="1317"/>
      <c r="M29" s="1318"/>
      <c r="N29" s="1058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8"/>
      <c r="O31" s="1324" t="s">
        <v>433</v>
      </c>
      <c r="P31" s="1058"/>
      <c r="Q31" s="1324" t="s">
        <v>434</v>
      </c>
      <c r="R31" s="1058"/>
      <c r="S31" s="1324" t="s">
        <v>435</v>
      </c>
      <c r="T31" s="1058"/>
      <c r="U31" s="1324" t="s">
        <v>436</v>
      </c>
      <c r="V31" s="1058"/>
      <c r="W31" s="1324" t="s">
        <v>436</v>
      </c>
      <c r="X31" s="1058"/>
      <c r="Y31" s="1324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282.96284190963894</v>
      </c>
      <c r="M32" s="845">
        <f>H25</f>
        <v>23.580236825803244</v>
      </c>
      <c r="N32" s="846"/>
      <c r="O32" s="1325"/>
      <c r="P32" s="846"/>
      <c r="Q32" s="1325"/>
      <c r="R32" s="846"/>
      <c r="S32" s="1325"/>
      <c r="T32" s="1058"/>
      <c r="U32" s="1325"/>
      <c r="V32" s="1058"/>
      <c r="W32" s="1325"/>
      <c r="X32" s="1058"/>
      <c r="Y32" s="1326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48.841197868181773</v>
      </c>
      <c r="R33" s="1058"/>
      <c r="S33" s="806">
        <f>12*S34</f>
        <v>257977.38543486263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1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2"/>
      <c r="Z34" s="1058"/>
      <c r="AA34" s="1058"/>
      <c r="AB34" s="777"/>
    </row>
    <row r="35" spans="1:28" s="778" customFormat="1" ht="25.15" customHeight="1" outlineLevel="1" x14ac:dyDescent="0.25">
      <c r="A35" s="1058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35.176923608493198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8"/>
      <c r="O36" s="806">
        <f>O39+O41+O42+O43+O44+O45</f>
        <v>40</v>
      </c>
      <c r="P36" s="1058"/>
      <c r="Q36" s="853">
        <f>Q39+Q41+Q42+Q43+Q44+Q45</f>
        <v>1407.076944339728</v>
      </c>
      <c r="R36" s="1058"/>
      <c r="S36" s="1283">
        <f>IF(AND(Q36&lt;&gt;0,O36&lt;&gt;0),Q36*(1-D17-D18-D19)/(($D$25*1000000/$D$8)),0)</f>
        <v>6.7380770623125352</v>
      </c>
      <c r="T36" s="1285" t="s">
        <v>448</v>
      </c>
      <c r="U36" s="1283">
        <f>U39+U41+U42+U43+U44+U45</f>
        <v>693.8817895079967</v>
      </c>
      <c r="V36" s="1058" t="s">
        <v>449</v>
      </c>
      <c r="W36" s="1283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8"/>
      <c r="O37" s="859" t="s">
        <v>455</v>
      </c>
      <c r="P37" s="1058"/>
      <c r="Q37" s="860">
        <v>0.75</v>
      </c>
      <c r="R37" s="1058"/>
      <c r="S37" s="1284"/>
      <c r="T37" s="1286"/>
      <c r="U37" s="1284"/>
      <c r="V37" s="1058"/>
      <c r="W37" s="1287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70.740710477409735</v>
      </c>
      <c r="K39" s="876">
        <f>$M$32*H39*$B$38*$C$38</f>
        <v>5.8950592064508109</v>
      </c>
      <c r="L39" s="875">
        <f>J39*$D$38</f>
        <v>88.425888096762165</v>
      </c>
      <c r="M39" s="876">
        <f>K39*$D$38</f>
        <v>7.3688240080635135</v>
      </c>
      <c r="N39" s="1058"/>
      <c r="O39" s="877">
        <v>2</v>
      </c>
      <c r="P39" s="1058"/>
      <c r="Q39" s="878">
        <f>O39*$Q$37*M39+O39*(1-$Q$37)*K39</f>
        <v>14.000765615320676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205.14806038448822</v>
      </c>
      <c r="K41" s="876">
        <f>$M$32*(H39+(G41-F41)*H41)*$B$38*$C$38</f>
        <v>17.095671698707353</v>
      </c>
      <c r="L41" s="875">
        <f t="shared" ref="L41:M45" si="0">J41*$D$38</f>
        <v>256.43507548061029</v>
      </c>
      <c r="M41" s="876">
        <f t="shared" si="0"/>
        <v>21.36958962338419</v>
      </c>
      <c r="N41" s="1058"/>
      <c r="O41" s="877">
        <v>2</v>
      </c>
      <c r="P41" s="1058"/>
      <c r="Q41" s="878">
        <f>O41*$Q$37*M41+O41*(1-$Q$37)*K41</f>
        <v>40.602220284429961</v>
      </c>
      <c r="R41" s="1058"/>
      <c r="S41" s="879">
        <f>IF(AND(Q41&lt;&gt;0,O41&lt;&gt;0),Q41*(1-D17-D18-D19)/O41/30/(($D$25*1000000/$D$8))*1000,0)</f>
        <v>3.2405345739148181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346.62948133930774</v>
      </c>
      <c r="K42" s="876">
        <f>$M$32*(H39+(G41-F41)*H41+(G42-F42)*H42)*$B$38*$C$38</f>
        <v>28.885790111608976</v>
      </c>
      <c r="L42" s="875">
        <f t="shared" si="0"/>
        <v>433.28685167413471</v>
      </c>
      <c r="M42" s="876">
        <f t="shared" si="0"/>
        <v>36.107237639511219</v>
      </c>
      <c r="N42" s="1058"/>
      <c r="O42" s="877">
        <v>28</v>
      </c>
      <c r="P42" s="1058"/>
      <c r="Q42" s="878">
        <f>O42*$Q$37*M42+O42*(1-$Q$37)*K42</f>
        <v>960.45252121099838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495.18497334186816</v>
      </c>
      <c r="K43" s="876">
        <f>$M$32*(H39+(G41-F41)*H41+(G42-F42)*H42+(G43-F43)*H43)*$B$38*$C$38</f>
        <v>41.265414445155677</v>
      </c>
      <c r="L43" s="875">
        <f t="shared" si="0"/>
        <v>618.98121667733517</v>
      </c>
      <c r="M43" s="876">
        <f t="shared" si="0"/>
        <v>51.581768056444595</v>
      </c>
      <c r="N43" s="1058"/>
      <c r="O43" s="877">
        <v>8</v>
      </c>
      <c r="P43" s="1058"/>
      <c r="Q43" s="878">
        <f>O43*$Q$37*M43+O43*(1-$Q$37)*K43</f>
        <v>392.02143722897893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728.62931791732035</v>
      </c>
      <c r="K44" s="876">
        <f>$M$32*(H39+(G41-F41)*H41+(G42-F42)*H42+(G43-F43)*H43+(G44-F44)*H44)*$B$38*$C$38</f>
        <v>60.719109826443358</v>
      </c>
      <c r="L44" s="875">
        <f t="shared" si="0"/>
        <v>910.78664739665044</v>
      </c>
      <c r="M44" s="876">
        <f t="shared" si="0"/>
        <v>75.898887283054194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1542.1474884075324</v>
      </c>
      <c r="K45" s="876">
        <f>$M$32*(H39+(G41-F41)*H41+(G42-F42)*H42+(G43-F43)*H43+(G44-F44)*H44+(G45-F45)*H45)*$B$38*$C$38</f>
        <v>128.51229070062769</v>
      </c>
      <c r="L45" s="875">
        <f t="shared" si="0"/>
        <v>1927.6843605094155</v>
      </c>
      <c r="M45" s="876">
        <f t="shared" si="0"/>
        <v>160.6403633757846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28.111849476141462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8"/>
      <c r="O49" s="806">
        <f>O52+O54+O55+O56+O57+O58</f>
        <v>127341</v>
      </c>
      <c r="P49" s="1058"/>
      <c r="Q49" s="894">
        <f>Q52+Q54+Q55+Q56+Q57+Q58</f>
        <v>3579791.0241413298</v>
      </c>
      <c r="R49" s="1058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8" t="s">
        <v>449</v>
      </c>
      <c r="W49" s="1309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8"/>
      <c r="O50" s="895" t="s">
        <v>455</v>
      </c>
      <c r="P50" s="1058"/>
      <c r="Q50" s="860">
        <v>0.75</v>
      </c>
      <c r="R50" s="1058"/>
      <c r="S50" s="1284"/>
      <c r="T50" s="1286"/>
      <c r="U50" s="1284"/>
      <c r="V50" s="1058"/>
      <c r="W50" s="1310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99.213846444567167</v>
      </c>
      <c r="K52" s="876">
        <f>$M$32*H52*$B$51*$C$51</f>
        <v>8.2678205370472622</v>
      </c>
      <c r="L52" s="875">
        <f>J52*$D$51</f>
        <v>124.01730805570895</v>
      </c>
      <c r="M52" s="876">
        <f>K52*$D$51</f>
        <v>10.334775671309078</v>
      </c>
      <c r="N52" s="1058"/>
      <c r="O52" s="877">
        <v>62341</v>
      </c>
      <c r="P52" s="1058"/>
      <c r="Q52" s="878">
        <f>O52*$Q$50*M52+O52*(1-$Q$50)*K52</f>
        <v>612066.23761882528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315.68042050544091</v>
      </c>
      <c r="K54" s="876">
        <f>$M$32*(H52+(G54-F54)*H54)*$B$51*$C$51</f>
        <v>26.306701708786743</v>
      </c>
      <c r="L54" s="875">
        <f t="shared" ref="L54:M58" si="1">J54*$D$51</f>
        <v>394.60052563180113</v>
      </c>
      <c r="M54" s="876">
        <f t="shared" si="1"/>
        <v>32.88337713598343</v>
      </c>
      <c r="N54" s="1058"/>
      <c r="O54" s="877">
        <v>42500</v>
      </c>
      <c r="P54" s="1058"/>
      <c r="Q54" s="878">
        <f>O54*$Q$50*M54+O54*(1-$Q$50)*K54</f>
        <v>1327666.3518653309</v>
      </c>
      <c r="R54" s="1058"/>
      <c r="S54" s="879">
        <f>IF(AND(Q54&lt;&gt;0,O54&lt;&gt;0),Q54*(1-D17-D18-D19)/O54/30/(($D$25*1000000/$D$8))*1000,0)</f>
        <v>4.9865122538258184</v>
      </c>
      <c r="T54" s="1058" t="s">
        <v>459</v>
      </c>
      <c r="U54" s="880">
        <f>S54*O54*30*$D$11*(1+$D$24)/1000</f>
        <v>654721.48329042783</v>
      </c>
      <c r="V54" s="1058" t="s">
        <v>460</v>
      </c>
      <c r="W54" s="898">
        <f>IF(O54&lt;&gt;0,U54/O54,0)</f>
        <v>15.405211371539478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541.16643515218448</v>
      </c>
      <c r="K55" s="876">
        <f>$M$32*(H52+(G54-F54)*H54+(G55-F55)*H55)*$B$51*$C$51</f>
        <v>45.097202929348704</v>
      </c>
      <c r="L55" s="875">
        <f t="shared" si="1"/>
        <v>676.4580439402306</v>
      </c>
      <c r="M55" s="876">
        <f t="shared" si="1"/>
        <v>56.371503661685878</v>
      </c>
      <c r="N55" s="1058"/>
      <c r="O55" s="877">
        <v>10000</v>
      </c>
      <c r="P55" s="1058"/>
      <c r="Q55" s="878">
        <f>O55*$Q$50*M55+O55*(1-$Q$50)*K55</f>
        <v>535529.28478601587</v>
      </c>
      <c r="R55" s="1058"/>
      <c r="S55" s="879">
        <f>IF(AND(Q55&lt;&gt;0,O55&lt;&gt;0),Q55*(1-D17-D18-D19)/O55/30/(($D$25*1000000/$D$8))*1000,0)</f>
        <v>8.5483067208442591</v>
      </c>
      <c r="T55" s="1058" t="s">
        <v>459</v>
      </c>
      <c r="U55" s="880">
        <f>S55*O55*30*$D$11*(1+$D$24)/1000</f>
        <v>264089.33779781958</v>
      </c>
      <c r="V55" s="1058" t="s">
        <v>460</v>
      </c>
      <c r="W55" s="899">
        <f>IF(O55&lt;&gt;0,U55/O55,0)</f>
        <v>26.408933779781957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892.92461800110425</v>
      </c>
      <c r="K56" s="876">
        <f>$M$32*(H52+(G54-F54)*H54+(G55-F55)*H55+(G56-F56)*H56)*$B$51*$C$51</f>
        <v>74.410384833425368</v>
      </c>
      <c r="L56" s="875">
        <f t="shared" si="1"/>
        <v>1116.1557725013804</v>
      </c>
      <c r="M56" s="876">
        <f t="shared" si="1"/>
        <v>93.012981041781714</v>
      </c>
      <c r="N56" s="1058"/>
      <c r="O56" s="877">
        <v>12500</v>
      </c>
      <c r="P56" s="1058"/>
      <c r="Q56" s="878">
        <f>O56*$Q$50*M56+O56*(1-$Q$50)*K56</f>
        <v>1104529.1498711579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1839.9658795174271</v>
      </c>
      <c r="K57" s="876">
        <f>$M$32*(H52+(G54-F54)*H54+(G55-F55)*H55+(G56-F56)*H56+(G57-F57)*H57)*$B$51*$C$51</f>
        <v>153.33048995978558</v>
      </c>
      <c r="L57" s="875">
        <f t="shared" si="1"/>
        <v>2299.9573493967837</v>
      </c>
      <c r="M57" s="876">
        <f t="shared" si="1"/>
        <v>191.66311244973198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3869.340011338119</v>
      </c>
      <c r="K58" s="876">
        <f>$M$32*(H52+(G54-F54)*H54+(G55-F55)*H55+(G56-F56)*H56+(G57-F57)*H57+(G58-F58)*H58)*$B$51*$C$51</f>
        <v>322.44500094484317</v>
      </c>
      <c r="L58" s="875">
        <f t="shared" si="1"/>
        <v>4836.6750141726488</v>
      </c>
      <c r="M58" s="876">
        <f t="shared" si="1"/>
        <v>403.05625118105399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9.876734793307433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8"/>
      <c r="O62" s="806">
        <f>O65+O67+O68+O69+O70+O71</f>
        <v>42447</v>
      </c>
      <c r="P62" s="1058"/>
      <c r="Q62" s="853">
        <f>Q65+Q67+Q68+Q69+Q70+Q71</f>
        <v>419237.7617715206</v>
      </c>
      <c r="R62" s="1058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413483.35574335721</v>
      </c>
      <c r="V62" s="1058" t="s">
        <v>449</v>
      </c>
      <c r="W62" s="1283">
        <f>W65*O65+W67*O67+W68*O68+W69*O69+W70*O70+W71*O71</f>
        <v>413483.35574335721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8"/>
      <c r="O63" s="895" t="s">
        <v>455</v>
      </c>
      <c r="P63" s="1058"/>
      <c r="Q63" s="860">
        <v>0.75</v>
      </c>
      <c r="R63" s="1058"/>
      <c r="S63" s="1284"/>
      <c r="T63" s="1286"/>
      <c r="U63" s="1284"/>
      <c r="V63" s="1058"/>
      <c r="W63" s="1287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49.606923222283584</v>
      </c>
      <c r="K65" s="876">
        <f>$M$32*H65*$B$64*$C$64</f>
        <v>4.1339102685236311</v>
      </c>
      <c r="L65" s="875">
        <f>J65*$D$51</f>
        <v>62.008654027854476</v>
      </c>
      <c r="M65" s="876">
        <f>K65*$D$51</f>
        <v>5.1673878356545391</v>
      </c>
      <c r="N65" s="1058"/>
      <c r="O65" s="877">
        <v>25947</v>
      </c>
      <c r="P65" s="1058"/>
      <c r="Q65" s="878">
        <f>O65*$Q$63*M65+O65*(1-$Q$63)*K65</f>
        <v>127374.30156314191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157.84021025272045</v>
      </c>
      <c r="K67" s="876">
        <f>$M$32*(H65+(G67-F67)*H67)*$B$64*$C$64</f>
        <v>13.153350854393372</v>
      </c>
      <c r="L67" s="875">
        <f t="shared" ref="L67:M71" si="3">J67*$D$51</f>
        <v>197.30026281590057</v>
      </c>
      <c r="M67" s="876">
        <f t="shared" si="3"/>
        <v>16.441688567991715</v>
      </c>
      <c r="N67" s="1058"/>
      <c r="O67" s="877">
        <v>15000</v>
      </c>
      <c r="P67" s="1058"/>
      <c r="Q67" s="878">
        <f>O67*$Q$63*M67+O67*(1-$Q$63)*K67</f>
        <v>234294.06209388195</v>
      </c>
      <c r="R67" s="1058"/>
      <c r="S67" s="879">
        <f>IF(AND(Q67&lt;&gt;0,O67&lt;&gt;0),Q67*(1-D17-D18-D19)/O67/30/(H15)/(($D$25*1000000/$D$8))*1000,0)</f>
        <v>4.9865122538258193</v>
      </c>
      <c r="T67" s="1058" t="s">
        <v>459</v>
      </c>
      <c r="U67" s="880">
        <f>S67*O67*30*$D$11*(1+$D$24)/1000</f>
        <v>231078.17057309221</v>
      </c>
      <c r="V67" s="1058" t="s">
        <v>460</v>
      </c>
      <c r="W67" s="880">
        <f>IF(O67&lt;&gt;0,U67/O67,0)</f>
        <v>15.405211371539481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270.58321757609224</v>
      </c>
      <c r="K68" s="876">
        <f>$M$32*(H65+(G67-F67)*H67+(G68-F68)*H68)*$B$64*$C$64</f>
        <v>22.548601464674352</v>
      </c>
      <c r="L68" s="875">
        <f t="shared" si="3"/>
        <v>338.2290219701153</v>
      </c>
      <c r="M68" s="876">
        <f t="shared" si="3"/>
        <v>28.185751830842939</v>
      </c>
      <c r="N68" s="1058"/>
      <c r="O68" s="877">
        <v>500</v>
      </c>
      <c r="P68" s="1058"/>
      <c r="Q68" s="878">
        <f>O68*$Q$63*M68+O68*(1-$Q$63)*K68</f>
        <v>13388.232119650396</v>
      </c>
      <c r="R68" s="1058"/>
      <c r="S68" s="879">
        <f>IF(AND(Q68&lt;&gt;0,O68&lt;&gt;0),Q68*(1-D17-D18-D19)/O68/30/(H15)/(($D$25*1000000/$D$8))*1000,0)</f>
        <v>8.5483067208442609</v>
      </c>
      <c r="T68" s="1058" t="s">
        <v>459</v>
      </c>
      <c r="U68" s="880">
        <f>S68*O68*30*$D$11*(1+$D$24)/1000</f>
        <v>13204.466889890982</v>
      </c>
      <c r="V68" s="1058" t="s">
        <v>460</v>
      </c>
      <c r="W68" s="880">
        <f>IF(O68&lt;&gt;0,U68/O68,0)</f>
        <v>26.408933779781965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446.46230900055212</v>
      </c>
      <c r="K69" s="876">
        <f>$M$32*(H65+(G67-F67)*H67+(G68-F68)*H68+(G69-F69)*H69)*$B$64*$C$64</f>
        <v>37.205192416712684</v>
      </c>
      <c r="L69" s="875">
        <f t="shared" si="3"/>
        <v>558.0778862506902</v>
      </c>
      <c r="M69" s="876">
        <f t="shared" si="3"/>
        <v>46.506490520890857</v>
      </c>
      <c r="N69" s="1058"/>
      <c r="O69" s="877">
        <v>1000</v>
      </c>
      <c r="P69" s="1058"/>
      <c r="Q69" s="878">
        <f>O69*$Q$63*M69+O69*(1-$Q$63)*K69</f>
        <v>44181.16599484632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919.98293975871354</v>
      </c>
      <c r="K70" s="876">
        <f>$M$32*(H65+(G67-F67)*H67+(G68-F68)*H68+(G69-F69)*H69+(G70-F70)*H70)*$B$64*$C$64</f>
        <v>76.66524497989279</v>
      </c>
      <c r="L70" s="875">
        <f t="shared" si="3"/>
        <v>1149.9786746983918</v>
      </c>
      <c r="M70" s="876">
        <f t="shared" si="3"/>
        <v>95.831556224865992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1934.6700056690595</v>
      </c>
      <c r="K71" s="876">
        <f>$M$32*(H65+(G67-F67)*H67+(G68-F68)*H68+(G69-F69)*H69+(G70-F70)*H70+(G71-F71)*H71)*$B$64*$C$64</f>
        <v>161.22250047242159</v>
      </c>
      <c r="L71" s="875">
        <f t="shared" si="3"/>
        <v>2418.3375070863244</v>
      </c>
      <c r="M71" s="876">
        <f t="shared" si="3"/>
        <v>201.528125590527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39.039699457860863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8"/>
      <c r="O75" s="806">
        <f>O78+O80+O81+O82+O83+O84</f>
        <v>1741</v>
      </c>
      <c r="P75" s="1058"/>
      <c r="Q75" s="853">
        <f>Q78+Q80+Q81+Q82+Q83+Q84</f>
        <v>67968.116756135758</v>
      </c>
      <c r="R75" s="1058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058" t="s">
        <v>449</v>
      </c>
      <c r="W75" s="1283">
        <f>W78*O78+W80*O80+W81*O81+W82*O82+W83*O83+W84*O84</f>
        <v>33517.597366622103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8"/>
      <c r="O76" s="895" t="s">
        <v>455</v>
      </c>
      <c r="P76" s="1058"/>
      <c r="Q76" s="860">
        <v>0.75</v>
      </c>
      <c r="R76" s="1058"/>
      <c r="S76" s="1284"/>
      <c r="T76" s="1286"/>
      <c r="U76" s="1284"/>
      <c r="V76" s="1058"/>
      <c r="W76" s="1287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95.499959144503151</v>
      </c>
      <c r="K78" s="876">
        <f>$M$32*H78*$B$77*$C$77</f>
        <v>7.9583299287085953</v>
      </c>
      <c r="L78" s="875">
        <f>J78*$D$77</f>
        <v>119.37494893062893</v>
      </c>
      <c r="M78" s="876">
        <f>K78*$D$77</f>
        <v>9.9479124108857437</v>
      </c>
      <c r="N78" s="1058"/>
      <c r="O78" s="877">
        <v>264</v>
      </c>
      <c r="P78" s="1058"/>
      <c r="Q78" s="878">
        <f>O78*$Q$76*M78+O78*(1-$Q$76)*K78</f>
        <v>2494.9364326501445</v>
      </c>
      <c r="R78" s="1058"/>
      <c r="S78" s="879">
        <f>IF(AND(Q78&lt;&gt;0,O78&lt;&gt;0),Q78*(1-D17-D18-D19)/O78/30/(($D$25*1000000/$D$8))*1000,0)</f>
        <v>1.5085247154431047</v>
      </c>
      <c r="T78" s="1058" t="s">
        <v>459</v>
      </c>
      <c r="U78" s="880">
        <f>S78*O78*30*$D$11*(1+$D$24)/1000</f>
        <v>1230.3456207992538</v>
      </c>
      <c r="V78" s="1058" t="s">
        <v>460</v>
      </c>
      <c r="W78" s="880">
        <f>IF(O78&lt;&gt;0,U78/O78,0)</f>
        <v>4.6604000787850524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350.16651686317817</v>
      </c>
      <c r="K80" s="876">
        <f>$M$32*(H78+(G80-F80)*H80)*$B$77*$C$77</f>
        <v>29.180543071931517</v>
      </c>
      <c r="L80" s="875">
        <f t="shared" ref="L80:M84" si="4">J80*$D$77</f>
        <v>437.70814607897273</v>
      </c>
      <c r="M80" s="876">
        <f t="shared" si="4"/>
        <v>36.475678839914394</v>
      </c>
      <c r="N80" s="1058"/>
      <c r="O80" s="877">
        <v>994</v>
      </c>
      <c r="P80" s="1058"/>
      <c r="Q80" s="878">
        <f>O80*$Q$76*M80+O80*(1-$Q$76)*K80</f>
        <v>34443.983528531164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530.55532858057302</v>
      </c>
      <c r="K81" s="876">
        <f>$M$32*(H78+(G80-F80)*H80+(G81-F81)*H81)*$B$77*$C$77</f>
        <v>44.212944048381082</v>
      </c>
      <c r="L81" s="875">
        <f t="shared" si="4"/>
        <v>663.1941607257163</v>
      </c>
      <c r="M81" s="876">
        <f t="shared" si="4"/>
        <v>55.266180060476351</v>
      </c>
      <c r="N81" s="1058"/>
      <c r="O81" s="877">
        <v>183</v>
      </c>
      <c r="P81" s="1058"/>
      <c r="Q81" s="878">
        <f>O81*$Q$76*M81+O81*(1-$Q$76)*K81</f>
        <v>9608.0254035138132</v>
      </c>
      <c r="R81" s="1058"/>
      <c r="S81" s="879">
        <f>IF(AND(Q81&lt;&gt;0,O81&lt;&gt;0),Q81*(1-D17-D18-D19)/O81/30/(($D$25*1000000/$D$8))*1000,0)</f>
        <v>8.3806928635728042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721.55524686957926</v>
      </c>
      <c r="K82" s="876">
        <f>$M$32*(H78+(G80-F80)*H80+(G81-F81)*H81+(G82-F82)*H82)*$B$77*$C$77</f>
        <v>60.129603905798277</v>
      </c>
      <c r="L82" s="875">
        <f t="shared" si="4"/>
        <v>901.94405858697405</v>
      </c>
      <c r="M82" s="876">
        <f t="shared" si="4"/>
        <v>75.162004882247842</v>
      </c>
      <c r="N82" s="1058"/>
      <c r="O82" s="877">
        <v>300</v>
      </c>
      <c r="P82" s="1058"/>
      <c r="Q82" s="878">
        <f>O82*$Q$76*M82+O82*(1-$Q$76)*K82</f>
        <v>21421.171391440635</v>
      </c>
      <c r="R82" s="1058"/>
      <c r="S82" s="879">
        <f>IF(AND(Q82&lt;&gt;0,O82&lt;&gt;0),Q82*(1-D17-D18-D19)/O82/30/(($D$25*1000000/$D$8))*1000,0)</f>
        <v>11.397742294459016</v>
      </c>
      <c r="T82" s="1058" t="s">
        <v>459</v>
      </c>
      <c r="U82" s="880">
        <f>S82*O82*30*$D$11*(1+$D$24)/1000</f>
        <v>10563.573511912788</v>
      </c>
      <c r="V82" s="1058" t="s">
        <v>460</v>
      </c>
      <c r="W82" s="880">
        <f>IF(O82&lt;&gt;0,U82/O82,0)</f>
        <v>35.211911706375957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1023.9717841605059</v>
      </c>
      <c r="K83" s="876">
        <f>$M$32*(H78+(G80-F80)*H80+(G81-F81)*H81+(G82-F82)*H82+(G83-F83)*H83)*$B$77*$C$77</f>
        <v>85.33098201337549</v>
      </c>
      <c r="L83" s="875">
        <f t="shared" si="4"/>
        <v>1279.9647302006324</v>
      </c>
      <c r="M83" s="876">
        <f t="shared" si="4"/>
        <v>106.66372751671936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1978.9713756055371</v>
      </c>
      <c r="K84" s="876">
        <f>$M$32*(H78+(G80-F80)*H80+(G81-F81)*H81+(G82-F82)*H82+(G83-F83)*H83+(G84-F84)*H84)*$B$77*$C$77</f>
        <v>164.91428130046143</v>
      </c>
      <c r="L84" s="875">
        <f t="shared" si="4"/>
        <v>2473.7142195069214</v>
      </c>
      <c r="M84" s="876">
        <f t="shared" si="4"/>
        <v>206.14285162557678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84.792136757785855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8"/>
      <c r="O88" s="881">
        <f>O91+O93+O94+O95+O96</f>
        <v>20</v>
      </c>
      <c r="P88" s="1058"/>
      <c r="Q88" s="853">
        <f>Q91+Q93+Q94+Q95+Q96</f>
        <v>1695.842735155717</v>
      </c>
      <c r="R88" s="1058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836.28290302642904</v>
      </c>
      <c r="V88" s="1058" t="s">
        <v>449</v>
      </c>
      <c r="W88" s="1283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8"/>
      <c r="O89" s="895" t="s">
        <v>455</v>
      </c>
      <c r="P89" s="1058"/>
      <c r="Q89" s="860">
        <v>0.75</v>
      </c>
      <c r="R89" s="1058"/>
      <c r="S89" s="1284"/>
      <c r="T89" s="1286"/>
      <c r="U89" s="1284"/>
      <c r="V89" s="1058"/>
      <c r="W89" s="1287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74.277746001280221</v>
      </c>
      <c r="K91" s="876">
        <f>$M$32*H91*$B$90*$C$90</f>
        <v>6.1898121667733506</v>
      </c>
      <c r="L91" s="875">
        <f>J91*$D$90</f>
        <v>92.847182501600273</v>
      </c>
      <c r="M91" s="876">
        <f>K91*$D$90</f>
        <v>7.7372652084666882</v>
      </c>
      <c r="N91" s="1058"/>
      <c r="O91" s="877">
        <v>1</v>
      </c>
      <c r="P91" s="1058"/>
      <c r="Q91" s="878">
        <f>O91*$Q$76*M91+O91*(1-$Q$76)*K91</f>
        <v>7.3504019480433538</v>
      </c>
      <c r="R91" s="1058"/>
      <c r="S91" s="879">
        <f>IF(AND(Q91&lt;&gt;0,O91&lt;&gt;0),Q91*(1-D17-D18-D19)/O91/30/(($D$25*1000000/$D$8))*1000,0)</f>
        <v>1.1732970009001924</v>
      </c>
      <c r="T91" s="1058" t="s">
        <v>459</v>
      </c>
      <c r="U91" s="880">
        <f>S91*O91*30*$D$11*(1+$D$24)/1000</f>
        <v>3.6247556168328177</v>
      </c>
      <c r="V91" s="1058" t="s">
        <v>460</v>
      </c>
      <c r="W91" s="880">
        <f>IF(O91&lt;&gt;0,U91/O91,0)</f>
        <v>3.6247556168328177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233.44434457545216</v>
      </c>
      <c r="K93" s="876">
        <f>$M$32*(H91+(G93-F93)*H93)*$B$90*$C$90</f>
        <v>19.45369538128768</v>
      </c>
      <c r="L93" s="875">
        <f t="shared" ref="L93:M96" si="5">J93*$D$90</f>
        <v>291.80543071931521</v>
      </c>
      <c r="M93" s="876">
        <f t="shared" si="5"/>
        <v>24.317119226609599</v>
      </c>
      <c r="N93" s="1058"/>
      <c r="O93" s="877">
        <v>2</v>
      </c>
      <c r="P93" s="1058"/>
      <c r="Q93" s="878">
        <f>O93*$Q$76*M93+O93*(1-$Q$76)*K93</f>
        <v>46.202526530558231</v>
      </c>
      <c r="R93" s="1058"/>
      <c r="S93" s="879">
        <f>IF(AND(Q93&lt;&gt;0,O93&lt;&gt;0),Q93*(1-D17-D18-D19)/O93/30/(($D$25*1000000/$D$8))*1000,0)</f>
        <v>3.6875048599720341</v>
      </c>
      <c r="T93" s="1058" t="s">
        <v>459</v>
      </c>
      <c r="U93" s="880">
        <f>S93*O93*30*$D$11*(1+$D$24)/1000</f>
        <v>22.784178162949146</v>
      </c>
      <c r="V93" s="1058" t="s">
        <v>460</v>
      </c>
      <c r="W93" s="880">
        <f>IF(O93&lt;&gt;0,U93/O93,0)</f>
        <v>11.392089081474573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976.22180458825437</v>
      </c>
      <c r="K94" s="876">
        <f>$M$32*(H91+(G93-F93)*H93+(G94-F94)*H94)*$B$90*$C$90</f>
        <v>81.351817049021193</v>
      </c>
      <c r="L94" s="875">
        <f t="shared" si="5"/>
        <v>1220.277255735318</v>
      </c>
      <c r="M94" s="876">
        <f t="shared" si="5"/>
        <v>101.68977131127649</v>
      </c>
      <c r="N94" s="1058"/>
      <c r="O94" s="877">
        <v>17</v>
      </c>
      <c r="P94" s="1058"/>
      <c r="Q94" s="878">
        <f>O94*$Q$76*M94+O94*(1-$Q$76)*K94</f>
        <v>1642.2898066771154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5645.1086960972971</v>
      </c>
      <c r="K95" s="876">
        <f>$M$32*(H91+(G93-F93)*H93+(G94-F94)*H94+(G95-F95)*H95)*$B$90*$C$90</f>
        <v>470.42572467477476</v>
      </c>
      <c r="L95" s="875">
        <f t="shared" si="5"/>
        <v>7056.3858701216213</v>
      </c>
      <c r="M95" s="876">
        <f t="shared" si="5"/>
        <v>588.03215584346844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12011.772639064173</v>
      </c>
      <c r="K96" s="876">
        <f>$M$32*(H91+(G93-F93)*H93+(G94-F94)*H94+(G95-F95)*H95+(G96-F96)*H96)*$B$90*$C$90</f>
        <v>1000.9810532553477</v>
      </c>
      <c r="L96" s="875">
        <f t="shared" si="5"/>
        <v>15014.715798830217</v>
      </c>
      <c r="M96" s="876">
        <f t="shared" si="5"/>
        <v>1251.2263165691845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549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44.666745856586779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'RT1C)BIODIG Gas Natural'!M22-'RT1C)BIODIG Gas Natural'!M8-'RT1C)BIODIG Gas Natural'!M9</f>
        <v>175.77958271308489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5.9292925928744276E-3</v>
      </c>
      <c r="R8" s="794"/>
      <c r="S8" s="800">
        <f>(S12-S10)/S10</f>
        <v>1.5233061901367551E-2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48.553311080433033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1.706942583320608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48.841197868181773</v>
      </c>
      <c r="R12" s="794"/>
      <c r="S12" s="806">
        <f>S33</f>
        <v>257977.38543486263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48.553311080433033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1.8554679248517925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282.96284190963894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48.553311080433033</v>
      </c>
      <c r="E25" s="1059"/>
      <c r="F25" s="839" t="s">
        <v>424</v>
      </c>
      <c r="G25" s="816" t="s">
        <v>425</v>
      </c>
      <c r="H25" s="842">
        <f>H24/12</f>
        <v>23.580236825803244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1.8554679248517925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282.96284190963894</v>
      </c>
      <c r="M32" s="845">
        <f>H25</f>
        <v>23.580236825803244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48.841197868181773</v>
      </c>
      <c r="R33" s="1059"/>
      <c r="S33" s="806">
        <f>12*S34</f>
        <v>257977.38543486263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35.176923608493198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1407.076944339728</v>
      </c>
      <c r="R36" s="1059"/>
      <c r="S36" s="1283">
        <f>IF(AND(Q36&lt;&gt;0,O36&lt;&gt;0),Q36*(1-D17-D18-D19)/(($D$25*1000000/$D$8)),0)</f>
        <v>6.7380770623125352</v>
      </c>
      <c r="T36" s="1285" t="s">
        <v>448</v>
      </c>
      <c r="U36" s="1283">
        <f>U39+U41+U42+U43+U44+U45</f>
        <v>693.8817895079967</v>
      </c>
      <c r="V36" s="1059" t="s">
        <v>449</v>
      </c>
      <c r="W36" s="128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70.740710477409735</v>
      </c>
      <c r="K39" s="876">
        <f>$M$32*H39*$B$38*$C$38</f>
        <v>5.8950592064508109</v>
      </c>
      <c r="L39" s="875">
        <f>J39*$D$38</f>
        <v>88.425888096762165</v>
      </c>
      <c r="M39" s="876">
        <f>K39*$D$38</f>
        <v>7.3688240080635135</v>
      </c>
      <c r="N39" s="1059"/>
      <c r="O39" s="877">
        <v>2</v>
      </c>
      <c r="P39" s="1059"/>
      <c r="Q39" s="878">
        <f>O39*$Q$37*M39+O39*(1-$Q$37)*K39</f>
        <v>14.000765615320676</v>
      </c>
      <c r="R39" s="1059"/>
      <c r="S39" s="879">
        <f>IF(AND(Q39&lt;&gt;0,O39&lt;&gt;0),Q39*(1-D17-D18-D19)/O39/30/(($D$25*1000000/$D$8))*1000,0)</f>
        <v>1.1174257151430407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205.14806038448822</v>
      </c>
      <c r="K41" s="876">
        <f>$M$32*(H39+(G41-F41)*H41)*$B$38*$C$38</f>
        <v>17.095671698707353</v>
      </c>
      <c r="L41" s="875">
        <f t="shared" ref="L41:M45" si="0">J41*$D$38</f>
        <v>256.43507548061029</v>
      </c>
      <c r="M41" s="876">
        <f t="shared" si="0"/>
        <v>21.36958962338419</v>
      </c>
      <c r="N41" s="1059"/>
      <c r="O41" s="877">
        <v>2</v>
      </c>
      <c r="P41" s="1059"/>
      <c r="Q41" s="878">
        <f>O41*$Q$37*M41+O41*(1-$Q$37)*K41</f>
        <v>40.602220284429961</v>
      </c>
      <c r="R41" s="1059"/>
      <c r="S41" s="879">
        <f>IF(AND(Q41&lt;&gt;0,O41&lt;&gt;0),Q41*(1-D17-D18-D19)/O41/30/(($D$25*1000000/$D$8))*1000,0)</f>
        <v>3.2405345739148181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346.62948133930774</v>
      </c>
      <c r="K42" s="876">
        <f>$M$32*(H39+(G41-F41)*H41+(G42-F42)*H42)*$B$38*$C$38</f>
        <v>28.885790111608976</v>
      </c>
      <c r="L42" s="875">
        <f t="shared" si="0"/>
        <v>433.28685167413471</v>
      </c>
      <c r="M42" s="876">
        <f t="shared" si="0"/>
        <v>36.107237639511219</v>
      </c>
      <c r="N42" s="1059"/>
      <c r="O42" s="877">
        <v>28</v>
      </c>
      <c r="P42" s="1059"/>
      <c r="Q42" s="878">
        <f>O42*$Q$37*M42+O42*(1-$Q$37)*K42</f>
        <v>960.45252121099838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495.18497334186816</v>
      </c>
      <c r="K43" s="876">
        <f>$M$32*(H39+(G41-F41)*H41+(G42-F42)*H42+(G43-F43)*H43)*$B$38*$C$38</f>
        <v>41.265414445155677</v>
      </c>
      <c r="L43" s="875">
        <f t="shared" si="0"/>
        <v>618.98121667733517</v>
      </c>
      <c r="M43" s="876">
        <f t="shared" si="0"/>
        <v>51.581768056444595</v>
      </c>
      <c r="N43" s="1059"/>
      <c r="O43" s="877">
        <v>8</v>
      </c>
      <c r="P43" s="1059"/>
      <c r="Q43" s="878">
        <f>O43*$Q$37*M43+O43*(1-$Q$37)*K43</f>
        <v>392.02143722897893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728.62931791732035</v>
      </c>
      <c r="K44" s="876">
        <f>$M$32*(H39+(G41-F41)*H41+(G42-F42)*H42+(G43-F43)*H43+(G44-F44)*H44)*$B$38*$C$38</f>
        <v>60.719109826443358</v>
      </c>
      <c r="L44" s="875">
        <f t="shared" si="0"/>
        <v>910.78664739665044</v>
      </c>
      <c r="M44" s="876">
        <f t="shared" si="0"/>
        <v>75.898887283054194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1542.1474884075324</v>
      </c>
      <c r="K45" s="876">
        <f>$M$32*(H39+(G41-F41)*H41+(G42-F42)*H42+(G43-F43)*H43+(G44-F44)*H44+(G45-F45)*H45)*$B$38*$C$38</f>
        <v>128.51229070062769</v>
      </c>
      <c r="L45" s="875">
        <f t="shared" si="0"/>
        <v>1927.6843605094155</v>
      </c>
      <c r="M45" s="876">
        <f t="shared" si="0"/>
        <v>160.6403633757846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28.111849476141462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3579791.0241413298</v>
      </c>
      <c r="R49" s="1059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9" t="s">
        <v>449</v>
      </c>
      <c r="W49" s="1309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99.213846444567167</v>
      </c>
      <c r="K52" s="876">
        <f>$M$32*H52*$B$51*$C$51</f>
        <v>8.2678205370472622</v>
      </c>
      <c r="L52" s="875">
        <f>J52*$D$51</f>
        <v>124.01730805570895</v>
      </c>
      <c r="M52" s="876">
        <f>K52*$D$51</f>
        <v>10.334775671309078</v>
      </c>
      <c r="N52" s="1059"/>
      <c r="O52" s="877">
        <v>62341</v>
      </c>
      <c r="P52" s="1059"/>
      <c r="Q52" s="878">
        <f>O52*$Q$50*M52+O52*(1-$Q$50)*K52</f>
        <v>612066.23761882528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315.68042050544091</v>
      </c>
      <c r="K54" s="876">
        <f>$M$32*(H52+(G54-F54)*H54)*$B$51*$C$51</f>
        <v>26.306701708786743</v>
      </c>
      <c r="L54" s="875">
        <f t="shared" ref="L54:M58" si="1">J54*$D$51</f>
        <v>394.60052563180113</v>
      </c>
      <c r="M54" s="876">
        <f t="shared" si="1"/>
        <v>32.88337713598343</v>
      </c>
      <c r="N54" s="1059"/>
      <c r="O54" s="877">
        <v>42500</v>
      </c>
      <c r="P54" s="1059"/>
      <c r="Q54" s="878">
        <f>O54*$Q$50*M54+O54*(1-$Q$50)*K54</f>
        <v>1327666.3518653309</v>
      </c>
      <c r="R54" s="1059"/>
      <c r="S54" s="879">
        <f>IF(AND(Q54&lt;&gt;0,O54&lt;&gt;0),Q54*(1-D17-D18-D19)/O54/30/(($D$25*1000000/$D$8))*1000,0)</f>
        <v>4.9865122538258184</v>
      </c>
      <c r="T54" s="1059" t="s">
        <v>459</v>
      </c>
      <c r="U54" s="880">
        <f>S54*O54*30*$D$11*(1+$D$24)/1000</f>
        <v>654721.48329042783</v>
      </c>
      <c r="V54" s="1059" t="s">
        <v>460</v>
      </c>
      <c r="W54" s="898">
        <f>IF(O54&lt;&gt;0,U54/O54,0)</f>
        <v>15.405211371539478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541.16643515218448</v>
      </c>
      <c r="K55" s="876">
        <f>$M$32*(H52+(G54-F54)*H54+(G55-F55)*H55)*$B$51*$C$51</f>
        <v>45.097202929348704</v>
      </c>
      <c r="L55" s="875">
        <f t="shared" si="1"/>
        <v>676.4580439402306</v>
      </c>
      <c r="M55" s="876">
        <f t="shared" si="1"/>
        <v>56.371503661685878</v>
      </c>
      <c r="N55" s="1059"/>
      <c r="O55" s="877">
        <v>10000</v>
      </c>
      <c r="P55" s="1059"/>
      <c r="Q55" s="878">
        <f>O55*$Q$50*M55+O55*(1-$Q$50)*K55</f>
        <v>535529.28478601587</v>
      </c>
      <c r="R55" s="1059"/>
      <c r="S55" s="879">
        <f>IF(AND(Q55&lt;&gt;0,O55&lt;&gt;0),Q55*(1-D17-D18-D19)/O55/30/(($D$25*1000000/$D$8))*1000,0)</f>
        <v>8.5483067208442591</v>
      </c>
      <c r="T55" s="1059" t="s">
        <v>459</v>
      </c>
      <c r="U55" s="880">
        <f>S55*O55*30*$D$11*(1+$D$24)/1000</f>
        <v>264089.33779781958</v>
      </c>
      <c r="V55" s="1059" t="s">
        <v>460</v>
      </c>
      <c r="W55" s="899">
        <f>IF(O55&lt;&gt;0,U55/O55,0)</f>
        <v>26.408933779781957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892.92461800110425</v>
      </c>
      <c r="K56" s="876">
        <f>$M$32*(H52+(G54-F54)*H54+(G55-F55)*H55+(G56-F56)*H56)*$B$51*$C$51</f>
        <v>74.410384833425368</v>
      </c>
      <c r="L56" s="875">
        <f t="shared" si="1"/>
        <v>1116.1557725013804</v>
      </c>
      <c r="M56" s="876">
        <f t="shared" si="1"/>
        <v>93.012981041781714</v>
      </c>
      <c r="N56" s="1059"/>
      <c r="O56" s="877">
        <v>12500</v>
      </c>
      <c r="P56" s="1059"/>
      <c r="Q56" s="878">
        <f>O56*$Q$50*M56+O56*(1-$Q$50)*K56</f>
        <v>1104529.1498711579</v>
      </c>
      <c r="R56" s="1059"/>
      <c r="S56" s="879">
        <f>IF(AND(Q56&lt;&gt;0,O56&lt;&gt;0),Q56*(1-D17-D18-D19)/O56/30/(($D$25*1000000/$D$8))*1000,0)</f>
        <v>14.104706089393034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1839.9658795174271</v>
      </c>
      <c r="K57" s="876">
        <f>$M$32*(H52+(G54-F54)*H54+(G55-F55)*H55+(G56-F56)*H56+(G57-F57)*H57)*$B$51*$C$51</f>
        <v>153.33048995978558</v>
      </c>
      <c r="L57" s="875">
        <f t="shared" si="1"/>
        <v>2299.9573493967837</v>
      </c>
      <c r="M57" s="876">
        <f t="shared" si="1"/>
        <v>191.66311244973198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3869.340011338119</v>
      </c>
      <c r="K58" s="876">
        <f>$M$32*(H52+(G54-F54)*H54+(G55-F55)*H55+(G56-F56)*H56+(G57-F57)*H57+(G58-F58)*H58)*$B$51*$C$51</f>
        <v>322.44500094484317</v>
      </c>
      <c r="L58" s="875">
        <f t="shared" si="1"/>
        <v>4836.6750141726488</v>
      </c>
      <c r="M58" s="876">
        <f t="shared" si="1"/>
        <v>403.05625118105399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9.876734793307433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419237.7617715206</v>
      </c>
      <c r="R62" s="1059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413483.35574335721</v>
      </c>
      <c r="V62" s="1059" t="s">
        <v>449</v>
      </c>
      <c r="W62" s="1283">
        <f>W65*O65+W67*O67+W68*O68+W69*O69+W70*O70+W71*O71</f>
        <v>413483.35574335721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49.606923222283584</v>
      </c>
      <c r="K65" s="876">
        <f>$M$32*H65*$B$64*$C$64</f>
        <v>4.1339102685236311</v>
      </c>
      <c r="L65" s="875">
        <f>J65*$D$51</f>
        <v>62.008654027854476</v>
      </c>
      <c r="M65" s="876">
        <f>K65*$D$51</f>
        <v>5.1673878356545391</v>
      </c>
      <c r="N65" s="1059"/>
      <c r="O65" s="877">
        <v>25947</v>
      </c>
      <c r="P65" s="1059"/>
      <c r="Q65" s="878">
        <f>O65*$Q$63*M65+O65*(1-$Q$63)*K65</f>
        <v>127374.30156314191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157.84021025272045</v>
      </c>
      <c r="K67" s="876">
        <f>$M$32*(H65+(G67-F67)*H67)*$B$64*$C$64</f>
        <v>13.153350854393372</v>
      </c>
      <c r="L67" s="875">
        <f t="shared" ref="L67:M71" si="3">J67*$D$51</f>
        <v>197.30026281590057</v>
      </c>
      <c r="M67" s="876">
        <f t="shared" si="3"/>
        <v>16.441688567991715</v>
      </c>
      <c r="N67" s="1059"/>
      <c r="O67" s="877">
        <v>15000</v>
      </c>
      <c r="P67" s="1059"/>
      <c r="Q67" s="878">
        <f>O67*$Q$63*M67+O67*(1-$Q$63)*K67</f>
        <v>234294.06209388195</v>
      </c>
      <c r="R67" s="1059"/>
      <c r="S67" s="879">
        <f>IF(AND(Q67&lt;&gt;0,O67&lt;&gt;0),Q67*(1-D17-D18-D19)/O67/30/(H15)/(($D$25*1000000/$D$8))*1000,0)</f>
        <v>4.9865122538258193</v>
      </c>
      <c r="T67" s="1059" t="s">
        <v>459</v>
      </c>
      <c r="U67" s="880">
        <f>S67*O67*30*$D$11*(1+$D$24)/1000</f>
        <v>231078.17057309221</v>
      </c>
      <c r="V67" s="1059" t="s">
        <v>460</v>
      </c>
      <c r="W67" s="880">
        <f>IF(O67&lt;&gt;0,U67/O67,0)</f>
        <v>15.405211371539481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270.58321757609224</v>
      </c>
      <c r="K68" s="876">
        <f>$M$32*(H65+(G67-F67)*H67+(G68-F68)*H68)*$B$64*$C$64</f>
        <v>22.548601464674352</v>
      </c>
      <c r="L68" s="875">
        <f t="shared" si="3"/>
        <v>338.2290219701153</v>
      </c>
      <c r="M68" s="876">
        <f t="shared" si="3"/>
        <v>28.185751830842939</v>
      </c>
      <c r="N68" s="1059"/>
      <c r="O68" s="877">
        <v>500</v>
      </c>
      <c r="P68" s="1059"/>
      <c r="Q68" s="878">
        <f>O68*$Q$63*M68+O68*(1-$Q$63)*K68</f>
        <v>13388.232119650396</v>
      </c>
      <c r="R68" s="1059"/>
      <c r="S68" s="879">
        <f>IF(AND(Q68&lt;&gt;0,O68&lt;&gt;0),Q68*(1-D17-D18-D19)/O68/30/(H15)/(($D$25*1000000/$D$8))*1000,0)</f>
        <v>8.5483067208442609</v>
      </c>
      <c r="T68" s="1059" t="s">
        <v>459</v>
      </c>
      <c r="U68" s="880">
        <f>S68*O68*30*$D$11*(1+$D$24)/1000</f>
        <v>13204.466889890982</v>
      </c>
      <c r="V68" s="1059" t="s">
        <v>460</v>
      </c>
      <c r="W68" s="880">
        <f>IF(O68&lt;&gt;0,U68/O68,0)</f>
        <v>26.408933779781965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446.46230900055212</v>
      </c>
      <c r="K69" s="876">
        <f>$M$32*(H65+(G67-F67)*H67+(G68-F68)*H68+(G69-F69)*H69)*$B$64*$C$64</f>
        <v>37.205192416712684</v>
      </c>
      <c r="L69" s="875">
        <f t="shared" si="3"/>
        <v>558.0778862506902</v>
      </c>
      <c r="M69" s="876">
        <f t="shared" si="3"/>
        <v>46.506490520890857</v>
      </c>
      <c r="N69" s="1059"/>
      <c r="O69" s="877">
        <v>1000</v>
      </c>
      <c r="P69" s="1059"/>
      <c r="Q69" s="878">
        <f>O69*$Q$63*M69+O69*(1-$Q$63)*K69</f>
        <v>44181.16599484632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919.98293975871354</v>
      </c>
      <c r="K70" s="876">
        <f>$M$32*(H65+(G67-F67)*H67+(G68-F68)*H68+(G69-F69)*H69+(G70-F70)*H70)*$B$64*$C$64</f>
        <v>76.66524497989279</v>
      </c>
      <c r="L70" s="875">
        <f t="shared" si="3"/>
        <v>1149.9786746983918</v>
      </c>
      <c r="M70" s="876">
        <f t="shared" si="3"/>
        <v>95.831556224865992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1934.6700056690595</v>
      </c>
      <c r="K71" s="876">
        <f>$M$32*(H65+(G67-F67)*H67+(G68-F68)*H68+(G69-F69)*H69+(G70-F70)*H70+(G71-F71)*H71)*$B$64*$C$64</f>
        <v>161.22250047242159</v>
      </c>
      <c r="L71" s="875">
        <f t="shared" si="3"/>
        <v>2418.3375070863244</v>
      </c>
      <c r="M71" s="876">
        <f t="shared" si="3"/>
        <v>201.528125590527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39.039699457860863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67968.116756135758</v>
      </c>
      <c r="R75" s="1059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059" t="s">
        <v>449</v>
      </c>
      <c r="W75" s="1283">
        <f>W78*O78+W80*O80+W81*O81+W82*O82+W83*O83+W84*O84</f>
        <v>33517.597366622103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95.499959144503151</v>
      </c>
      <c r="K78" s="876">
        <f>$M$32*H78*$B$77*$C$77</f>
        <v>7.9583299287085953</v>
      </c>
      <c r="L78" s="875">
        <f>J78*$D$77</f>
        <v>119.37494893062893</v>
      </c>
      <c r="M78" s="876">
        <f>K78*$D$77</f>
        <v>9.9479124108857437</v>
      </c>
      <c r="N78" s="1059"/>
      <c r="O78" s="877">
        <v>264</v>
      </c>
      <c r="P78" s="1059"/>
      <c r="Q78" s="878">
        <f>O78*$Q$76*M78+O78*(1-$Q$76)*K78</f>
        <v>2494.9364326501445</v>
      </c>
      <c r="R78" s="1059"/>
      <c r="S78" s="879">
        <f>IF(AND(Q78&lt;&gt;0,O78&lt;&gt;0),Q78*(1-D17-D18-D19)/O78/30/(($D$25*1000000/$D$8))*1000,0)</f>
        <v>1.5085247154431047</v>
      </c>
      <c r="T78" s="1059" t="s">
        <v>459</v>
      </c>
      <c r="U78" s="880">
        <f>S78*O78*30*$D$11*(1+$D$24)/1000</f>
        <v>1230.3456207992538</v>
      </c>
      <c r="V78" s="1059" t="s">
        <v>460</v>
      </c>
      <c r="W78" s="880">
        <f>IF(O78&lt;&gt;0,U78/O78,0)</f>
        <v>4.6604000787850524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350.16651686317817</v>
      </c>
      <c r="K80" s="876">
        <f>$M$32*(H78+(G80-F80)*H80)*$B$77*$C$77</f>
        <v>29.180543071931517</v>
      </c>
      <c r="L80" s="875">
        <f t="shared" ref="L80:M84" si="4">J80*$D$77</f>
        <v>437.70814607897273</v>
      </c>
      <c r="M80" s="876">
        <f t="shared" si="4"/>
        <v>36.475678839914394</v>
      </c>
      <c r="N80" s="1059"/>
      <c r="O80" s="877">
        <v>994</v>
      </c>
      <c r="P80" s="1059"/>
      <c r="Q80" s="878">
        <f>O80*$Q$76*M80+O80*(1-$Q$76)*K80</f>
        <v>34443.983528531164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530.55532858057302</v>
      </c>
      <c r="K81" s="876">
        <f>$M$32*(H78+(G80-F80)*H80+(G81-F81)*H81)*$B$77*$C$77</f>
        <v>44.212944048381082</v>
      </c>
      <c r="L81" s="875">
        <f t="shared" si="4"/>
        <v>663.1941607257163</v>
      </c>
      <c r="M81" s="876">
        <f t="shared" si="4"/>
        <v>55.266180060476351</v>
      </c>
      <c r="N81" s="1059"/>
      <c r="O81" s="877">
        <v>183</v>
      </c>
      <c r="P81" s="1059"/>
      <c r="Q81" s="878">
        <f>O81*$Q$76*M81+O81*(1-$Q$76)*K81</f>
        <v>9608.0254035138132</v>
      </c>
      <c r="R81" s="1059"/>
      <c r="S81" s="879">
        <f>IF(AND(Q81&lt;&gt;0,O81&lt;&gt;0),Q81*(1-D17-D18-D19)/O81/30/(($D$25*1000000/$D$8))*1000,0)</f>
        <v>8.3806928635728042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721.55524686957926</v>
      </c>
      <c r="K82" s="876">
        <f>$M$32*(H78+(G80-F80)*H80+(G81-F81)*H81+(G82-F82)*H82)*$B$77*$C$77</f>
        <v>60.129603905798277</v>
      </c>
      <c r="L82" s="875">
        <f t="shared" si="4"/>
        <v>901.94405858697405</v>
      </c>
      <c r="M82" s="876">
        <f t="shared" si="4"/>
        <v>75.162004882247842</v>
      </c>
      <c r="N82" s="1059"/>
      <c r="O82" s="877">
        <v>300</v>
      </c>
      <c r="P82" s="1059"/>
      <c r="Q82" s="878">
        <f>O82*$Q$76*M82+O82*(1-$Q$76)*K82</f>
        <v>21421.171391440635</v>
      </c>
      <c r="R82" s="1059"/>
      <c r="S82" s="879">
        <f>IF(AND(Q82&lt;&gt;0,O82&lt;&gt;0),Q82*(1-D17-D18-D19)/O82/30/(($D$25*1000000/$D$8))*1000,0)</f>
        <v>11.397742294459016</v>
      </c>
      <c r="T82" s="1059" t="s">
        <v>459</v>
      </c>
      <c r="U82" s="880">
        <f>S82*O82*30*$D$11*(1+$D$24)/1000</f>
        <v>10563.573511912788</v>
      </c>
      <c r="V82" s="1059" t="s">
        <v>460</v>
      </c>
      <c r="W82" s="880">
        <f>IF(O82&lt;&gt;0,U82/O82,0)</f>
        <v>35.211911706375957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1023.9717841605059</v>
      </c>
      <c r="K83" s="876">
        <f>$M$32*(H78+(G80-F80)*H80+(G81-F81)*H81+(G82-F82)*H82+(G83-F83)*H83)*$B$77*$C$77</f>
        <v>85.33098201337549</v>
      </c>
      <c r="L83" s="875">
        <f t="shared" si="4"/>
        <v>1279.9647302006324</v>
      </c>
      <c r="M83" s="876">
        <f t="shared" si="4"/>
        <v>106.66372751671936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1978.9713756055371</v>
      </c>
      <c r="K84" s="876">
        <f>$M$32*(H78+(G80-F80)*H80+(G81-F81)*H81+(G82-F82)*H82+(G83-F83)*H83+(G84-F84)*H84)*$B$77*$C$77</f>
        <v>164.91428130046143</v>
      </c>
      <c r="L84" s="875">
        <f t="shared" si="4"/>
        <v>2473.7142195069214</v>
      </c>
      <c r="M84" s="876">
        <f t="shared" si="4"/>
        <v>206.14285162557678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84.792136757785855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1695.842735155717</v>
      </c>
      <c r="R88" s="1059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836.28290302642904</v>
      </c>
      <c r="V88" s="1059" t="s">
        <v>449</v>
      </c>
      <c r="W88" s="1283">
        <f>W91*O91+W93*O93+W94*O94+W95*O95+W96*O96</f>
        <v>836.28290302642904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74.277746001280221</v>
      </c>
      <c r="K91" s="876">
        <f>$M$32*H91*$B$90*$C$90</f>
        <v>6.1898121667733506</v>
      </c>
      <c r="L91" s="875">
        <f>J91*$D$90</f>
        <v>92.847182501600273</v>
      </c>
      <c r="M91" s="876">
        <f>K91*$D$90</f>
        <v>7.7372652084666882</v>
      </c>
      <c r="N91" s="1059"/>
      <c r="O91" s="877">
        <v>1</v>
      </c>
      <c r="P91" s="1059"/>
      <c r="Q91" s="878">
        <f>O91*$Q$76*M91+O91*(1-$Q$76)*K91</f>
        <v>7.3504019480433538</v>
      </c>
      <c r="R91" s="1059"/>
      <c r="S91" s="879">
        <f>IF(AND(Q91&lt;&gt;0,O91&lt;&gt;0),Q91*(1-D17-D18-D19)/O91/30/(($D$25*1000000/$D$8))*1000,0)</f>
        <v>1.1732970009001924</v>
      </c>
      <c r="T91" s="1059" t="s">
        <v>459</v>
      </c>
      <c r="U91" s="880">
        <f>S91*O91*30*$D$11*(1+$D$24)/1000</f>
        <v>3.6247556168328177</v>
      </c>
      <c r="V91" s="1059" t="s">
        <v>460</v>
      </c>
      <c r="W91" s="880">
        <f>IF(O91&lt;&gt;0,U91/O91,0)</f>
        <v>3.6247556168328177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233.44434457545216</v>
      </c>
      <c r="K93" s="876">
        <f>$M$32*(H91+(G93-F93)*H93)*$B$90*$C$90</f>
        <v>19.45369538128768</v>
      </c>
      <c r="L93" s="875">
        <f t="shared" ref="L93:M96" si="5">J93*$D$90</f>
        <v>291.80543071931521</v>
      </c>
      <c r="M93" s="876">
        <f t="shared" si="5"/>
        <v>24.317119226609599</v>
      </c>
      <c r="N93" s="1059"/>
      <c r="O93" s="877">
        <v>2</v>
      </c>
      <c r="P93" s="1059"/>
      <c r="Q93" s="878">
        <f>O93*$Q$76*M93+O93*(1-$Q$76)*K93</f>
        <v>46.202526530558231</v>
      </c>
      <c r="R93" s="1059"/>
      <c r="S93" s="879">
        <f>IF(AND(Q93&lt;&gt;0,O93&lt;&gt;0),Q93*(1-D17-D18-D19)/O93/30/(($D$25*1000000/$D$8))*1000,0)</f>
        <v>3.6875048599720341</v>
      </c>
      <c r="T93" s="1059" t="s">
        <v>459</v>
      </c>
      <c r="U93" s="880">
        <f>S93*O93*30*$D$11*(1+$D$24)/1000</f>
        <v>22.784178162949146</v>
      </c>
      <c r="V93" s="1059" t="s">
        <v>460</v>
      </c>
      <c r="W93" s="880">
        <f>IF(O93&lt;&gt;0,U93/O93,0)</f>
        <v>11.392089081474573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976.22180458825437</v>
      </c>
      <c r="K94" s="876">
        <f>$M$32*(H91+(G93-F93)*H93+(G94-F94)*H94)*$B$90*$C$90</f>
        <v>81.351817049021193</v>
      </c>
      <c r="L94" s="875">
        <f t="shared" si="5"/>
        <v>1220.277255735318</v>
      </c>
      <c r="M94" s="876">
        <f t="shared" si="5"/>
        <v>101.68977131127649</v>
      </c>
      <c r="N94" s="1059"/>
      <c r="O94" s="877">
        <v>17</v>
      </c>
      <c r="P94" s="1059"/>
      <c r="Q94" s="878">
        <f>O94*$Q$76*M94+O94*(1-$Q$76)*K94</f>
        <v>1642.2898066771154</v>
      </c>
      <c r="R94" s="1059"/>
      <c r="S94" s="879">
        <f>IF(AND(Q94&lt;&gt;0,O94&lt;&gt;0),Q94*(1-D17-D18-D19)/O94/30/(($D$25*1000000/$D$8))*1000,0)</f>
        <v>15.420474868973963</v>
      </c>
      <c r="T94" s="1059" t="s">
        <v>459</v>
      </c>
      <c r="U94" s="880">
        <f>S94*O94*30*$D$11*(1+$D$24)/1000</f>
        <v>809.87396924664711</v>
      </c>
      <c r="V94" s="1059" t="s">
        <v>460</v>
      </c>
      <c r="W94" s="880">
        <f>IF(O94&lt;&gt;0,U94/O94,0)</f>
        <v>47.639645249802768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5645.1086960972971</v>
      </c>
      <c r="K95" s="876">
        <f>$M$32*(H91+(G93-F93)*H93+(G94-F94)*H94+(G95-F95)*H95)*$B$90*$C$90</f>
        <v>470.42572467477476</v>
      </c>
      <c r="L95" s="875">
        <f t="shared" si="5"/>
        <v>7056.3858701216213</v>
      </c>
      <c r="M95" s="876">
        <f t="shared" si="5"/>
        <v>588.03215584346844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12011.772639064173</v>
      </c>
      <c r="K96" s="876">
        <f>$M$32*(H91+(G93-F93)*H93+(G94-F94)*H94+(G95-F95)*H95+(G96-F96)*H96)*$B$90*$C$90</f>
        <v>1000.9810532553477</v>
      </c>
      <c r="L96" s="875">
        <f t="shared" si="5"/>
        <v>15014.715798830217</v>
      </c>
      <c r="M96" s="876">
        <f t="shared" si="5"/>
        <v>1251.2263165691845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347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3" t="s">
        <v>350</v>
      </c>
      <c r="C18" s="1354"/>
      <c r="D18" s="1355"/>
    </row>
    <row r="19" spans="2:5" ht="15" hidden="1" customHeight="1" outlineLevel="1" x14ac:dyDescent="0.25">
      <c r="B19" s="572" t="s">
        <v>348</v>
      </c>
      <c r="C19" s="693">
        <f>'Demanda Preço &amp; Quantidade'!C103</f>
        <v>4500000</v>
      </c>
      <c r="D19" s="575" t="s">
        <v>349</v>
      </c>
    </row>
    <row r="20" spans="2:5" hidden="1" outlineLevel="1" x14ac:dyDescent="0.25">
      <c r="B20" s="67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67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8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49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0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191.20891046015885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206.22377707458494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47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32.893736680270898</v>
      </c>
      <c r="B18" s="173" t="s">
        <v>638</v>
      </c>
      <c r="C18" s="174">
        <f>SUMIF($D$15:$BG$15,1,D18:BG18)</f>
        <v>290.13113369405085</v>
      </c>
      <c r="D18" s="175">
        <v>80.168278475524787</v>
      </c>
      <c r="E18" s="20">
        <v>98.638342339680605</v>
      </c>
      <c r="F18" s="20">
        <v>111.32451287884543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29.974245197986964</v>
      </c>
      <c r="B19" s="176" t="s">
        <v>52</v>
      </c>
      <c r="C19" s="169">
        <f>SUMIF($D$15:$BG$15,1,D19:BG19)</f>
        <v>264.38047539097033</v>
      </c>
      <c r="D19" s="175">
        <f t="shared" ref="D19:AJ19" si="0">NPV($C$8,D18:D18)</f>
        <v>73.052923706510654</v>
      </c>
      <c r="E19" s="20">
        <f t="shared" si="0"/>
        <v>89.883672625916361</v>
      </c>
      <c r="F19" s="20">
        <f t="shared" si="0"/>
        <v>101.44387905854332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1151.2807838094814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127.75247157604593</v>
      </c>
      <c r="B21" s="173" t="s">
        <v>639</v>
      </c>
      <c r="C21" s="174">
        <f>SUMIF($D$15:$BG$15,1,D21:BG21)</f>
        <v>1126.8093306287744</v>
      </c>
      <c r="D21" s="175">
        <v>2.8539179102080001</v>
      </c>
      <c r="E21" s="20">
        <v>2.8539179102080001</v>
      </c>
      <c r="F21" s="20">
        <v>2.8539179102080001</v>
      </c>
      <c r="G21" s="20">
        <v>34.945236778067212</v>
      </c>
      <c r="H21" s="20">
        <v>34.945236778067212</v>
      </c>
      <c r="I21" s="20">
        <v>34.945236778067212</v>
      </c>
      <c r="J21" s="20">
        <v>34.945236778067212</v>
      </c>
      <c r="K21" s="20">
        <v>34.945236778067212</v>
      </c>
      <c r="L21" s="20">
        <v>34.945236778067212</v>
      </c>
      <c r="M21" s="20">
        <v>34.945236778067212</v>
      </c>
      <c r="N21" s="20">
        <v>34.945236778067212</v>
      </c>
      <c r="O21" s="20">
        <v>34.945236778067212</v>
      </c>
      <c r="P21" s="20">
        <v>34.945236778067212</v>
      </c>
      <c r="Q21" s="20">
        <v>34.945236778067212</v>
      </c>
      <c r="R21" s="20">
        <v>34.945236778067212</v>
      </c>
      <c r="S21" s="20">
        <v>34.945236778067212</v>
      </c>
      <c r="T21" s="20">
        <v>34.945236778067212</v>
      </c>
      <c r="U21" s="20">
        <v>34.945236778067212</v>
      </c>
      <c r="V21" s="20">
        <v>34.945236778067212</v>
      </c>
      <c r="W21" s="20">
        <v>34.945236778067212</v>
      </c>
      <c r="X21" s="20">
        <v>34.945236778067212</v>
      </c>
      <c r="Y21" s="20">
        <v>34.945236778067212</v>
      </c>
      <c r="Z21" s="20">
        <v>34.945236778067212</v>
      </c>
      <c r="AA21" s="20">
        <v>34.945236778067212</v>
      </c>
      <c r="AB21" s="20">
        <v>34.945236778067212</v>
      </c>
      <c r="AC21" s="20">
        <v>34.945236778067212</v>
      </c>
      <c r="AD21" s="20">
        <v>34.945236778067212</v>
      </c>
      <c r="AE21" s="20">
        <v>34.945236778067212</v>
      </c>
      <c r="AF21" s="20">
        <v>34.945236778067212</v>
      </c>
      <c r="AG21" s="20">
        <v>34.945236778067212</v>
      </c>
      <c r="AH21" s="20">
        <v>34.945236778067212</v>
      </c>
      <c r="AI21" s="20">
        <v>34.945236778067212</v>
      </c>
      <c r="AJ21" s="20">
        <v>34.945236778067212</v>
      </c>
      <c r="AK21" s="20">
        <v>34.945236778067212</v>
      </c>
      <c r="AL21" s="20">
        <v>34.945236778067212</v>
      </c>
      <c r="AM21" s="20">
        <v>34.945236778067212</v>
      </c>
      <c r="AN21" s="20">
        <v>34.945236778067212</v>
      </c>
      <c r="AO21" s="20">
        <v>34.945236778067212</v>
      </c>
      <c r="AP21" s="20">
        <v>34.945236778067212</v>
      </c>
      <c r="AQ21" s="20">
        <v>34.945236778067212</v>
      </c>
      <c r="AR21" s="20">
        <v>34.945236778067212</v>
      </c>
      <c r="AS21" s="20">
        <v>34.945236778067212</v>
      </c>
      <c r="AT21" s="20">
        <v>34.945236778067212</v>
      </c>
      <c r="AU21" s="20">
        <v>34.945236778067212</v>
      </c>
      <c r="AV21" s="20">
        <v>34.945236778067212</v>
      </c>
      <c r="AW21" s="20">
        <v>34.945236778067212</v>
      </c>
      <c r="AX21" s="20">
        <v>34.945236778067212</v>
      </c>
      <c r="AY21" s="20">
        <v>34.945236778067212</v>
      </c>
      <c r="AZ21" s="20">
        <v>34.945236778067212</v>
      </c>
      <c r="BA21" s="20">
        <v>34.945236778067212</v>
      </c>
      <c r="BB21" s="20">
        <v>34.945236778067212</v>
      </c>
      <c r="BC21" s="20">
        <v>34.945236778067212</v>
      </c>
      <c r="BD21" s="20">
        <v>34.945236778067212</v>
      </c>
      <c r="BE21" s="20">
        <v>34.945236778067212</v>
      </c>
      <c r="BF21" s="20">
        <v>34.945236778067212</v>
      </c>
      <c r="BG21" s="20">
        <v>34.945236778067212</v>
      </c>
      <c r="BH21" s="20">
        <v>0</v>
      </c>
    </row>
    <row r="22" spans="1:60" ht="15" hidden="1" customHeight="1" outlineLevel="1" x14ac:dyDescent="0.25">
      <c r="A22" s="172">
        <f>C22*1000000/$C$16</f>
        <v>109.19319334297647</v>
      </c>
      <c r="B22" s="176" t="s">
        <v>53</v>
      </c>
      <c r="C22" s="169">
        <f>SUMIF($D$15:$BG$15,1,D22:BG22)</f>
        <v>963.11177061476212</v>
      </c>
      <c r="D22" s="175">
        <f t="shared" ref="D22:AJ22" si="1">NPV($C$8,D21:D21)</f>
        <v>2.6006177421250229</v>
      </c>
      <c r="E22" s="20">
        <f t="shared" si="1"/>
        <v>2.6006177421250229</v>
      </c>
      <c r="F22" s="20">
        <f t="shared" si="1"/>
        <v>2.6006177421250229</v>
      </c>
      <c r="G22" s="20">
        <f t="shared" si="1"/>
        <v>31.843663912946248</v>
      </c>
      <c r="H22" s="20">
        <f t="shared" si="1"/>
        <v>31.843663912946248</v>
      </c>
      <c r="I22" s="20">
        <f t="shared" si="1"/>
        <v>31.843663912946248</v>
      </c>
      <c r="J22" s="20">
        <f t="shared" si="1"/>
        <v>31.843663912946248</v>
      </c>
      <c r="K22" s="20">
        <f t="shared" si="1"/>
        <v>31.843663912946248</v>
      </c>
      <c r="L22" s="20">
        <f t="shared" si="1"/>
        <v>31.843663912946248</v>
      </c>
      <c r="M22" s="20">
        <f t="shared" si="1"/>
        <v>31.843663912946248</v>
      </c>
      <c r="N22" s="20">
        <f t="shared" si="1"/>
        <v>31.843663912946248</v>
      </c>
      <c r="O22" s="20">
        <f t="shared" si="1"/>
        <v>31.843663912946248</v>
      </c>
      <c r="P22" s="20">
        <f t="shared" si="1"/>
        <v>31.843663912946248</v>
      </c>
      <c r="Q22" s="20">
        <f t="shared" si="1"/>
        <v>31.843663912946248</v>
      </c>
      <c r="R22" s="20">
        <f t="shared" si="1"/>
        <v>31.843663912946248</v>
      </c>
      <c r="S22" s="20">
        <f t="shared" si="1"/>
        <v>31.843663912946248</v>
      </c>
      <c r="T22" s="20">
        <f t="shared" si="1"/>
        <v>31.843663912946248</v>
      </c>
      <c r="U22" s="20">
        <f t="shared" si="1"/>
        <v>31.843663912946248</v>
      </c>
      <c r="V22" s="20">
        <f t="shared" si="1"/>
        <v>31.843663912946248</v>
      </c>
      <c r="W22" s="20">
        <f t="shared" si="1"/>
        <v>31.843663912946248</v>
      </c>
      <c r="X22" s="20">
        <f t="shared" si="1"/>
        <v>31.843663912946248</v>
      </c>
      <c r="Y22" s="20">
        <f t="shared" si="1"/>
        <v>31.843663912946248</v>
      </c>
      <c r="Z22" s="20">
        <f t="shared" si="1"/>
        <v>31.843663912946248</v>
      </c>
      <c r="AA22" s="20">
        <f t="shared" si="1"/>
        <v>31.843663912946248</v>
      </c>
      <c r="AB22" s="20">
        <f t="shared" si="1"/>
        <v>31.843663912946248</v>
      </c>
      <c r="AC22" s="20">
        <f t="shared" si="1"/>
        <v>31.843663912946248</v>
      </c>
      <c r="AD22" s="20">
        <f t="shared" si="1"/>
        <v>31.843663912946248</v>
      </c>
      <c r="AE22" s="20">
        <f t="shared" si="1"/>
        <v>31.843663912946248</v>
      </c>
      <c r="AF22" s="20">
        <f t="shared" si="1"/>
        <v>31.843663912946248</v>
      </c>
      <c r="AG22" s="20">
        <f t="shared" si="1"/>
        <v>31.843663912946248</v>
      </c>
      <c r="AH22" s="20">
        <f t="shared" si="1"/>
        <v>31.843663912946248</v>
      </c>
      <c r="AI22" s="20">
        <f t="shared" si="1"/>
        <v>31.843663912946248</v>
      </c>
      <c r="AJ22" s="20">
        <f t="shared" si="1"/>
        <v>31.843663912946248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127.75247157604593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163.9616407195862</v>
      </c>
      <c r="B27" s="173" t="s">
        <v>640</v>
      </c>
      <c r="C27" s="174">
        <f>SUMIF($D$15:$BG$15,1,D27:BG27)</f>
        <v>1446.1834229019682</v>
      </c>
      <c r="D27" s="175">
        <v>38.428411166668589</v>
      </c>
      <c r="E27" s="20">
        <v>38.609024699151924</v>
      </c>
      <c r="F27" s="20">
        <v>38.790487115237937</v>
      </c>
      <c r="G27" s="20">
        <v>38.972802404679548</v>
      </c>
      <c r="H27" s="20">
        <v>39.155974575981546</v>
      </c>
      <c r="I27" s="20">
        <v>39.340007656488659</v>
      </c>
      <c r="J27" s="20">
        <v>39.524905692474142</v>
      </c>
      <c r="K27" s="20">
        <v>39.710672749228777</v>
      </c>
      <c r="L27" s="20">
        <v>39.897312911150145</v>
      </c>
      <c r="M27" s="20">
        <v>40.084830281832545</v>
      </c>
      <c r="N27" s="20">
        <v>40.27322898415715</v>
      </c>
      <c r="O27" s="20">
        <v>40.462513160382692</v>
      </c>
      <c r="P27" s="20">
        <v>40.652686972236481</v>
      </c>
      <c r="Q27" s="20">
        <v>40.84375460100599</v>
      </c>
      <c r="R27" s="20">
        <v>41.035720247630721</v>
      </c>
      <c r="S27" s="20">
        <v>40.652686972236481</v>
      </c>
      <c r="T27" s="20">
        <v>40.84375460100599</v>
      </c>
      <c r="U27" s="20">
        <v>41.035720247630721</v>
      </c>
      <c r="V27" s="20">
        <v>41.228588132794592</v>
      </c>
      <c r="W27" s="20">
        <v>41.422362497018717</v>
      </c>
      <c r="X27" s="20">
        <v>41.617047600754702</v>
      </c>
      <c r="Y27" s="20">
        <v>41.812647724478246</v>
      </c>
      <c r="Z27" s="20">
        <v>42.009167168783286</v>
      </c>
      <c r="AA27" s="20">
        <v>42.206610254476573</v>
      </c>
      <c r="AB27" s="20">
        <v>42.404981322672604</v>
      </c>
      <c r="AC27" s="20">
        <v>42.604284734889163</v>
      </c>
      <c r="AD27" s="20">
        <v>42.804524873143144</v>
      </c>
      <c r="AE27" s="20">
        <v>43.005706140046911</v>
      </c>
      <c r="AF27" s="20">
        <v>43.207832958905122</v>
      </c>
      <c r="AG27" s="20">
        <v>43.41090977381198</v>
      </c>
      <c r="AH27" s="20">
        <v>43.614941049748893</v>
      </c>
      <c r="AI27" s="20">
        <v>43.819931272682709</v>
      </c>
      <c r="AJ27" s="20">
        <v>44.025884949664309</v>
      </c>
      <c r="AK27" s="20">
        <v>44.232806608927724</v>
      </c>
      <c r="AL27" s="20">
        <v>44.440700799989685</v>
      </c>
      <c r="AM27" s="20">
        <v>44.64957209374964</v>
      </c>
      <c r="AN27" s="20">
        <v>44.859425082590271</v>
      </c>
      <c r="AO27" s="20">
        <v>45.070264380478427</v>
      </c>
      <c r="AP27" s="20">
        <v>45.282094623066676</v>
      </c>
      <c r="AQ27" s="20">
        <v>45.494920467795083</v>
      </c>
      <c r="AR27" s="20">
        <v>45.708746593993716</v>
      </c>
      <c r="AS27" s="20">
        <v>45.923577702985483</v>
      </c>
      <c r="AT27" s="20">
        <v>46.139418518189508</v>
      </c>
      <c r="AU27" s="20">
        <v>46.356273785225</v>
      </c>
      <c r="AV27" s="20">
        <v>46.574148272015549</v>
      </c>
      <c r="AW27" s="20">
        <v>46.793046768894015</v>
      </c>
      <c r="AX27" s="20">
        <v>47.012974088707821</v>
      </c>
      <c r="AY27" s="20">
        <v>47.233935066924744</v>
      </c>
      <c r="AZ27" s="20">
        <v>47.455934561739284</v>
      </c>
      <c r="BA27" s="20">
        <v>47.678977454179453</v>
      </c>
      <c r="BB27" s="20">
        <v>47.903068648214095</v>
      </c>
      <c r="BC27" s="20">
        <v>48.128213070860696</v>
      </c>
      <c r="BD27" s="20">
        <v>48.35441567229374</v>
      </c>
      <c r="BE27" s="20">
        <v>48.581681425953512</v>
      </c>
      <c r="BF27" s="20">
        <v>48.810015328655496</v>
      </c>
      <c r="BG27" s="20">
        <v>49.039422400700175</v>
      </c>
      <c r="BH27" s="20">
        <v>0</v>
      </c>
    </row>
    <row r="28" spans="1:60" ht="15" hidden="1" customHeight="1" outlineLevel="1" x14ac:dyDescent="0.25">
      <c r="A28" s="172">
        <f>C28*1000000/$C$16</f>
        <v>140.24808212618805</v>
      </c>
      <c r="B28" s="176" t="s">
        <v>56</v>
      </c>
      <c r="C28" s="169">
        <f>SUMIF($D$15:$BG$15,1,D28:BG28)</f>
        <v>1237.0237976062069</v>
      </c>
      <c r="D28" s="175">
        <f t="shared" ref="D28:AJ28" si="3">NPV($C$8,D27:D27)</f>
        <v>35.01768832391889</v>
      </c>
      <c r="E28" s="20">
        <f t="shared" si="3"/>
        <v>35.182271459041303</v>
      </c>
      <c r="F28" s="20">
        <f t="shared" si="3"/>
        <v>35.347628134898798</v>
      </c>
      <c r="G28" s="20">
        <f t="shared" si="3"/>
        <v>35.513761987132817</v>
      </c>
      <c r="H28" s="20">
        <f t="shared" si="3"/>
        <v>35.680676668472344</v>
      </c>
      <c r="I28" s="20">
        <f t="shared" si="3"/>
        <v>35.848375848814165</v>
      </c>
      <c r="J28" s="20">
        <f t="shared" si="3"/>
        <v>36.016863215303573</v>
      </c>
      <c r="K28" s="20">
        <f t="shared" si="3"/>
        <v>36.186142472415511</v>
      </c>
      <c r="L28" s="20">
        <f t="shared" si="3"/>
        <v>36.356217342035855</v>
      </c>
      <c r="M28" s="20">
        <f t="shared" si="3"/>
        <v>36.527091563543422</v>
      </c>
      <c r="N28" s="20">
        <f t="shared" si="3"/>
        <v>36.698768893892066</v>
      </c>
      <c r="O28" s="20">
        <f t="shared" si="3"/>
        <v>36.871253107693363</v>
      </c>
      <c r="P28" s="20">
        <f t="shared" si="3"/>
        <v>37.04454799729951</v>
      </c>
      <c r="Q28" s="20">
        <f t="shared" si="3"/>
        <v>37.218657372886817</v>
      </c>
      <c r="R28" s="20">
        <f t="shared" si="3"/>
        <v>37.393585062539387</v>
      </c>
      <c r="S28" s="20">
        <f t="shared" si="3"/>
        <v>37.04454799729951</v>
      </c>
      <c r="T28" s="20">
        <f t="shared" si="3"/>
        <v>37.218657372886817</v>
      </c>
      <c r="U28" s="20">
        <f t="shared" si="3"/>
        <v>37.393585062539387</v>
      </c>
      <c r="V28" s="20">
        <f t="shared" si="3"/>
        <v>37.569334912333325</v>
      </c>
      <c r="W28" s="20">
        <f t="shared" si="3"/>
        <v>37.745910786421284</v>
      </c>
      <c r="X28" s="20">
        <f t="shared" si="3"/>
        <v>37.923316567117467</v>
      </c>
      <c r="Y28" s="20">
        <f t="shared" si="3"/>
        <v>38.101556154982916</v>
      </c>
      <c r="Z28" s="20">
        <f t="shared" si="3"/>
        <v>38.280633468911326</v>
      </c>
      <c r="AA28" s="20">
        <f t="shared" si="3"/>
        <v>38.46055244621521</v>
      </c>
      <c r="AB28" s="20">
        <f t="shared" si="3"/>
        <v>38.641317042712416</v>
      </c>
      <c r="AC28" s="20">
        <f t="shared" si="3"/>
        <v>38.822931232813161</v>
      </c>
      <c r="AD28" s="20">
        <f t="shared" si="3"/>
        <v>39.005399009607387</v>
      </c>
      <c r="AE28" s="20">
        <f t="shared" si="3"/>
        <v>39.188724384952536</v>
      </c>
      <c r="AF28" s="20">
        <f t="shared" si="3"/>
        <v>39.372911389561807</v>
      </c>
      <c r="AG28" s="20">
        <f t="shared" si="3"/>
        <v>39.557964073092748</v>
      </c>
      <c r="AH28" s="20">
        <f t="shared" si="3"/>
        <v>39.743886504236279</v>
      </c>
      <c r="AI28" s="20">
        <f t="shared" si="3"/>
        <v>39.930682770806186</v>
      </c>
      <c r="AJ28" s="20">
        <f t="shared" si="3"/>
        <v>40.118356979828974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5.7156088479362666</v>
      </c>
      <c r="B30" s="173" t="s">
        <v>641</v>
      </c>
      <c r="C30" s="174">
        <f>SUMIF($D$15:$BG$15,1,D30:BG30)</f>
        <v>50.413125481061648</v>
      </c>
      <c r="D30" s="175">
        <v>1.3395923943697534</v>
      </c>
      <c r="E30" s="20">
        <v>1.3458884786232912</v>
      </c>
      <c r="F30" s="20">
        <v>1.3522141544728206</v>
      </c>
      <c r="G30" s="20">
        <v>1.3585695609988426</v>
      </c>
      <c r="H30" s="20">
        <v>1.3649548379355372</v>
      </c>
      <c r="I30" s="20">
        <v>1.3713701256738342</v>
      </c>
      <c r="J30" s="20">
        <v>1.3778155652645012</v>
      </c>
      <c r="K30" s="20">
        <v>1.3842912984212443</v>
      </c>
      <c r="L30" s="20">
        <v>1.3907974675238242</v>
      </c>
      <c r="M30" s="20">
        <v>1.3973342156211861</v>
      </c>
      <c r="N30" s="20">
        <v>1.4039016864346057</v>
      </c>
      <c r="O30" s="20">
        <v>1.4105000243608483</v>
      </c>
      <c r="P30" s="20">
        <v>1.4171293744753442</v>
      </c>
      <c r="Q30" s="20">
        <v>1.4237898825353781</v>
      </c>
      <c r="R30" s="20">
        <v>1.4304816949832944</v>
      </c>
      <c r="S30" s="20">
        <v>1.4171293744753442</v>
      </c>
      <c r="T30" s="20">
        <v>1.4237898825353781</v>
      </c>
      <c r="U30" s="20">
        <v>1.4304816949832944</v>
      </c>
      <c r="V30" s="20">
        <v>1.4372049589497158</v>
      </c>
      <c r="W30" s="20">
        <v>1.4439598222567793</v>
      </c>
      <c r="X30" s="20">
        <v>1.450746433421386</v>
      </c>
      <c r="Y30" s="20">
        <v>1.4575649416584664</v>
      </c>
      <c r="Z30" s="20">
        <v>1.4644154968842611</v>
      </c>
      <c r="AA30" s="20">
        <v>1.471298249719617</v>
      </c>
      <c r="AB30" s="20">
        <v>1.4782133514932991</v>
      </c>
      <c r="AC30" s="20">
        <v>1.4851609542453175</v>
      </c>
      <c r="AD30" s="20">
        <v>1.4921412107302703</v>
      </c>
      <c r="AE30" s="20">
        <v>1.4991542744207025</v>
      </c>
      <c r="AF30" s="20">
        <v>1.5062002995104797</v>
      </c>
      <c r="AG30" s="20">
        <v>1.5132794409181789</v>
      </c>
      <c r="AH30" s="20">
        <v>1.5203918542904942</v>
      </c>
      <c r="AI30" s="20">
        <v>1.5275376960056595</v>
      </c>
      <c r="AJ30" s="20">
        <v>1.5347171231768859</v>
      </c>
      <c r="AK30" s="20">
        <v>1.5419302936558172</v>
      </c>
      <c r="AL30" s="20">
        <v>1.5491773660359995</v>
      </c>
      <c r="AM30" s="20">
        <v>1.5564584996563686</v>
      </c>
      <c r="AN30" s="20">
        <v>1.5637738546047535</v>
      </c>
      <c r="AO30" s="20">
        <v>1.5711235917213957</v>
      </c>
      <c r="AP30" s="20">
        <v>1.5785078726024862</v>
      </c>
      <c r="AQ30" s="20">
        <v>1.5859268596037177</v>
      </c>
      <c r="AR30" s="20">
        <v>1.5933807158438551</v>
      </c>
      <c r="AS30" s="20">
        <v>1.6008696052083211</v>
      </c>
      <c r="AT30" s="20">
        <v>1.6083936923528002</v>
      </c>
      <c r="AU30" s="20">
        <v>1.6159531427068583</v>
      </c>
      <c r="AV30" s="20">
        <v>1.6235481224775805</v>
      </c>
      <c r="AW30" s="20">
        <v>1.6311787986532251</v>
      </c>
      <c r="AX30" s="20">
        <v>1.6388453390068951</v>
      </c>
      <c r="AY30" s="20">
        <v>1.6465479121002273</v>
      </c>
      <c r="AZ30" s="20">
        <v>1.6542866872870983</v>
      </c>
      <c r="BA30" s="20">
        <v>1.6620618347173475</v>
      </c>
      <c r="BB30" s="20">
        <v>1.6698735253405188</v>
      </c>
      <c r="BC30" s="20">
        <v>1.6777219309096192</v>
      </c>
      <c r="BD30" s="20">
        <v>1.6856072239848943</v>
      </c>
      <c r="BE30" s="20">
        <v>1.6935295779376232</v>
      </c>
      <c r="BF30" s="20">
        <v>1.7014891669539298</v>
      </c>
      <c r="BG30" s="20">
        <v>1.7094861660386131</v>
      </c>
      <c r="BH30" s="20">
        <v>0</v>
      </c>
    </row>
    <row r="31" spans="1:60" ht="15" hidden="1" customHeight="1" outlineLevel="1" x14ac:dyDescent="0.25">
      <c r="A31" s="172">
        <f>C31*1000000/$C$16</f>
        <v>4.8889677828820135</v>
      </c>
      <c r="B31" s="176" t="s">
        <v>57</v>
      </c>
      <c r="C31" s="169">
        <f>SUMIF($D$15:$BG$15,1,D31:BG31)</f>
        <v>43.121940788563741</v>
      </c>
      <c r="D31" s="175">
        <f t="shared" ref="D31:AJ31" si="4">NPV($C$8,D30:D30)</f>
        <v>1.2206965503642733</v>
      </c>
      <c r="E31" s="20">
        <f t="shared" si="4"/>
        <v>1.2264338241509853</v>
      </c>
      <c r="F31" s="20">
        <f t="shared" si="4"/>
        <v>1.2321980631244949</v>
      </c>
      <c r="G31" s="20">
        <f t="shared" si="4"/>
        <v>1.2379893940211799</v>
      </c>
      <c r="H31" s="20">
        <f t="shared" si="4"/>
        <v>1.2438079441730794</v>
      </c>
      <c r="I31" s="20">
        <f t="shared" si="4"/>
        <v>1.2496538415106928</v>
      </c>
      <c r="J31" s="20">
        <f t="shared" si="4"/>
        <v>1.255527214565793</v>
      </c>
      <c r="K31" s="20">
        <f t="shared" si="4"/>
        <v>1.2614281924742523</v>
      </c>
      <c r="L31" s="20">
        <f t="shared" si="4"/>
        <v>1.2673569049788813</v>
      </c>
      <c r="M31" s="20">
        <f t="shared" si="4"/>
        <v>1.2733134824322818</v>
      </c>
      <c r="N31" s="20">
        <f t="shared" si="4"/>
        <v>1.2792980557997136</v>
      </c>
      <c r="O31" s="20">
        <f t="shared" si="4"/>
        <v>1.2853107566619724</v>
      </c>
      <c r="P31" s="20">
        <f t="shared" si="4"/>
        <v>1.2913517172182833</v>
      </c>
      <c r="Q31" s="20">
        <f t="shared" si="4"/>
        <v>1.2974210702892093</v>
      </c>
      <c r="R31" s="20">
        <f t="shared" si="4"/>
        <v>1.3035189493195685</v>
      </c>
      <c r="S31" s="20">
        <f t="shared" si="4"/>
        <v>1.2913517172182833</v>
      </c>
      <c r="T31" s="20">
        <f t="shared" si="4"/>
        <v>1.2974210702892093</v>
      </c>
      <c r="U31" s="20">
        <f t="shared" si="4"/>
        <v>1.3035189493195685</v>
      </c>
      <c r="V31" s="20">
        <f t="shared" si="4"/>
        <v>1.3096454883813704</v>
      </c>
      <c r="W31" s="20">
        <f t="shared" si="4"/>
        <v>1.3158008221767628</v>
      </c>
      <c r="X31" s="20">
        <f t="shared" si="4"/>
        <v>1.3219850860409934</v>
      </c>
      <c r="Y31" s="20">
        <f t="shared" si="4"/>
        <v>1.3281984159453859</v>
      </c>
      <c r="Z31" s="20">
        <f t="shared" si="4"/>
        <v>1.334440948500329</v>
      </c>
      <c r="AA31" s="20">
        <f t="shared" si="4"/>
        <v>1.3407128209582806</v>
      </c>
      <c r="AB31" s="20">
        <f t="shared" si="4"/>
        <v>1.3470141712167845</v>
      </c>
      <c r="AC31" s="20">
        <f t="shared" si="4"/>
        <v>1.3533451378215031</v>
      </c>
      <c r="AD31" s="20">
        <f t="shared" si="4"/>
        <v>1.359705859969264</v>
      </c>
      <c r="AE31" s="20">
        <f t="shared" si="4"/>
        <v>1.3660964775111195</v>
      </c>
      <c r="AF31" s="20">
        <f t="shared" si="4"/>
        <v>1.3725171309554218</v>
      </c>
      <c r="AG31" s="20">
        <f t="shared" si="4"/>
        <v>1.3789679614709121</v>
      </c>
      <c r="AH31" s="20">
        <f t="shared" si="4"/>
        <v>1.3854491108898253</v>
      </c>
      <c r="AI31" s="20">
        <f t="shared" si="4"/>
        <v>1.3919607217110075</v>
      </c>
      <c r="AJ31" s="20">
        <f t="shared" si="4"/>
        <v>1.3985029371030491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9.0310413112056018</v>
      </c>
      <c r="B33" s="173" t="s">
        <v>58</v>
      </c>
      <c r="C33" s="174">
        <f>SUMIF($D$15:$BG$15,1,D33:BG33)</f>
        <v>79.656084060204449</v>
      </c>
      <c r="D33" s="175">
        <v>-43.254192824694442</v>
      </c>
      <c r="E33" s="20">
        <v>-61.537347072113384</v>
      </c>
      <c r="F33" s="20">
        <v>-74.035729519342667</v>
      </c>
      <c r="G33" s="20">
        <v>5.3861351876111812</v>
      </c>
      <c r="H33" s="20">
        <v>5.5756926358498689</v>
      </c>
      <c r="I33" s="20">
        <v>5.7661410040952816</v>
      </c>
      <c r="J33" s="20">
        <v>5.9574844796714288</v>
      </c>
      <c r="K33" s="20">
        <v>6.1497272695828116</v>
      </c>
      <c r="L33" s="20">
        <v>6.3428736006067581</v>
      </c>
      <c r="M33" s="20">
        <v>6.5369277193865187</v>
      </c>
      <c r="N33" s="20">
        <v>6.7318938925245462</v>
      </c>
      <c r="O33" s="20">
        <v>6.9277764066763297</v>
      </c>
      <c r="P33" s="20">
        <v>7.1245795686446129</v>
      </c>
      <c r="Q33" s="20">
        <v>7.3223077054741594</v>
      </c>
      <c r="R33" s="20">
        <v>7.5209651645468014</v>
      </c>
      <c r="S33" s="20">
        <v>7.1245795686446129</v>
      </c>
      <c r="T33" s="20">
        <v>7.3223077054741594</v>
      </c>
      <c r="U33" s="20">
        <v>7.5209651645468014</v>
      </c>
      <c r="V33" s="20">
        <v>7.7205563136770934</v>
      </c>
      <c r="W33" s="20">
        <v>7.921085541208285</v>
      </c>
      <c r="X33" s="20">
        <v>8.1225572561088768</v>
      </c>
      <c r="Y33" s="20">
        <v>8.3249758880695026</v>
      </c>
      <c r="Z33" s="20">
        <v>8.528345887600338</v>
      </c>
      <c r="AA33" s="20">
        <v>8.7326717261289772</v>
      </c>
      <c r="AB33" s="20">
        <v>8.9379578960986947</v>
      </c>
      <c r="AC33" s="20">
        <v>9.1442089110672669</v>
      </c>
      <c r="AD33" s="20">
        <v>9.3514293058061995</v>
      </c>
      <c r="AE33" s="20">
        <v>9.5596236364004028</v>
      </c>
      <c r="AF33" s="20">
        <v>9.7687964803483922</v>
      </c>
      <c r="AG33" s="20">
        <v>9.9789524366629436</v>
      </c>
      <c r="AH33" s="20">
        <v>10.190096125972175</v>
      </c>
      <c r="AI33" s="20">
        <v>10.402232190621156</v>
      </c>
      <c r="AJ33" s="20">
        <v>10.61536529477398</v>
      </c>
      <c r="AK33" s="20">
        <v>10.829500124516329</v>
      </c>
      <c r="AL33" s="20">
        <v>11.044641387958471</v>
      </c>
      <c r="AM33" s="20">
        <v>11.260793815338793</v>
      </c>
      <c r="AN33" s="20">
        <v>11.477962159127813</v>
      </c>
      <c r="AO33" s="20">
        <v>11.696151194132611</v>
      </c>
      <c r="AP33" s="20">
        <v>11.915365717601951</v>
      </c>
      <c r="AQ33" s="20">
        <v>12.135610549331588</v>
      </c>
      <c r="AR33" s="20">
        <v>12.356890531770361</v>
      </c>
      <c r="AS33" s="20">
        <v>12.579210530126595</v>
      </c>
      <c r="AT33" s="20">
        <v>12.802575432475095</v>
      </c>
      <c r="AU33" s="20">
        <v>13.026990149864645</v>
      </c>
      <c r="AV33" s="20">
        <v>13.252459616425917</v>
      </c>
      <c r="AW33" s="20">
        <v>13.478988789480027</v>
      </c>
      <c r="AX33" s="20">
        <v>13.706582649647501</v>
      </c>
      <c r="AY33" s="20">
        <v>13.935246200957756</v>
      </c>
      <c r="AZ33" s="20">
        <v>14.164984470959169</v>
      </c>
      <c r="BA33" s="20">
        <v>14.39580251082959</v>
      </c>
      <c r="BB33" s="20">
        <v>14.627705395487403</v>
      </c>
      <c r="BC33" s="20">
        <v>14.860698223703103</v>
      </c>
      <c r="BD33" s="20">
        <v>15.094786118211424</v>
      </c>
      <c r="BE33" s="20">
        <v>15.329974225823925</v>
      </c>
      <c r="BF33" s="20">
        <v>15.56626771754221</v>
      </c>
      <c r="BG33" s="20">
        <v>15.803671788671579</v>
      </c>
      <c r="BH33" s="20">
        <v>0</v>
      </c>
    </row>
    <row r="34" spans="1:60" ht="15" hidden="1" customHeight="1" outlineLevel="1" x14ac:dyDescent="0.25">
      <c r="A34" s="172">
        <f>C34*1000000/$C$16</f>
        <v>5.9696113681065386</v>
      </c>
      <c r="B34" s="176" t="s">
        <v>59</v>
      </c>
      <c r="C34" s="169">
        <f>SUMIF($D$15:$BG$15,1,D34:BG34)</f>
        <v>52.653492389037396</v>
      </c>
      <c r="D34" s="175">
        <f t="shared" ref="D34:AJ34" si="5">NPV($C$8,D33:D33)</f>
        <v>-39.415156574352508</v>
      </c>
      <c r="E34" s="20">
        <f t="shared" si="5"/>
        <v>-56.075585084849088</v>
      </c>
      <c r="F34" s="20">
        <f t="shared" si="5"/>
        <v>-67.464670602645043</v>
      </c>
      <c r="G34" s="20">
        <f t="shared" si="5"/>
        <v>4.9080874682077473</v>
      </c>
      <c r="H34" s="20">
        <f t="shared" si="5"/>
        <v>5.0808206996991698</v>
      </c>
      <c r="I34" s="20">
        <f t="shared" si="5"/>
        <v>5.2543657773786059</v>
      </c>
      <c r="J34" s="20">
        <f t="shared" si="5"/>
        <v>5.4287265169231178</v>
      </c>
      <c r="K34" s="20">
        <f t="shared" si="5"/>
        <v>5.603906751943514</v>
      </c>
      <c r="L34" s="20">
        <f t="shared" si="5"/>
        <v>5.7799103340684876</v>
      </c>
      <c r="M34" s="20">
        <f t="shared" si="5"/>
        <v>5.9567411330294506</v>
      </c>
      <c r="N34" s="20">
        <f t="shared" si="5"/>
        <v>6.1344030367455318</v>
      </c>
      <c r="O34" s="20">
        <f t="shared" si="5"/>
        <v>6.3128999514090856</v>
      </c>
      <c r="P34" s="20">
        <f t="shared" si="5"/>
        <v>6.4922358015715451</v>
      </c>
      <c r="Q34" s="20">
        <f t="shared" si="5"/>
        <v>6.672414530229779</v>
      </c>
      <c r="R34" s="20">
        <f t="shared" si="5"/>
        <v>6.8534400989127047</v>
      </c>
      <c r="S34" s="20">
        <f t="shared" si="5"/>
        <v>6.4922358015715451</v>
      </c>
      <c r="T34" s="20">
        <f t="shared" si="5"/>
        <v>6.672414530229779</v>
      </c>
      <c r="U34" s="20">
        <f t="shared" si="5"/>
        <v>6.8534400989127047</v>
      </c>
      <c r="V34" s="20">
        <f t="shared" si="5"/>
        <v>7.0353164877684469</v>
      </c>
      <c r="W34" s="20">
        <f t="shared" si="5"/>
        <v>7.2180476956518005</v>
      </c>
      <c r="X34" s="20">
        <f t="shared" si="5"/>
        <v>7.401637740212208</v>
      </c>
      <c r="Y34" s="20">
        <f t="shared" si="5"/>
        <v>7.5860906579820515</v>
      </c>
      <c r="Z34" s="20">
        <f t="shared" si="5"/>
        <v>7.7714105044654076</v>
      </c>
      <c r="AA34" s="20">
        <f t="shared" si="5"/>
        <v>7.9576013542272444</v>
      </c>
      <c r="AB34" s="20">
        <f t="shared" si="5"/>
        <v>8.144667300982956</v>
      </c>
      <c r="AC34" s="20">
        <f t="shared" si="5"/>
        <v>8.3326124576884162</v>
      </c>
      <c r="AD34" s="20">
        <f t="shared" si="5"/>
        <v>8.5214409566303999</v>
      </c>
      <c r="AE34" s="20">
        <f t="shared" si="5"/>
        <v>8.7111569495174077</v>
      </c>
      <c r="AF34" s="20">
        <f t="shared" si="5"/>
        <v>8.9017646075709802</v>
      </c>
      <c r="AG34" s="20">
        <f t="shared" si="5"/>
        <v>9.0932681216174078</v>
      </c>
      <c r="AH34" s="20">
        <f t="shared" si="5"/>
        <v>9.285671702179858</v>
      </c>
      <c r="AI34" s="20">
        <f t="shared" si="5"/>
        <v>9.4789795795709466</v>
      </c>
      <c r="AJ34" s="20">
        <f t="shared" si="5"/>
        <v>9.6731960039857672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9.963923235185165</v>
      </c>
      <c r="B36" s="178" t="s">
        <v>60</v>
      </c>
      <c r="C36" s="174">
        <f>SUMIF($D$15:$BG$15,1,D36:BG36)</f>
        <v>87.88434018196071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1.8312859637878016</v>
      </c>
      <c r="H36" s="20">
        <f t="shared" si="6"/>
        <v>1.8957354961889556</v>
      </c>
      <c r="I36" s="20">
        <f t="shared" si="6"/>
        <v>1.9604879413923959</v>
      </c>
      <c r="J36" s="20">
        <f t="shared" si="6"/>
        <v>2.0255447230882861</v>
      </c>
      <c r="K36" s="20">
        <f t="shared" si="6"/>
        <v>2.090907271658156</v>
      </c>
      <c r="L36" s="20">
        <f t="shared" si="6"/>
        <v>2.1565770242062978</v>
      </c>
      <c r="M36" s="20">
        <f t="shared" si="6"/>
        <v>2.2225554245914165</v>
      </c>
      <c r="N36" s="20">
        <f t="shared" si="6"/>
        <v>2.2888439234583458</v>
      </c>
      <c r="O36" s="20">
        <f t="shared" si="6"/>
        <v>2.3554439782699523</v>
      </c>
      <c r="P36" s="20">
        <f>IF(P33&gt;0,P33*0.34,0)</f>
        <v>2.4223570533391685</v>
      </c>
      <c r="Q36" s="20">
        <f>IF(Q33&gt;0,Q33*0.34,0)</f>
        <v>2.4895846198612146</v>
      </c>
      <c r="R36" s="20">
        <f>IF(R33&gt;0,R33*0.34,0)</f>
        <v>2.5571281559459127</v>
      </c>
      <c r="S36" s="20">
        <f t="shared" si="6"/>
        <v>2.4223570533391685</v>
      </c>
      <c r="T36" s="20">
        <f t="shared" si="6"/>
        <v>2.4895846198612146</v>
      </c>
      <c r="U36" s="20">
        <f t="shared" si="6"/>
        <v>2.5571281559459127</v>
      </c>
      <c r="V36" s="20">
        <f t="shared" si="6"/>
        <v>2.6249891466502118</v>
      </c>
      <c r="W36" s="20">
        <f t="shared" si="6"/>
        <v>2.6931690840108171</v>
      </c>
      <c r="X36" s="20">
        <f t="shared" si="6"/>
        <v>2.7616694670770183</v>
      </c>
      <c r="Y36" s="20">
        <f t="shared" si="6"/>
        <v>2.8304918019436309</v>
      </c>
      <c r="Z36" s="20">
        <f t="shared" si="6"/>
        <v>2.8996376017841152</v>
      </c>
      <c r="AA36" s="20">
        <f t="shared" si="6"/>
        <v>2.9691083868838524</v>
      </c>
      <c r="AB36" s="20">
        <f t="shared" si="6"/>
        <v>3.0389056846735563</v>
      </c>
      <c r="AC36" s="20">
        <f t="shared" si="6"/>
        <v>3.1090310297628712</v>
      </c>
      <c r="AD36" s="20">
        <f t="shared" si="6"/>
        <v>3.1794859639741082</v>
      </c>
      <c r="AE36" s="20">
        <f t="shared" si="6"/>
        <v>3.250272036376137</v>
      </c>
      <c r="AF36" s="20">
        <f t="shared" si="6"/>
        <v>3.3213908033184536</v>
      </c>
      <c r="AG36" s="20">
        <f t="shared" si="6"/>
        <v>3.3928438284654012</v>
      </c>
      <c r="AH36" s="20">
        <f t="shared" si="6"/>
        <v>3.46463268283054</v>
      </c>
      <c r="AI36" s="20">
        <f t="shared" si="6"/>
        <v>3.5367589448111931</v>
      </c>
      <c r="AJ36" s="20">
        <f t="shared" si="6"/>
        <v>3.6092242002231534</v>
      </c>
      <c r="AK36" s="20">
        <f t="shared" si="6"/>
        <v>3.6820300423355521</v>
      </c>
      <c r="AL36" s="20">
        <f t="shared" si="6"/>
        <v>3.7551780719058803</v>
      </c>
      <c r="AM36" s="20">
        <f t="shared" si="6"/>
        <v>3.8286698972151902</v>
      </c>
      <c r="AN36" s="20">
        <f t="shared" si="6"/>
        <v>3.9025071341034567</v>
      </c>
      <c r="AO36" s="20">
        <f t="shared" si="6"/>
        <v>3.976691406005088</v>
      </c>
      <c r="AP36" s="20">
        <f t="shared" si="6"/>
        <v>4.0512243439846634</v>
      </c>
      <c r="AQ36" s="20">
        <f t="shared" si="6"/>
        <v>4.1261075867727399</v>
      </c>
      <c r="AR36" s="20">
        <f t="shared" si="6"/>
        <v>4.201342780801923</v>
      </c>
      <c r="AS36" s="20">
        <f t="shared" si="6"/>
        <v>4.2769315802430423</v>
      </c>
      <c r="AT36" s="20">
        <f t="shared" si="6"/>
        <v>4.3528756470415324</v>
      </c>
      <c r="AU36" s="20">
        <f t="shared" si="6"/>
        <v>4.4291766509539796</v>
      </c>
      <c r="AV36" s="20">
        <f t="shared" si="6"/>
        <v>4.5058362695848118</v>
      </c>
      <c r="AW36" s="20">
        <f t="shared" si="6"/>
        <v>4.58285618842321</v>
      </c>
      <c r="AX36" s="20">
        <f t="shared" si="6"/>
        <v>4.660238100880151</v>
      </c>
      <c r="AY36" s="20">
        <f t="shared" si="6"/>
        <v>4.737983708325638</v>
      </c>
      <c r="AZ36" s="20">
        <f t="shared" si="6"/>
        <v>4.8160947201261175</v>
      </c>
      <c r="BA36" s="20">
        <f t="shared" si="6"/>
        <v>4.8945728536820612</v>
      </c>
      <c r="BB36" s="20">
        <f t="shared" si="6"/>
        <v>4.9734198344657177</v>
      </c>
      <c r="BC36" s="20">
        <f t="shared" si="6"/>
        <v>5.0526373960590556</v>
      </c>
      <c r="BD36" s="20">
        <f t="shared" si="6"/>
        <v>5.1322272801918842</v>
      </c>
      <c r="BE36" s="20">
        <f t="shared" si="6"/>
        <v>5.2121912367801349</v>
      </c>
      <c r="BF36" s="20">
        <f t="shared" si="6"/>
        <v>5.2925310239643517</v>
      </c>
      <c r="BG36" s="20">
        <f t="shared" si="6"/>
        <v>5.3732484081483376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8.3112144200817379</v>
      </c>
      <c r="B37" s="176" t="s">
        <v>61</v>
      </c>
      <c r="C37" s="169">
        <f>SUMIF($D$15:$BG$15,1,D37:BG37)</f>
        <v>73.307027581300602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1.6687497391906341</v>
      </c>
      <c r="H37" s="20">
        <f t="shared" si="7"/>
        <v>1.7274790378977181</v>
      </c>
      <c r="I37" s="20">
        <f t="shared" si="7"/>
        <v>1.786484364308726</v>
      </c>
      <c r="J37" s="20">
        <f t="shared" si="7"/>
        <v>1.8457670157538604</v>
      </c>
      <c r="K37" s="20">
        <f t="shared" si="7"/>
        <v>1.9053282956607949</v>
      </c>
      <c r="L37" s="20">
        <f t="shared" si="7"/>
        <v>1.9651695135832858</v>
      </c>
      <c r="M37" s="20">
        <f t="shared" si="7"/>
        <v>2.0252919852300133</v>
      </c>
      <c r="N37" s="20">
        <f t="shared" si="7"/>
        <v>2.0856970324934809</v>
      </c>
      <c r="O37" s="20">
        <f t="shared" si="7"/>
        <v>2.1463859834790893</v>
      </c>
      <c r="P37" s="20">
        <f t="shared" si="7"/>
        <v>2.2073601725343255</v>
      </c>
      <c r="Q37" s="20">
        <f t="shared" si="7"/>
        <v>2.2686209402781254</v>
      </c>
      <c r="R37" s="20">
        <f t="shared" si="7"/>
        <v>2.3301696336303199</v>
      </c>
      <c r="S37" s="20">
        <f t="shared" si="7"/>
        <v>2.2073601725343255</v>
      </c>
      <c r="T37" s="20">
        <f t="shared" si="7"/>
        <v>2.2686209402781254</v>
      </c>
      <c r="U37" s="20">
        <f t="shared" si="7"/>
        <v>2.3301696336303199</v>
      </c>
      <c r="V37" s="20">
        <f t="shared" si="7"/>
        <v>2.3920076058412723</v>
      </c>
      <c r="W37" s="20">
        <f t="shared" si="7"/>
        <v>2.4541362165216123</v>
      </c>
      <c r="X37" s="20">
        <f t="shared" si="7"/>
        <v>2.5165568316721512</v>
      </c>
      <c r="Y37" s="20">
        <f t="shared" si="7"/>
        <v>2.5792708237138977</v>
      </c>
      <c r="Z37" s="20">
        <f t="shared" si="7"/>
        <v>2.6422795715182388</v>
      </c>
      <c r="AA37" s="20">
        <f t="shared" si="7"/>
        <v>2.705584460437263</v>
      </c>
      <c r="AB37" s="20">
        <f t="shared" si="7"/>
        <v>2.7691868823342047</v>
      </c>
      <c r="AC37" s="20">
        <f t="shared" si="7"/>
        <v>2.8330882356140616</v>
      </c>
      <c r="AD37" s="20">
        <f t="shared" si="7"/>
        <v>2.897289925254336</v>
      </c>
      <c r="AE37" s="20">
        <f t="shared" si="7"/>
        <v>2.9617933628359188</v>
      </c>
      <c r="AF37" s="20">
        <f t="shared" si="7"/>
        <v>3.0265999665741332</v>
      </c>
      <c r="AG37" s="20">
        <f t="shared" si="7"/>
        <v>3.0917111613499193</v>
      </c>
      <c r="AH37" s="20">
        <f t="shared" si="7"/>
        <v>3.1571283787411519</v>
      </c>
      <c r="AI37" s="20">
        <f t="shared" si="7"/>
        <v>3.2228530570541221</v>
      </c>
      <c r="AJ37" s="20">
        <f t="shared" si="7"/>
        <v>3.2888866413551607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-0.93288192397956349</v>
      </c>
      <c r="B39" s="173" t="s">
        <v>62</v>
      </c>
      <c r="C39" s="174">
        <f>SUMIF($D$15:$BG$15,1,D39:BG39)</f>
        <v>-8.2282561217562797</v>
      </c>
      <c r="D39" s="175">
        <v>-43.254192824694442</v>
      </c>
      <c r="E39" s="20">
        <v>-61.537347072113384</v>
      </c>
      <c r="F39" s="20">
        <v>-74.035729519342667</v>
      </c>
      <c r="G39" s="20">
        <v>3.5548492238233798</v>
      </c>
      <c r="H39" s="20">
        <v>3.6799571396609134</v>
      </c>
      <c r="I39" s="20">
        <v>3.8056530627028859</v>
      </c>
      <c r="J39" s="20">
        <v>3.9319397565831431</v>
      </c>
      <c r="K39" s="20">
        <v>4.0588199979246555</v>
      </c>
      <c r="L39" s="20">
        <v>4.1862965764004603</v>
      </c>
      <c r="M39" s="20">
        <v>4.3143722947951026</v>
      </c>
      <c r="N39" s="20">
        <v>4.4430499690662009</v>
      </c>
      <c r="O39" s="20">
        <v>4.5723324284063782</v>
      </c>
      <c r="P39" s="20">
        <v>4.7022225153054444</v>
      </c>
      <c r="Q39" s="20">
        <v>4.8327230856129457</v>
      </c>
      <c r="R39" s="20">
        <v>4.9638370086008896</v>
      </c>
      <c r="S39" s="20">
        <v>4.7022225153054444</v>
      </c>
      <c r="T39" s="20">
        <v>4.8327230856129457</v>
      </c>
      <c r="U39" s="20">
        <v>4.9638370086008896</v>
      </c>
      <c r="V39" s="20">
        <v>5.0955671670268821</v>
      </c>
      <c r="W39" s="20">
        <v>5.2279164571974688</v>
      </c>
      <c r="X39" s="20">
        <v>5.3608877890318594</v>
      </c>
      <c r="Y39" s="20">
        <v>5.4944840861258717</v>
      </c>
      <c r="Z39" s="20">
        <v>5.6287082858162236</v>
      </c>
      <c r="AA39" s="20">
        <v>5.7635633392451249</v>
      </c>
      <c r="AB39" s="20">
        <v>5.8990522114251389</v>
      </c>
      <c r="AC39" s="20">
        <v>6.0351778813043966</v>
      </c>
      <c r="AD39" s="20">
        <v>6.1719433418320921</v>
      </c>
      <c r="AE39" s="20">
        <v>6.3093516000242662</v>
      </c>
      <c r="AF39" s="20">
        <v>6.4474056770299395</v>
      </c>
      <c r="AG39" s="20">
        <v>6.5861086081975433</v>
      </c>
      <c r="AH39" s="20">
        <v>6.7254634431416358</v>
      </c>
      <c r="AI39" s="20">
        <v>6.8654732458099632</v>
      </c>
      <c r="AJ39" s="20">
        <v>7.0061410945508271</v>
      </c>
      <c r="AK39" s="20">
        <v>7.147470082180778</v>
      </c>
      <c r="AL39" s="20">
        <v>7.2894633160525917</v>
      </c>
      <c r="AM39" s="20">
        <v>7.4321239181236036</v>
      </c>
      <c r="AN39" s="20">
        <v>7.5754550250243566</v>
      </c>
      <c r="AO39" s="20">
        <v>7.7194597881275238</v>
      </c>
      <c r="AP39" s="20">
        <v>7.8641413736172883</v>
      </c>
      <c r="AQ39" s="20">
        <v>8.0095029625588481</v>
      </c>
      <c r="AR39" s="20">
        <v>8.155547750968438</v>
      </c>
      <c r="AS39" s="20">
        <v>8.3022789498835525</v>
      </c>
      <c r="AT39" s="20">
        <v>8.4496997854335625</v>
      </c>
      <c r="AU39" s="20">
        <v>8.597813498910666</v>
      </c>
      <c r="AV39" s="20">
        <v>8.7466233468411048</v>
      </c>
      <c r="AW39" s="20">
        <v>8.8961326010568182</v>
      </c>
      <c r="AX39" s="20">
        <v>9.0463445487673511</v>
      </c>
      <c r="AY39" s="20">
        <v>9.1972624926321203</v>
      </c>
      <c r="AZ39" s="20">
        <v>9.3488897508330524</v>
      </c>
      <c r="BA39" s="20">
        <v>9.5012296571475297</v>
      </c>
      <c r="BB39" s="20">
        <v>9.6542855610216876</v>
      </c>
      <c r="BC39" s="20">
        <v>9.8080608276440486</v>
      </c>
      <c r="BD39" s="20">
        <v>9.9625588380195396</v>
      </c>
      <c r="BE39" s="20">
        <v>10.117782989043791</v>
      </c>
      <c r="BF39" s="20">
        <v>10.27373669357786</v>
      </c>
      <c r="BG39" s="20">
        <v>10.430423380523242</v>
      </c>
      <c r="BH39" s="20">
        <v>0</v>
      </c>
    </row>
    <row r="40" spans="1:60" ht="15" hidden="1" customHeight="1" outlineLevel="1" x14ac:dyDescent="0.25">
      <c r="A40" s="172">
        <f>C40*1000000/$C$16</f>
        <v>-1.6031782643256089</v>
      </c>
      <c r="B40" s="176" t="s">
        <v>63</v>
      </c>
      <c r="C40" s="169">
        <f>SUMIF($D$15:$BG$15,1,D40:BG40)</f>
        <v>-14.140440530170226</v>
      </c>
      <c r="D40" s="175">
        <f t="shared" ref="D40:AK40" si="8">NPV($C$8,D39:D39)</f>
        <v>-39.415156574352508</v>
      </c>
      <c r="E40" s="20">
        <f t="shared" si="8"/>
        <v>-56.075585084849088</v>
      </c>
      <c r="F40" s="20">
        <f t="shared" si="8"/>
        <v>-67.464670602645043</v>
      </c>
      <c r="G40" s="20">
        <f t="shared" si="8"/>
        <v>3.2393377290171133</v>
      </c>
      <c r="H40" s="20">
        <f t="shared" si="8"/>
        <v>3.3533416618014522</v>
      </c>
      <c r="I40" s="20">
        <f t="shared" si="8"/>
        <v>3.4678814130698798</v>
      </c>
      <c r="J40" s="20">
        <f t="shared" si="8"/>
        <v>3.5829595011692574</v>
      </c>
      <c r="K40" s="20">
        <f t="shared" si="8"/>
        <v>3.6985784562827191</v>
      </c>
      <c r="L40" s="20">
        <f t="shared" si="8"/>
        <v>3.814740820485202</v>
      </c>
      <c r="M40" s="20">
        <f t="shared" si="8"/>
        <v>3.9314491477994378</v>
      </c>
      <c r="N40" s="20">
        <f t="shared" si="8"/>
        <v>4.0487060042520513</v>
      </c>
      <c r="O40" s="20">
        <f t="shared" si="8"/>
        <v>4.1665139679299967</v>
      </c>
      <c r="P40" s="20">
        <f t="shared" si="8"/>
        <v>4.2848756290372192</v>
      </c>
      <c r="Q40" s="20">
        <f t="shared" si="8"/>
        <v>4.4037935899516549</v>
      </c>
      <c r="R40" s="20">
        <f t="shared" si="8"/>
        <v>4.5232704652823852</v>
      </c>
      <c r="S40" s="20">
        <f t="shared" si="8"/>
        <v>4.2848756290372192</v>
      </c>
      <c r="T40" s="20">
        <f t="shared" si="8"/>
        <v>4.4037935899516549</v>
      </c>
      <c r="U40" s="20">
        <f t="shared" si="8"/>
        <v>4.5232704652823852</v>
      </c>
      <c r="V40" s="20">
        <f t="shared" si="8"/>
        <v>4.6433088819271751</v>
      </c>
      <c r="W40" s="20">
        <f t="shared" si="8"/>
        <v>4.7639114791301891</v>
      </c>
      <c r="X40" s="20">
        <f t="shared" si="8"/>
        <v>4.8850809085400577</v>
      </c>
      <c r="Y40" s="20">
        <f t="shared" si="8"/>
        <v>5.0068198342681542</v>
      </c>
      <c r="Z40" s="20">
        <f t="shared" si="8"/>
        <v>5.1291309329471693</v>
      </c>
      <c r="AA40" s="20">
        <f t="shared" si="8"/>
        <v>5.2520168937899809</v>
      </c>
      <c r="AB40" s="20">
        <f t="shared" si="8"/>
        <v>5.3754804186487508</v>
      </c>
      <c r="AC40" s="20">
        <f t="shared" si="8"/>
        <v>5.4995242220743545</v>
      </c>
      <c r="AD40" s="20">
        <f t="shared" si="8"/>
        <v>5.6241510313760639</v>
      </c>
      <c r="AE40" s="20">
        <f t="shared" si="8"/>
        <v>5.7493635866814898</v>
      </c>
      <c r="AF40" s="20">
        <f t="shared" si="8"/>
        <v>5.8751646409968474</v>
      </c>
      <c r="AG40" s="20">
        <f t="shared" si="8"/>
        <v>6.0015569602674903</v>
      </c>
      <c r="AH40" s="20">
        <f t="shared" si="8"/>
        <v>6.1285433234387066</v>
      </c>
      <c r="AI40" s="20">
        <f t="shared" si="8"/>
        <v>6.2561265225168246</v>
      </c>
      <c r="AJ40" s="20">
        <f t="shared" si="8"/>
        <v>6.3843093626306064</v>
      </c>
      <c r="AK40" s="20">
        <f t="shared" si="8"/>
        <v>6.5130946620929269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169.67724956752247</v>
      </c>
      <c r="B42" s="141" t="s">
        <v>64</v>
      </c>
      <c r="C42" s="169"/>
      <c r="D42" s="175">
        <v>-43.254192824694442</v>
      </c>
      <c r="E42" s="20">
        <v>-104.79153989680782</v>
      </c>
      <c r="F42" s="20">
        <v>-178.8272694161505</v>
      </c>
      <c r="G42" s="20">
        <v>-175.27242019232713</v>
      </c>
      <c r="H42" s="20">
        <v>-171.59246305266623</v>
      </c>
      <c r="I42" s="20">
        <v>-167.78680998996336</v>
      </c>
      <c r="J42" s="20">
        <v>-163.85487023338021</v>
      </c>
      <c r="K42" s="20">
        <v>-159.79605023545557</v>
      </c>
      <c r="L42" s="20">
        <v>-155.60975365905512</v>
      </c>
      <c r="M42" s="20">
        <v>-151.29538136426001</v>
      </c>
      <c r="N42" s="20">
        <v>-146.8523313951938</v>
      </c>
      <c r="O42" s="20">
        <v>-142.27999896678742</v>
      </c>
      <c r="P42" s="20">
        <v>-137.57777645148198</v>
      </c>
      <c r="Q42" s="20">
        <v>-132.74505336586904</v>
      </c>
      <c r="R42" s="20">
        <v>-127.78121635726815</v>
      </c>
      <c r="S42" s="20">
        <v>-137.57777645148198</v>
      </c>
      <c r="T42" s="20">
        <v>-132.74505336586904</v>
      </c>
      <c r="U42" s="20">
        <v>-127.78121635726815</v>
      </c>
      <c r="V42" s="20">
        <v>-122.68564919024126</v>
      </c>
      <c r="W42" s="20">
        <v>-117.4577327330438</v>
      </c>
      <c r="X42" s="20">
        <v>-112.09684494401193</v>
      </c>
      <c r="Y42" s="20">
        <v>-106.60236085788607</v>
      </c>
      <c r="Z42" s="20">
        <v>-100.97365257206985</v>
      </c>
      <c r="AA42" s="20">
        <v>-95.210089232824728</v>
      </c>
      <c r="AB42" s="20">
        <v>-89.311037021399585</v>
      </c>
      <c r="AC42" s="20">
        <v>-83.275859140095193</v>
      </c>
      <c r="AD42" s="20">
        <v>-77.103915798263102</v>
      </c>
      <c r="AE42" s="20">
        <v>-70.794564198238831</v>
      </c>
      <c r="AF42" s="20">
        <v>-64.347158521208897</v>
      </c>
      <c r="AG42" s="20">
        <v>-57.761049913011355</v>
      </c>
      <c r="AH42" s="20">
        <v>-51.03558646986972</v>
      </c>
      <c r="AI42" s="20">
        <v>-44.170113224059754</v>
      </c>
      <c r="AJ42" s="20">
        <v>-37.163972129508927</v>
      </c>
      <c r="AK42" s="20">
        <v>-30.016502047328149</v>
      </c>
      <c r="AL42" s="20">
        <v>-22.727038731275556</v>
      </c>
      <c r="AM42" s="20">
        <v>-15.294914813151951</v>
      </c>
      <c r="AN42" s="20">
        <v>-7.7194597881275948</v>
      </c>
      <c r="AO42" s="20">
        <v>-7.1054273576010019E-14</v>
      </c>
      <c r="AP42" s="20">
        <v>7.8641413736172172</v>
      </c>
      <c r="AQ42" s="20">
        <v>15.873644336176065</v>
      </c>
      <c r="AR42" s="20">
        <v>24.029192087144501</v>
      </c>
      <c r="AS42" s="20">
        <v>32.331471037028052</v>
      </c>
      <c r="AT42" s="20">
        <v>40.781170822461618</v>
      </c>
      <c r="AU42" s="20">
        <v>49.378984321372286</v>
      </c>
      <c r="AV42" s="20">
        <v>58.125607668213391</v>
      </c>
      <c r="AW42" s="20">
        <v>67.021740269270211</v>
      </c>
      <c r="AX42" s="20">
        <v>76.068084818037562</v>
      </c>
      <c r="AY42" s="20">
        <v>85.265347310669682</v>
      </c>
      <c r="AZ42" s="20">
        <v>94.614237061502735</v>
      </c>
      <c r="BA42" s="20">
        <v>104.11546671865027</v>
      </c>
      <c r="BB42" s="20">
        <v>113.76975227967196</v>
      </c>
      <c r="BC42" s="20">
        <v>123.57781310731602</v>
      </c>
      <c r="BD42" s="20">
        <v>133.54037194533555</v>
      </c>
      <c r="BE42" s="20">
        <v>143.65815493437935</v>
      </c>
      <c r="BF42" s="20">
        <v>153.93189162795721</v>
      </c>
      <c r="BG42" s="20">
        <v>164.36231500848046</v>
      </c>
      <c r="BH42" s="20">
        <v>0</v>
      </c>
    </row>
    <row r="43" spans="1:60" ht="15" hidden="1" customHeight="1" outlineLevel="1" x14ac:dyDescent="0.25">
      <c r="A43" s="172">
        <f>A18+A21+A36</f>
        <v>170.61013149150202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-0.93288192397955072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1446.1834229019682</v>
      </c>
      <c r="D46" s="181" t="s">
        <v>67</v>
      </c>
      <c r="E46" s="181"/>
      <c r="F46" s="182">
        <f>A27</f>
        <v>163.9616407195862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50.413125481061648</v>
      </c>
      <c r="D48" s="181" t="s">
        <v>67</v>
      </c>
      <c r="E48" s="181"/>
      <c r="F48" s="182">
        <f>A30</f>
        <v>5.7156088479362666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1496.5965483830298</v>
      </c>
      <c r="D49" s="189" t="s">
        <v>67</v>
      </c>
      <c r="E49" s="189"/>
      <c r="F49" s="190">
        <f>F46+F47+F48</f>
        <v>169.67724956752247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1416.9404643228254</v>
      </c>
      <c r="D50" s="185" t="s">
        <v>67</v>
      </c>
      <c r="E50" s="185"/>
      <c r="F50" s="186">
        <f>A18+A21</f>
        <v>160.64620825631684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87.884340181960724</v>
      </c>
      <c r="D51" s="181" t="s">
        <v>67</v>
      </c>
      <c r="E51" s="181"/>
      <c r="F51" s="192">
        <f>A36</f>
        <v>9.963923235185165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-8.2282561217563028</v>
      </c>
      <c r="D53" s="198" t="s">
        <v>67</v>
      </c>
      <c r="E53" s="198"/>
      <c r="F53" s="199">
        <f>F49-F50-F51</f>
        <v>-0.93288192397953829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12537613.231989505</v>
      </c>
      <c r="D57" s="207" t="s">
        <v>9</v>
      </c>
      <c r="E57" s="207"/>
      <c r="F57" s="208">
        <v>53.493953401009257</v>
      </c>
      <c r="G57" s="207" t="s">
        <v>8</v>
      </c>
      <c r="H57" s="56">
        <f>F57/$F$99</f>
        <v>0.25756808264051345</v>
      </c>
    </row>
    <row r="58" spans="1:8" s="164" customFormat="1" ht="15" hidden="1" customHeight="1" outlineLevel="1" x14ac:dyDescent="0.25">
      <c r="B58" s="209" t="s">
        <v>76</v>
      </c>
      <c r="C58" s="210">
        <v>139786.75152000002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89.69099786395482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0.37489383752721622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3569249.9728227849</v>
      </c>
      <c r="D78" s="181" t="s">
        <v>9</v>
      </c>
      <c r="E78" s="181"/>
      <c r="F78" s="192">
        <v>15.228838869871387</v>
      </c>
      <c r="G78" s="181" t="s">
        <v>8</v>
      </c>
      <c r="H78" s="61">
        <f>F78/$F$99</f>
        <v>7.3325349486697181E-2</v>
      </c>
    </row>
    <row r="79" spans="2:8" ht="15" hidden="1" customHeight="1" outlineLevel="1" x14ac:dyDescent="0.25">
      <c r="B79" s="180" t="s">
        <v>81</v>
      </c>
      <c r="C79" s="219">
        <v>4996949.9619518984</v>
      </c>
      <c r="D79" s="181" t="s">
        <v>9</v>
      </c>
      <c r="E79" s="181"/>
      <c r="F79" s="192">
        <v>21.320374417819941</v>
      </c>
      <c r="G79" s="181" t="s">
        <v>8</v>
      </c>
      <c r="H79" s="61">
        <f>F79/$F$99</f>
        <v>0.10265548928137605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2318834.026882702</v>
      </c>
      <c r="D81" s="226" t="s">
        <v>9</v>
      </c>
      <c r="E81" s="226"/>
      <c r="F81" s="227">
        <v>9.8937171759488312</v>
      </c>
      <c r="G81" s="226" t="s">
        <v>8</v>
      </c>
      <c r="H81" s="62">
        <f>F81/$F$99</f>
        <v>4.7637267414013522E-2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191.20891046015885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83.451221896398877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7.1750016751620333E-3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6656319.9619532153</v>
      </c>
      <c r="D92" s="226" t="s">
        <v>9</v>
      </c>
      <c r="E92" s="234"/>
      <c r="F92" s="235">
        <v>28.40037120928401</v>
      </c>
      <c r="G92" s="234" t="s">
        <v>8</v>
      </c>
      <c r="H92" s="66">
        <f>F92/$F$99</f>
        <v>0.13674497197502161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191.20891046015885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83.451221896398877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48676890.022465214</v>
      </c>
      <c r="D99" s="238" t="s">
        <v>9</v>
      </c>
      <c r="E99" s="239"/>
      <c r="F99" s="240">
        <v>207.68859577865675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10397.136469200002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105.55862399999999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35.707054430846306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303.16554000000002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102.55105673163109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342.47583600000002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115.84845324718894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147.68967599999999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49.958621095762446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914"/>
      <c r="G5" s="86"/>
      <c r="H5" s="914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917" t="s">
        <v>10</v>
      </c>
      <c r="G6" s="89"/>
      <c r="H6" s="917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222.09756642237258</v>
      </c>
      <c r="N7" s="272"/>
      <c r="O7" s="275">
        <f>M7</f>
        <v>222.09756642237258</v>
      </c>
      <c r="P7" s="276"/>
      <c r="Q7" s="277">
        <f>M7</f>
        <v>222.09756642237258</v>
      </c>
      <c r="R7" s="277"/>
      <c r="S7" s="277"/>
      <c r="T7" s="277"/>
      <c r="U7" s="277"/>
      <c r="V7" s="278">
        <f>Q7</f>
        <v>222.09756642237258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222.09756642237258</v>
      </c>
      <c r="R8" s="281">
        <f>M7</f>
        <v>222.09756642237258</v>
      </c>
      <c r="S8" s="281">
        <f>IF(R8&gt;=0,IF(M8&gt;=0,Q7,Q8),IF(M8&gt;=0,S7,Q8))</f>
        <v>222.09756642237258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6">
        <f>'C-Dados RT2 Simplif.'!C108</f>
        <v>10397.136469200002</v>
      </c>
      <c r="G9" s="97"/>
      <c r="H9" s="96">
        <f>'Demanda Preço &amp; Quantidade'!C42</f>
        <v>500</v>
      </c>
      <c r="L9" s="1030" t="s">
        <v>495</v>
      </c>
      <c r="M9" s="294">
        <f>'ANÁLISE DE SITES MULTICRITÉRIO'!I56</f>
        <v>0</v>
      </c>
      <c r="N9" s="274"/>
      <c r="O9" s="279"/>
      <c r="P9" s="280"/>
      <c r="Q9" s="281">
        <f>Q8+M9</f>
        <v>222.09756642237258</v>
      </c>
      <c r="R9" s="281">
        <f>M8</f>
        <v>0</v>
      </c>
      <c r="S9" s="281">
        <f>IF(R9&gt;=0,IF(M9&gt;=0,Q8,Q9),IF(M9&gt;=0,S8,Q9))</f>
        <v>222.09756642237258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222.09756642237258</v>
      </c>
      <c r="N10" s="272"/>
      <c r="O10" s="275">
        <f>M10</f>
        <v>222.09756642237258</v>
      </c>
      <c r="P10" s="276"/>
      <c r="Q10" s="277">
        <f>M10</f>
        <v>222.09756642237258</v>
      </c>
      <c r="R10" s="277"/>
      <c r="S10" s="277"/>
      <c r="T10" s="277"/>
      <c r="U10" s="277"/>
      <c r="V10" s="278">
        <f>Q10</f>
        <v>222.09756642237258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15.87378934778763</v>
      </c>
      <c r="N11" s="274"/>
      <c r="O11" s="279"/>
      <c r="P11" s="280"/>
      <c r="Q11" s="281">
        <f>Q10+M11</f>
        <v>237.97135577016022</v>
      </c>
      <c r="R11" s="281">
        <f t="shared" ref="R11:R21" si="0">M10</f>
        <v>222.09756642237258</v>
      </c>
      <c r="S11" s="281">
        <f>IF(R11&gt;=0,IF(M11&gt;=0,Q10,Q11),IF(M11&gt;=0,S10,Q11))</f>
        <v>222.09756642237258</v>
      </c>
      <c r="T11" s="281">
        <f>IF(M11&gt;=0,M11,0)</f>
        <v>15.87378934778763</v>
      </c>
      <c r="U11" s="281">
        <f t="shared" ref="U11:U22" si="1">IF(M11&lt;0,M11*-1,0)</f>
        <v>0</v>
      </c>
      <c r="V11" s="282">
        <f>SUM(T11:U11)</f>
        <v>15.87378934778763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646">
        <v>0</v>
      </c>
      <c r="G12" s="97"/>
      <c r="H12" s="64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237.97135577016022</v>
      </c>
      <c r="R12" s="281">
        <f t="shared" si="0"/>
        <v>15.87378934778763</v>
      </c>
      <c r="S12" s="281">
        <f>IF(R12&gt;=0,IF(M12&gt;=0,Q11,Q12),IF(M12&gt;=0,S11,Q12))</f>
        <v>237.97135577016022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237.97135577016022</v>
      </c>
      <c r="N13" s="272"/>
      <c r="O13" s="283">
        <f>M13</f>
        <v>237.97135577016022</v>
      </c>
      <c r="P13" s="284"/>
      <c r="Q13" s="285">
        <f>Q12+M13-O13</f>
        <v>237.97135577016022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237.97135577016022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237.97135577016022</v>
      </c>
      <c r="R14" s="281">
        <f t="shared" si="0"/>
        <v>237.97135577016022</v>
      </c>
      <c r="S14" s="281">
        <f>IF(R14&gt;=0,IF(M14&gt;=0,Q13,Q14),IF(M14&gt;=0,S13,Q14))</f>
        <v>237.97135577016022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646">
        <v>0</v>
      </c>
      <c r="G15" s="97"/>
      <c r="H15" s="64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237.97135577016022</v>
      </c>
      <c r="R15" s="281">
        <f t="shared" si="0"/>
        <v>0</v>
      </c>
      <c r="S15" s="281">
        <f>IF(R15&gt;=0,IF(M15&gt;=0,Q14,Q15),IF(M15&gt;=0,S14,Q15))</f>
        <v>237.97135577016022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237.97135577016022</v>
      </c>
      <c r="N16" s="272"/>
      <c r="O16" s="283">
        <f>M16</f>
        <v>237.97135577016022</v>
      </c>
      <c r="P16" s="284"/>
      <c r="Q16" s="285">
        <f>Q15+M16-O16</f>
        <v>237.97135577016022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237.97135577016022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99">
        <f>F23</f>
        <v>45.624833639755607</v>
      </c>
      <c r="G17" s="10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237.97135577016022</v>
      </c>
      <c r="R17" s="281">
        <f t="shared" si="0"/>
        <v>237.97135577016022</v>
      </c>
      <c r="S17" s="281">
        <f>IF(R17&gt;=0,IF(M17&gt;=0,Q16,Q17),IF(M17&gt;=0,S16,Q17))</f>
        <v>237.97135577016022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99">
        <f>F24</f>
        <v>49.958621095762446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237.97135577016022</v>
      </c>
      <c r="R18" s="281">
        <f t="shared" si="0"/>
        <v>0</v>
      </c>
      <c r="S18" s="281">
        <f>IF(R18&gt;=0,IF(M18&gt;=0,Q17,Q18),IF(M18&gt;=0,S17,Q18))</f>
        <v>237.97135577016022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237.97135577016022</v>
      </c>
      <c r="R19" s="281">
        <f t="shared" si="0"/>
        <v>0</v>
      </c>
      <c r="S19" s="281">
        <f>IF(R19&gt;=0,IF(M19&gt;=0,Q18,Q19),IF(M19&gt;=0,S18,Q19))</f>
        <v>237.97135577016022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237.97135577016022</v>
      </c>
      <c r="R20" s="281">
        <f t="shared" si="0"/>
        <v>0</v>
      </c>
      <c r="S20" s="281">
        <f>IF(R20&gt;=0,IF(M20&gt;=0,Q19,Q20),IF(M20&gt;=0,S19,Q20))</f>
        <v>237.97135577016022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37</v>
      </c>
      <c r="D21" s="78" t="s">
        <v>33</v>
      </c>
      <c r="F21" s="64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136.51058702016019</v>
      </c>
      <c r="R21" s="281">
        <f t="shared" si="0"/>
        <v>0</v>
      </c>
      <c r="S21" s="281">
        <f>IF(R21&gt;=0,IF(M21&gt;=0,Q20,Q21),IF(M21&gt;=0,S20,Q21))</f>
        <v>136.51058702016019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0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136.51058702016019</v>
      </c>
      <c r="N22" s="272"/>
      <c r="O22" s="289">
        <f>M22</f>
        <v>136.51058702016019</v>
      </c>
      <c r="P22" s="290"/>
      <c r="Q22" s="291">
        <f>Q21+M22-O22</f>
        <v>136.51058702016019</v>
      </c>
      <c r="R22" s="291">
        <f>M21</f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136.51058702016019</v>
      </c>
    </row>
    <row r="23" spans="2:22" ht="15" customHeight="1" outlineLevel="1" thickTop="1" x14ac:dyDescent="0.25">
      <c r="B23" s="1270"/>
      <c r="C23" s="91" t="s">
        <v>39</v>
      </c>
      <c r="D23" s="78" t="s">
        <v>32</v>
      </c>
      <c r="F23" s="99">
        <f>'C-Dados RT2 Simplif.'!C126</f>
        <v>45.624833639755607</v>
      </c>
      <c r="H23" s="107"/>
    </row>
    <row r="24" spans="2:22" ht="15" customHeight="1" outlineLevel="1" x14ac:dyDescent="0.25">
      <c r="B24" s="1270"/>
      <c r="C24" s="91" t="s">
        <v>111</v>
      </c>
      <c r="D24" s="78" t="s">
        <v>32</v>
      </c>
      <c r="F24" s="99">
        <f>'C-Dados RT2 Simplif.'!C129</f>
        <v>49.958621095762446</v>
      </c>
      <c r="H24" s="106"/>
    </row>
    <row r="25" spans="2:22" outlineLevel="1" x14ac:dyDescent="0.25">
      <c r="B25" s="1270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1271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7" t="s">
        <v>30</v>
      </c>
      <c r="C30" s="1257"/>
      <c r="D30" s="110"/>
      <c r="F30" s="355"/>
      <c r="H30" s="355"/>
      <c r="J30" s="355"/>
    </row>
    <row r="31" spans="2:22" s="110" customFormat="1" ht="15.75" hidden="1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14">
        <f>'C-Dados RT2 Simplif.'!C108</f>
        <v>10397.136469200002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15.87378934778763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RT2 Simplif.'!$C$93)*(1-'C-Dados RT2 Simplif.'!$C$89)/'C-Dados RT2 Simplif.'!$C$105*27/30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49.958621095762446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-85.586979402212378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222.09756642237258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422"/>
      <c r="E53" s="127"/>
      <c r="H53" s="423"/>
      <c r="I53" s="126"/>
      <c r="J53" s="1272"/>
      <c r="K53" s="1272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136.51058702016019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0" t="s">
        <v>473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8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8"/>
      <c r="M5" s="781"/>
      <c r="N5" s="1058"/>
      <c r="O5" s="1346" t="s">
        <v>378</v>
      </c>
      <c r="P5" s="1058"/>
      <c r="Q5" s="1346" t="s">
        <v>379</v>
      </c>
      <c r="R5" s="1058"/>
      <c r="S5" s="1346" t="s">
        <v>380</v>
      </c>
      <c r="T5" s="1058"/>
      <c r="U5" s="1346" t="s">
        <v>381</v>
      </c>
      <c r="V5" s="1058"/>
      <c r="W5" s="1346" t="s">
        <v>382</v>
      </c>
      <c r="X5" s="1058"/>
      <c r="Y5" s="1346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34.688236273239696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8"/>
      <c r="M6" s="793"/>
      <c r="N6" s="794"/>
      <c r="O6" s="1347"/>
      <c r="P6" s="1058"/>
      <c r="Q6" s="1347"/>
      <c r="R6" s="1058"/>
      <c r="S6" s="1347"/>
      <c r="T6" s="1058"/>
      <c r="U6" s="1347"/>
      <c r="V6" s="1058"/>
      <c r="W6" s="1347"/>
      <c r="X6" s="1058"/>
      <c r="Y6" s="1347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'2)Compostagem CDR Comp Org'!M22</f>
        <v>136.51058702016019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8"/>
      <c r="M8" s="793"/>
      <c r="N8" s="794"/>
      <c r="O8" s="800">
        <f>(O12-O10)/O10</f>
        <v>0</v>
      </c>
      <c r="P8" s="794"/>
      <c r="Q8" s="800">
        <f>(Q12-Q10)/Q10</f>
        <v>3.6332445006670706E-3</v>
      </c>
      <c r="R8" s="794"/>
      <c r="S8" s="800">
        <f>(S12-S10)/S10</f>
        <v>1.1335820354660674E-2</v>
      </c>
      <c r="T8" s="1058"/>
      <c r="U8" s="800">
        <f>(U12-U10)/U10</f>
        <v>1.133582035466087E-2</v>
      </c>
      <c r="V8" s="1058"/>
      <c r="W8" s="800">
        <f>(W12-W10)/W10</f>
        <v>1.133582035466087E-2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37.706546431964966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1.3256131938778313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37.843543534428051</v>
      </c>
      <c r="R12" s="794"/>
      <c r="S12" s="806">
        <f>S33</f>
        <v>256987.07077475433</v>
      </c>
      <c r="T12" s="1058"/>
      <c r="U12" s="806">
        <f>U33</f>
        <v>26464323.114821292</v>
      </c>
      <c r="V12" s="1058"/>
      <c r="W12" s="806">
        <f>W33</f>
        <v>26464323.114821292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2"/>
      <c r="G16" s="1334"/>
      <c r="H16" s="1336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37.706546431964966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1.440958111910126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7" t="s">
        <v>419</v>
      </c>
      <c r="G23" s="1338"/>
      <c r="H23" s="1339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219.74920555493046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37.706546431964966</v>
      </c>
      <c r="E25" s="1058"/>
      <c r="F25" s="839" t="s">
        <v>424</v>
      </c>
      <c r="G25" s="816" t="s">
        <v>425</v>
      </c>
      <c r="H25" s="842">
        <f>H24/12</f>
        <v>18.312433796244203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1.440958111910126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3" t="s">
        <v>427</v>
      </c>
      <c r="C29" s="1314"/>
      <c r="D29" s="1314"/>
      <c r="E29" s="1315"/>
      <c r="F29" s="1058"/>
      <c r="G29" s="1058"/>
      <c r="H29" s="781"/>
      <c r="I29" s="1058"/>
      <c r="J29" s="781"/>
      <c r="K29" s="1316" t="s">
        <v>428</v>
      </c>
      <c r="L29" s="1317"/>
      <c r="M29" s="1318"/>
      <c r="N29" s="1058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8"/>
      <c r="O31" s="1324" t="s">
        <v>433</v>
      </c>
      <c r="P31" s="1058"/>
      <c r="Q31" s="1324" t="s">
        <v>434</v>
      </c>
      <c r="R31" s="1058"/>
      <c r="S31" s="1324" t="s">
        <v>435</v>
      </c>
      <c r="T31" s="1058"/>
      <c r="U31" s="1324" t="s">
        <v>436</v>
      </c>
      <c r="V31" s="1058"/>
      <c r="W31" s="1324" t="s">
        <v>436</v>
      </c>
      <c r="X31" s="1058"/>
      <c r="Y31" s="1324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219.74920555493046</v>
      </c>
      <c r="M32" s="845">
        <f>H25</f>
        <v>18.312433796244203</v>
      </c>
      <c r="N32" s="846"/>
      <c r="O32" s="1325"/>
      <c r="P32" s="846"/>
      <c r="Q32" s="1325"/>
      <c r="R32" s="846"/>
      <c r="S32" s="1325"/>
      <c r="T32" s="1058"/>
      <c r="U32" s="1325"/>
      <c r="V32" s="1058"/>
      <c r="W32" s="1325"/>
      <c r="X32" s="1058"/>
      <c r="Y32" s="1326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37.843543534428051</v>
      </c>
      <c r="R33" s="1058"/>
      <c r="S33" s="806">
        <f>12*S34</f>
        <v>256987.07077475433</v>
      </c>
      <c r="T33" s="1058" t="s">
        <v>438</v>
      </c>
      <c r="U33" s="806">
        <f>12*U34</f>
        <v>26464323.114821292</v>
      </c>
      <c r="V33" s="1058" t="s">
        <v>439</v>
      </c>
      <c r="W33" s="806">
        <f>12*W34</f>
        <v>26464323.114821292</v>
      </c>
      <c r="X33" s="1058" t="s">
        <v>439</v>
      </c>
      <c r="Y33" s="1311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21415.589231229529</v>
      </c>
      <c r="T34" s="1058" t="s">
        <v>441</v>
      </c>
      <c r="U34" s="806">
        <f>U36+U49+U62+U75+U88</f>
        <v>2205360.2595684412</v>
      </c>
      <c r="V34" s="1058" t="s">
        <v>442</v>
      </c>
      <c r="W34" s="806">
        <f>W36+W49+W62+W75+W88</f>
        <v>2205360.2595684412</v>
      </c>
      <c r="X34" s="1058" t="s">
        <v>442</v>
      </c>
      <c r="Y34" s="1312"/>
      <c r="Z34" s="1058"/>
      <c r="AA34" s="1058"/>
      <c r="AB34" s="777"/>
    </row>
    <row r="35" spans="1:28" s="778" customFormat="1" ht="25.15" customHeight="1" outlineLevel="1" x14ac:dyDescent="0.25">
      <c r="A35" s="1058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26.800819124359528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8"/>
      <c r="O36" s="806">
        <f>O39+O41+O42+O43+O44+O45</f>
        <v>40</v>
      </c>
      <c r="P36" s="1058"/>
      <c r="Q36" s="853">
        <f>Q39+Q41+Q42+Q43+Q44+Q45</f>
        <v>1072.0327649743811</v>
      </c>
      <c r="R36" s="1058"/>
      <c r="S36" s="1283">
        <f>IF(AND(Q36&lt;&gt;0,O36&lt;&gt;0),Q36*(1-D17-D18-D19)/(($D$25*1000000/$D$8)),0)</f>
        <v>6.6104082337634562</v>
      </c>
      <c r="T36" s="1285" t="s">
        <v>448</v>
      </c>
      <c r="U36" s="1283">
        <f>U39+U41+U42+U43+U44+U45</f>
        <v>680.73455560152934</v>
      </c>
      <c r="V36" s="1058" t="s">
        <v>449</v>
      </c>
      <c r="W36" s="1283">
        <f>W39*O39+W41*O41+W42*O42+W43*O43+W44*O44+W45*O45</f>
        <v>680.73455560152945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8"/>
      <c r="O37" s="859" t="s">
        <v>455</v>
      </c>
      <c r="P37" s="1058"/>
      <c r="Q37" s="860">
        <v>0.66</v>
      </c>
      <c r="R37" s="1058"/>
      <c r="S37" s="1284"/>
      <c r="T37" s="1286"/>
      <c r="U37" s="1284"/>
      <c r="V37" s="1058"/>
      <c r="W37" s="1287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54.937301388732614</v>
      </c>
      <c r="K39" s="876">
        <f>$M$32*H39*$B$38*$C$38</f>
        <v>4.5781084490610509</v>
      </c>
      <c r="L39" s="875">
        <f>J39*$D$38</f>
        <v>68.671626735915765</v>
      </c>
      <c r="M39" s="876">
        <f>K39*$D$38</f>
        <v>5.7226355613263138</v>
      </c>
      <c r="N39" s="1058"/>
      <c r="O39" s="877">
        <v>2</v>
      </c>
      <c r="P39" s="1058"/>
      <c r="Q39" s="878">
        <f>O39*$Q$37*M39+O39*(1-$Q$37)*K39</f>
        <v>10.666992686312248</v>
      </c>
      <c r="R39" s="1058"/>
      <c r="S39" s="879">
        <f>IF(AND(Q39&lt;&gt;0,O39&lt;&gt;0),Q39*(1-D17-D18-D19)/O39/30/(($D$25*1000000/$D$8))*1000,0)</f>
        <v>1.0962534384350671</v>
      </c>
      <c r="T39" s="1058" t="s">
        <v>459</v>
      </c>
      <c r="U39" s="880">
        <f>S39*O39*30*$D$11*(1+$D$24)/1000</f>
        <v>6.7734781651893465</v>
      </c>
      <c r="V39" s="1058" t="s">
        <v>460</v>
      </c>
      <c r="W39" s="880">
        <f>IF(O39&lt;&gt;0,U39/O39,0)</f>
        <v>3.3867390825946733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159.31817402732457</v>
      </c>
      <c r="K41" s="876">
        <f>$M$32*(H39+(G41-F41)*H41)*$B$38*$C$38</f>
        <v>13.276514502277047</v>
      </c>
      <c r="L41" s="875">
        <f t="shared" ref="L41:M45" si="0">J41*$D$38</f>
        <v>199.14771753415573</v>
      </c>
      <c r="M41" s="876">
        <f t="shared" si="0"/>
        <v>16.595643127846309</v>
      </c>
      <c r="N41" s="1058"/>
      <c r="O41" s="877">
        <v>2</v>
      </c>
      <c r="P41" s="1058"/>
      <c r="Q41" s="878">
        <f>O41*$Q$37*M41+O41*(1-$Q$37)*K41</f>
        <v>30.93427879030552</v>
      </c>
      <c r="R41" s="1058"/>
      <c r="S41" s="879">
        <f>IF(AND(Q41&lt;&gt;0,O41&lt;&gt;0),Q41*(1-D17-D18-D19)/O41/30/(($D$25*1000000/$D$8))*1000,0)</f>
        <v>3.1791349714616945</v>
      </c>
      <c r="T41" s="1058" t="s">
        <v>459</v>
      </c>
      <c r="U41" s="880">
        <f>S41*O41*30*$D$11*(1+$D$24)/1000</f>
        <v>19.643086679049105</v>
      </c>
      <c r="V41" s="1058" t="s">
        <v>460</v>
      </c>
      <c r="W41" s="880">
        <f>IF(O41&lt;&gt;0,U41/O41,0)</f>
        <v>9.8215433395245526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269.19277680478984</v>
      </c>
      <c r="K42" s="876">
        <f>$M$32*(H39+(G41-F41)*H41+(G42-F42)*H42)*$B$38*$C$38</f>
        <v>22.432731400399152</v>
      </c>
      <c r="L42" s="875">
        <f t="shared" si="0"/>
        <v>336.49097100598732</v>
      </c>
      <c r="M42" s="876">
        <f t="shared" si="0"/>
        <v>28.04091425049894</v>
      </c>
      <c r="N42" s="1058"/>
      <c r="O42" s="877">
        <v>28</v>
      </c>
      <c r="P42" s="1058"/>
      <c r="Q42" s="878">
        <f>O42*$Q$37*M42+O42*(1-$Q$37)*K42</f>
        <v>731.75569828102039</v>
      </c>
      <c r="R42" s="1058"/>
      <c r="S42" s="879">
        <f>IF(AND(Q42&lt;&gt;0,O42&lt;&gt;0),Q42*(1-D17-D18-D19)/O42/30/(($D$25*1000000/$D$8))*1000,0)</f>
        <v>5.37164184833183</v>
      </c>
      <c r="T42" s="1058" t="s">
        <v>459</v>
      </c>
      <c r="U42" s="880">
        <f>S42*O42*30*$D$11*(1+$D$24)/1000</f>
        <v>464.66060213198921</v>
      </c>
      <c r="V42" s="1058" t="s">
        <v>460</v>
      </c>
      <c r="W42" s="880">
        <f>IF(O42&lt;&gt;0,U42/O42,0)</f>
        <v>16.595021504713902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384.56110972112828</v>
      </c>
      <c r="K43" s="876">
        <f>$M$32*(H39+(G41-F41)*H41+(G42-F42)*H42+(G43-F43)*H43)*$B$38*$C$38</f>
        <v>32.046759143427359</v>
      </c>
      <c r="L43" s="875">
        <f t="shared" si="0"/>
        <v>480.70138715141036</v>
      </c>
      <c r="M43" s="876">
        <f t="shared" si="0"/>
        <v>40.058448929284197</v>
      </c>
      <c r="N43" s="1058"/>
      <c r="O43" s="877">
        <v>8</v>
      </c>
      <c r="P43" s="1058"/>
      <c r="Q43" s="878">
        <f>O43*$Q$37*M43+O43*(1-$Q$37)*K43</f>
        <v>298.67579521674298</v>
      </c>
      <c r="R43" s="1058"/>
      <c r="S43" s="879">
        <f>IF(AND(Q43&lt;&gt;0,O43&lt;&gt;0),Q43*(1-D17-D18-D19)/O43/30/(($D$25*1000000/$D$8))*1000,0)</f>
        <v>7.6737740690454705</v>
      </c>
      <c r="T43" s="1058" t="s">
        <v>459</v>
      </c>
      <c r="U43" s="880">
        <f>S43*O43*30*$D$11*(1+$D$24)/1000</f>
        <v>189.65738862530173</v>
      </c>
      <c r="V43" s="1058" t="s">
        <v>460</v>
      </c>
      <c r="W43" s="880">
        <f>IF(O43&lt;&gt;0,U43/O43,0)</f>
        <v>23.707173578162717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565.85420430394595</v>
      </c>
      <c r="K44" s="876">
        <f>$M$32*(H39+(G41-F41)*H41+(G42-F42)*H42+(G43-F43)*H43+(G44-F44)*H44)*$B$38*$C$38</f>
        <v>47.154517025328829</v>
      </c>
      <c r="L44" s="875">
        <f t="shared" si="0"/>
        <v>707.31775537993246</v>
      </c>
      <c r="M44" s="876">
        <f t="shared" si="0"/>
        <v>58.943146281661036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1197.633170274371</v>
      </c>
      <c r="K45" s="876">
        <f>$M$32*(H39+(G41-F41)*H41+(G42-F42)*H42+(G43-F43)*H43+(G44-F44)*H44+(G45-F45)*H45)*$B$38*$C$38</f>
        <v>99.802764189530919</v>
      </c>
      <c r="L45" s="875">
        <f t="shared" si="0"/>
        <v>1497.0414628429637</v>
      </c>
      <c r="M45" s="876">
        <f t="shared" si="0"/>
        <v>124.75345523691365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21.831688384846689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8"/>
      <c r="O49" s="806">
        <f>O52+O54+O55+O56+O57+O58</f>
        <v>127341</v>
      </c>
      <c r="P49" s="1058"/>
      <c r="Q49" s="894">
        <f>Q52+Q54+Q55+Q56+Q57+Q58</f>
        <v>2780069.0306147621</v>
      </c>
      <c r="R49" s="1058"/>
      <c r="S49" s="1308">
        <f>IF(AND(Q49&lt;&gt;0,O49&lt;&gt;0),Q49*(1-D17-D18-D19)/(($D$25*1000000/$D$8)),0)</f>
        <v>17142.564864466418</v>
      </c>
      <c r="T49" s="1285" t="s">
        <v>448</v>
      </c>
      <c r="U49" s="1283">
        <f>U52+U54+U55+U56+U57+U58</f>
        <v>1765327.6261032382</v>
      </c>
      <c r="V49" s="1058" t="s">
        <v>449</v>
      </c>
      <c r="W49" s="1309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8"/>
      <c r="O50" s="895" t="s">
        <v>455</v>
      </c>
      <c r="P50" s="1058"/>
      <c r="Q50" s="860">
        <v>0.75</v>
      </c>
      <c r="R50" s="1058"/>
      <c r="S50" s="1284"/>
      <c r="T50" s="1286"/>
      <c r="U50" s="1284"/>
      <c r="V50" s="1058"/>
      <c r="W50" s="1310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77.04956519769749</v>
      </c>
      <c r="K52" s="876">
        <f>$M$32*H52*$B$51*$C$51</f>
        <v>6.4207970998081239</v>
      </c>
      <c r="L52" s="875">
        <f>J52*$D$51</f>
        <v>96.311956497121855</v>
      </c>
      <c r="M52" s="876">
        <f>K52*$D$51</f>
        <v>8.0259963747601546</v>
      </c>
      <c r="N52" s="1058"/>
      <c r="O52" s="877">
        <v>62341</v>
      </c>
      <c r="P52" s="1058"/>
      <c r="Q52" s="878">
        <f>O52*$Q$50*M52+O52*(1-$Q$50)*K52</f>
        <v>475331.20799897669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245.15770744721925</v>
      </c>
      <c r="K54" s="876">
        <f>$M$32*(H52+(G54-F54)*H54)*$B$51*$C$51</f>
        <v>20.429808953934941</v>
      </c>
      <c r="L54" s="875">
        <f t="shared" ref="L54:M58" si="1">J54*$D$51</f>
        <v>306.44713430902408</v>
      </c>
      <c r="M54" s="876">
        <f t="shared" si="1"/>
        <v>25.537261192418676</v>
      </c>
      <c r="N54" s="1058"/>
      <c r="O54" s="877">
        <v>42500</v>
      </c>
      <c r="P54" s="1058"/>
      <c r="Q54" s="878">
        <f>O54*$Q$50*M54+O54*(1-$Q$50)*K54</f>
        <v>1031066.920643904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420.27035562380451</v>
      </c>
      <c r="K55" s="876">
        <f>$M$32*(H52+(G54-F54)*H54+(G55-F55)*H55)*$B$51*$C$51</f>
        <v>35.022529635317035</v>
      </c>
      <c r="L55" s="875">
        <f t="shared" si="1"/>
        <v>525.33794452975565</v>
      </c>
      <c r="M55" s="876">
        <f t="shared" si="1"/>
        <v>43.778162044146292</v>
      </c>
      <c r="N55" s="1058"/>
      <c r="O55" s="877">
        <v>10000</v>
      </c>
      <c r="P55" s="1058"/>
      <c r="Q55" s="878">
        <f>O55*$Q$50*M55+O55*(1-$Q$50)*K55</f>
        <v>415892.5394193898</v>
      </c>
      <c r="R55" s="1058"/>
      <c r="S55" s="879">
        <f>IF(AND(Q55&lt;&gt;0,O55&lt;&gt;0),Q55*(1-D17-D18-D19)/O55/30/(($D$25*1000000/$D$8))*1000,0)</f>
        <v>8.5483067208442591</v>
      </c>
      <c r="T55" s="1058" t="s">
        <v>459</v>
      </c>
      <c r="U55" s="880">
        <f>S55*O55*30*$D$11*(1+$D$24)/1000</f>
        <v>264089.33779781958</v>
      </c>
      <c r="V55" s="1058" t="s">
        <v>460</v>
      </c>
      <c r="W55" s="899">
        <f>IF(O55&lt;&gt;0,U55/O55,0)</f>
        <v>26.408933779781957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693.44608677927738</v>
      </c>
      <c r="K56" s="876">
        <f>$M$32*(H52+(G54-F54)*H54+(G55-F55)*H55+(G56-F56)*H56)*$B$51*$C$51</f>
        <v>57.78717389827311</v>
      </c>
      <c r="L56" s="875">
        <f t="shared" si="1"/>
        <v>866.8076084740967</v>
      </c>
      <c r="M56" s="876">
        <f t="shared" si="1"/>
        <v>72.233967372841391</v>
      </c>
      <c r="N56" s="1058"/>
      <c r="O56" s="877">
        <v>12500</v>
      </c>
      <c r="P56" s="1058"/>
      <c r="Q56" s="878">
        <f>O56*$Q$50*M56+O56*(1-$Q$50)*K56</f>
        <v>857778.36255249148</v>
      </c>
      <c r="R56" s="1058"/>
      <c r="S56" s="879">
        <f>IF(AND(Q56&lt;&gt;0,O56&lt;&gt;0),Q56*(1-D17-D18-D19)/O56/30/(($D$25*1000000/$D$8))*1000,0)</f>
        <v>14.10470608939303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1428.9192091209352</v>
      </c>
      <c r="K57" s="876">
        <f>$M$32*(H52+(G54-F54)*H54+(G55-F55)*H55+(G56-F56)*H56+(G57-F57)*H57)*$B$51*$C$51</f>
        <v>119.07660076007792</v>
      </c>
      <c r="L57" s="875">
        <f t="shared" si="1"/>
        <v>1786.149011401169</v>
      </c>
      <c r="M57" s="876">
        <f t="shared" si="1"/>
        <v>148.8457509500974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3004.9330427102018</v>
      </c>
      <c r="K58" s="876">
        <f>$M$32*(H52+(G54-F54)*H54+(G55-F55)*H55+(G56-F56)*H56+(G57-F57)*H57+(G58-F58)*H58)*$B$51*$C$51</f>
        <v>250.41108689251678</v>
      </c>
      <c r="L58" s="875">
        <f t="shared" si="1"/>
        <v>3756.1663033877521</v>
      </c>
      <c r="M58" s="876">
        <f t="shared" si="1"/>
        <v>313.01385861564597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7.5249497562882404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8"/>
      <c r="O62" s="806">
        <f>O65+O67+O68+O69+O70+O71</f>
        <v>42447</v>
      </c>
      <c r="P62" s="1058"/>
      <c r="Q62" s="853">
        <f>Q65+Q67+Q68+Q69+Q70+Q71</f>
        <v>319411.54230516695</v>
      </c>
      <c r="R62" s="1058"/>
      <c r="S62" s="1283">
        <f>IF(AND(Q62&lt;&gt;0,O62&lt;&gt;0),Q62*(1-D17-D18-D19)/(H15)/(($D$25*1000000/$D$8)),0)</f>
        <v>3939.1346201319097</v>
      </c>
      <c r="T62" s="1285" t="s">
        <v>448</v>
      </c>
      <c r="U62" s="1283">
        <f>U65+U67+U68+U69+U70+U71</f>
        <v>405648.93426611472</v>
      </c>
      <c r="V62" s="1058" t="s">
        <v>449</v>
      </c>
      <c r="W62" s="1283">
        <f>W65*O65+W67*O67+W68*O68+W69*O69+W70*O70+W71*O71</f>
        <v>405648.93426611467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8"/>
      <c r="O63" s="895" t="s">
        <v>455</v>
      </c>
      <c r="P63" s="1058"/>
      <c r="Q63" s="860">
        <v>0.66</v>
      </c>
      <c r="R63" s="1058"/>
      <c r="S63" s="1284"/>
      <c r="T63" s="1286"/>
      <c r="U63" s="1284"/>
      <c r="V63" s="1058"/>
      <c r="W63" s="1287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38.524782598848745</v>
      </c>
      <c r="K65" s="876">
        <f>$M$32*H65*$B$64*$C$64</f>
        <v>3.2103985499040619</v>
      </c>
      <c r="L65" s="875">
        <f>J65*$D$51</f>
        <v>48.155978248560928</v>
      </c>
      <c r="M65" s="876">
        <f>K65*$D$51</f>
        <v>4.0129981873800773</v>
      </c>
      <c r="N65" s="1058"/>
      <c r="O65" s="877">
        <v>25947</v>
      </c>
      <c r="P65" s="1058"/>
      <c r="Q65" s="878">
        <f>O65*$Q$63*M65+O65*(1-$Q$63)*K65</f>
        <v>97044.746018130216</v>
      </c>
      <c r="R65" s="1058"/>
      <c r="S65" s="879">
        <f>IF(AND(Q65&lt;&gt;0,O65&lt;&gt;0),Q65*(1-D17-D18-D19)/(H15)/O65/30/(($D$25*1000000/$D$8))*1000,0)</f>
        <v>1.5374954474051821</v>
      </c>
      <c r="T65" s="1058" t="s">
        <v>459</v>
      </c>
      <c r="U65" s="880">
        <f>S65*O65*30*$D$11*(1+$D$24)/1000</f>
        <v>123245.69586395782</v>
      </c>
      <c r="V65" s="1058" t="s">
        <v>460</v>
      </c>
      <c r="W65" s="880">
        <f>IF(O65&lt;&gt;0,U65/O65,0)</f>
        <v>4.74990156333903</v>
      </c>
      <c r="X65" s="1058" t="s">
        <v>461</v>
      </c>
      <c r="Y65" s="881" t="str">
        <f>IF(O65=0,"-", IF(W65&lt;=(G65*(1+$Y$63)),"OK", "NOK"))</f>
        <v>OK</v>
      </c>
      <c r="Z65" s="897">
        <f>W65</f>
        <v>4.74990156333903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122.57885372360963</v>
      </c>
      <c r="K67" s="876">
        <f>$M$32*(H65+(G67-F67)*H67)*$B$64*$C$64</f>
        <v>10.214904476967471</v>
      </c>
      <c r="L67" s="875">
        <f t="shared" ref="L67:M71" si="3">J67*$D$51</f>
        <v>153.22356715451204</v>
      </c>
      <c r="M67" s="876">
        <f t="shared" si="3"/>
        <v>12.768630596209338</v>
      </c>
      <c r="N67" s="1058"/>
      <c r="O67" s="877">
        <v>15000</v>
      </c>
      <c r="P67" s="1058"/>
      <c r="Q67" s="878">
        <f>O67*$Q$63*M67+O67*(1-$Q$63)*K67</f>
        <v>178505.45573500654</v>
      </c>
      <c r="R67" s="1058"/>
      <c r="S67" s="879">
        <f>IF(AND(Q67&lt;&gt;0,O67&lt;&gt;0),Q67*(1-D17-D18-D19)/O67/30/(H15)/(($D$25*1000000/$D$8))*1000,0)</f>
        <v>4.8920309690164876</v>
      </c>
      <c r="T67" s="1058" t="s">
        <v>459</v>
      </c>
      <c r="U67" s="880">
        <f>S67*O67*30*$D$11*(1+$D$24)/1000</f>
        <v>226699.84734118098</v>
      </c>
      <c r="V67" s="1058" t="s">
        <v>460</v>
      </c>
      <c r="W67" s="880">
        <f>IF(O67&lt;&gt;0,U67/O67,0)</f>
        <v>15.113323156078732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15.113323156078732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210.13517781190225</v>
      </c>
      <c r="K68" s="876">
        <f>$M$32*(H65+(G67-F67)*H67+(G68-F68)*H68)*$B$64*$C$64</f>
        <v>17.511264817658518</v>
      </c>
      <c r="L68" s="875">
        <f t="shared" si="3"/>
        <v>262.66897226487782</v>
      </c>
      <c r="M68" s="876">
        <f t="shared" si="3"/>
        <v>21.889081022073146</v>
      </c>
      <c r="N68" s="1058"/>
      <c r="O68" s="877">
        <v>500</v>
      </c>
      <c r="P68" s="1058"/>
      <c r="Q68" s="878">
        <f>O68*$Q$63*M68+O68*(1-$Q$63)*K68</f>
        <v>10200.311756286086</v>
      </c>
      <c r="R68" s="1058"/>
      <c r="S68" s="879">
        <f>IF(AND(Q68&lt;&gt;0,O68&lt;&gt;0),Q68*(1-D17-D18-D19)/O68/30/(H15)/(($D$25*1000000/$D$8))*1000,0)</f>
        <v>8.3863388040282629</v>
      </c>
      <c r="T68" s="1058" t="s">
        <v>459</v>
      </c>
      <c r="U68" s="880">
        <f>S68*O68*30*$D$11*(1+$D$24)/1000</f>
        <v>12954.276990924625</v>
      </c>
      <c r="V68" s="1058" t="s">
        <v>460</v>
      </c>
      <c r="W68" s="880">
        <f>IF(O68&lt;&gt;0,U68/O68,0)</f>
        <v>25.908553981849252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51.817107963698504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346.72304338963869</v>
      </c>
      <c r="K69" s="876">
        <f>$M$32*(H65+(G67-F67)*H67+(G68-F68)*H68+(G69-F69)*H69)*$B$64*$C$64</f>
        <v>28.893586949136555</v>
      </c>
      <c r="L69" s="875">
        <f t="shared" si="3"/>
        <v>433.40380423704835</v>
      </c>
      <c r="M69" s="876">
        <f t="shared" si="3"/>
        <v>36.116983686420696</v>
      </c>
      <c r="N69" s="1058"/>
      <c r="O69" s="877">
        <v>1000</v>
      </c>
      <c r="P69" s="1058"/>
      <c r="Q69" s="878">
        <f>O69*$Q$63*M69+O69*(1-$Q$63)*K69</f>
        <v>33661.028795744089</v>
      </c>
      <c r="R69" s="1058"/>
      <c r="S69" s="879">
        <f>IF(AND(Q69&lt;&gt;0,O69&lt;&gt;0),Q69*(1-D17-D18-D19)/O69/30/(H15)/(($D$25*1000000/$D$8))*1000,0)</f>
        <v>13.837459026646634</v>
      </c>
      <c r="T69" s="1058" t="s">
        <v>459</v>
      </c>
      <c r="U69" s="880">
        <f>S69*O69*30*$D$11*(1+$D$24)/1000</f>
        <v>42749.11407005127</v>
      </c>
      <c r="V69" s="1058" t="s">
        <v>460</v>
      </c>
      <c r="W69" s="880">
        <f>IF(O69&lt;&gt;0,U69/O69,0)</f>
        <v>42.74911407005127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85.49822814010254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714.4596045604676</v>
      </c>
      <c r="K70" s="876">
        <f>$M$32*(H65+(G67-F67)*H67+(G68-F68)*H68+(G69-F69)*H69+(G70-F70)*H70)*$B$64*$C$64</f>
        <v>59.538300380038962</v>
      </c>
      <c r="L70" s="875">
        <f t="shared" si="3"/>
        <v>893.0745057005845</v>
      </c>
      <c r="M70" s="876">
        <f t="shared" si="3"/>
        <v>74.422875475048698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1502.4665213551009</v>
      </c>
      <c r="K71" s="876">
        <f>$M$32*(H65+(G67-F67)*H67+(G68-F68)*H68+(G69-F69)*H69+(G70-F70)*H70+(G71-F71)*H71)*$B$64*$C$64</f>
        <v>125.20554344625839</v>
      </c>
      <c r="L71" s="875">
        <f t="shared" si="3"/>
        <v>1878.0831516938761</v>
      </c>
      <c r="M71" s="876">
        <f t="shared" si="3"/>
        <v>156.50692930782299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29.743815448001975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8"/>
      <c r="O75" s="806">
        <f>O78+O80+O81+O82+O83+O84</f>
        <v>1741</v>
      </c>
      <c r="P75" s="1058"/>
      <c r="Q75" s="853">
        <f>Q78+Q80+Q81+Q82+Q83+Q84</f>
        <v>51783.982694971441</v>
      </c>
      <c r="R75" s="1058"/>
      <c r="S75" s="1283">
        <f>IF(AND(Q75&lt;&gt;0,O75&lt;&gt;0),Q75*(1-D17-D18-D19)/(($D$25*1000000/$D$8)),0)</f>
        <v>319.31231653361266</v>
      </c>
      <c r="T75" s="1285" t="s">
        <v>448</v>
      </c>
      <c r="U75" s="1283">
        <f>U78+U80+U81+U82+U83+U84</f>
        <v>32882.527100728199</v>
      </c>
      <c r="V75" s="1058" t="s">
        <v>449</v>
      </c>
      <c r="W75" s="1283">
        <f>W78*O78+W80*O80+W81*O81+W82*O82+W83*O83+W84*O84</f>
        <v>32882.527100728199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8"/>
      <c r="O76" s="895" t="s">
        <v>455</v>
      </c>
      <c r="P76" s="1058"/>
      <c r="Q76" s="860">
        <v>0.66</v>
      </c>
      <c r="R76" s="1058"/>
      <c r="S76" s="1284"/>
      <c r="T76" s="1286"/>
      <c r="U76" s="1284"/>
      <c r="V76" s="1058"/>
      <c r="W76" s="1287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74.165356874789026</v>
      </c>
      <c r="K78" s="876">
        <f>$M$32*H78*$B$77*$C$77</f>
        <v>6.1804464062324183</v>
      </c>
      <c r="L78" s="875">
        <f>J78*$D$77</f>
        <v>92.706696093486286</v>
      </c>
      <c r="M78" s="876">
        <f>K78*$D$77</f>
        <v>7.7255580077905233</v>
      </c>
      <c r="N78" s="1058"/>
      <c r="O78" s="877">
        <v>264</v>
      </c>
      <c r="P78" s="1058"/>
      <c r="Q78" s="878">
        <f>O78*$Q$76*M78+O78*(1-$Q$76)*K78</f>
        <v>1900.8580967008425</v>
      </c>
      <c r="R78" s="1058"/>
      <c r="S78" s="879">
        <f>IF(AND(Q78&lt;&gt;0,O78&lt;&gt;0),Q78*(1-D17-D18-D19)/O78/30/(($D$25*1000000/$D$8))*1000,0)</f>
        <v>1.4799421418873404</v>
      </c>
      <c r="T78" s="1058" t="s">
        <v>459</v>
      </c>
      <c r="U78" s="880">
        <f>S78*O78*30*$D$11*(1+$D$24)/1000</f>
        <v>1207.0338090367416</v>
      </c>
      <c r="V78" s="1058" t="s">
        <v>460</v>
      </c>
      <c r="W78" s="880">
        <f>IF(O78&lt;&gt;0,U78/O78,0)</f>
        <v>4.5720977615028087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271.93964187422642</v>
      </c>
      <c r="K80" s="876">
        <f>$M$32*(H78+(G80-F80)*H80)*$B$77*$C$77</f>
        <v>22.661636822852202</v>
      </c>
      <c r="L80" s="875">
        <f t="shared" ref="L80:M84" si="4">J80*$D$77</f>
        <v>339.92455234278304</v>
      </c>
      <c r="M80" s="876">
        <f t="shared" si="4"/>
        <v>28.327046028565253</v>
      </c>
      <c r="N80" s="1058"/>
      <c r="O80" s="877">
        <v>994</v>
      </c>
      <c r="P80" s="1058"/>
      <c r="Q80" s="878">
        <f>O80*$Q$76*M80+O80*(1-$Q$76)*K80</f>
        <v>26242.40205723108</v>
      </c>
      <c r="R80" s="1058"/>
      <c r="S80" s="879">
        <f>IF(AND(Q80&lt;&gt;0,O80&lt;&gt;0),Q80*(1-D17-D18-D19)/O80/30/(($D$25*1000000/$D$8))*1000,0)</f>
        <v>5.426454520253583</v>
      </c>
      <c r="T80" s="1058" t="s">
        <v>459</v>
      </c>
      <c r="U80" s="880">
        <f>S80*O80*30*$D$11*(1+$D$24)/1000</f>
        <v>16663.772308090571</v>
      </c>
      <c r="V80" s="1058" t="s">
        <v>460</v>
      </c>
      <c r="W80" s="880">
        <f>IF(O80&lt;&gt;0,U80/O80,0)</f>
        <v>16.764358458843631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412.02976041549459</v>
      </c>
      <c r="K81" s="876">
        <f>$M$32*(H78+(G80-F80)*H80+(G81-F81)*H81)*$B$77*$C$77</f>
        <v>34.335813367957883</v>
      </c>
      <c r="L81" s="875">
        <f t="shared" si="4"/>
        <v>515.0372005193683</v>
      </c>
      <c r="M81" s="876">
        <f t="shared" si="4"/>
        <v>42.919766709947353</v>
      </c>
      <c r="N81" s="1058"/>
      <c r="O81" s="877">
        <v>183</v>
      </c>
      <c r="P81" s="1058"/>
      <c r="Q81" s="878">
        <f>O81*$Q$76*M81+O81*(1-$Q$76)*K81</f>
        <v>7320.223730981781</v>
      </c>
      <c r="R81" s="1058"/>
      <c r="S81" s="879">
        <f>IF(AND(Q81&lt;&gt;0,O81&lt;&gt;0),Q81*(1-D17-D18-D19)/O81/30/(($D$25*1000000/$D$8))*1000,0)</f>
        <v>8.2219007882630049</v>
      </c>
      <c r="T81" s="1058" t="s">
        <v>459</v>
      </c>
      <c r="U81" s="880">
        <f>S81*O81*30*$D$11*(1+$D$24)/1000</f>
        <v>4648.2993908611897</v>
      </c>
      <c r="V81" s="1058" t="s">
        <v>460</v>
      </c>
      <c r="W81" s="880">
        <f>IF(O81&lt;&gt;0,U81/O81,0)</f>
        <v>25.400543119460053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560.36047416507267</v>
      </c>
      <c r="K82" s="876">
        <f>$M$32*(H78+(G80-F80)*H80+(G81-F81)*H81+(G82-F82)*H82)*$B$77*$C$77</f>
        <v>46.696706180422723</v>
      </c>
      <c r="L82" s="875">
        <f t="shared" si="4"/>
        <v>700.45059270634079</v>
      </c>
      <c r="M82" s="876">
        <f t="shared" si="4"/>
        <v>58.370882725528404</v>
      </c>
      <c r="N82" s="1058"/>
      <c r="O82" s="877">
        <v>300</v>
      </c>
      <c r="P82" s="1058"/>
      <c r="Q82" s="878">
        <f>O82*$Q$76*M82+O82*(1-$Q$76)*K82</f>
        <v>16320.498810057741</v>
      </c>
      <c r="R82" s="1058"/>
      <c r="S82" s="879">
        <f>IF(AND(Q82&lt;&gt;0,O82&lt;&gt;0),Q82*(1-D17-D18-D19)/O82/30/(($D$25*1000000/$D$8))*1000,0)</f>
        <v>11.181785072037686</v>
      </c>
      <c r="T82" s="1058" t="s">
        <v>459</v>
      </c>
      <c r="U82" s="880">
        <f>S82*O82*30*$D$11*(1+$D$24)/1000</f>
        <v>10363.421592739702</v>
      </c>
      <c r="V82" s="1058" t="s">
        <v>460</v>
      </c>
      <c r="W82" s="880">
        <f>IF(O82&lt;&gt;0,U82/O82,0)</f>
        <v>34.544738642465674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795.21743760190452</v>
      </c>
      <c r="K83" s="876">
        <f>$M$32*(H78+(G80-F80)*H80+(G81-F81)*H81+(G82-F82)*H82+(G83-F83)*H83)*$B$77*$C$77</f>
        <v>66.268119800158715</v>
      </c>
      <c r="L83" s="875">
        <f t="shared" si="4"/>
        <v>994.02179700238071</v>
      </c>
      <c r="M83" s="876">
        <f t="shared" si="4"/>
        <v>82.835149750198397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1536.8710063497947</v>
      </c>
      <c r="K84" s="876">
        <f>$M$32*(H78+(G80-F80)*H80+(G81-F81)*H81+(G82-F82)*H82+(G83-F83)*H83+(G84-F84)*H84)*$B$77*$C$77</f>
        <v>128.07258386248287</v>
      </c>
      <c r="L84" s="875">
        <f t="shared" si="4"/>
        <v>1921.0887579372434</v>
      </c>
      <c r="M84" s="876">
        <f t="shared" si="4"/>
        <v>160.09072982810358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64.601974456478558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8"/>
      <c r="O88" s="881">
        <f>O91+O93+O94+O95+O96</f>
        <v>20</v>
      </c>
      <c r="P88" s="1058"/>
      <c r="Q88" s="853">
        <f>Q91+Q93+Q94+Q95+Q96</f>
        <v>1292.0394891295712</v>
      </c>
      <c r="R88" s="1058"/>
      <c r="S88" s="1283">
        <f>IF(AND(Q88&lt;&gt;0,O88&lt;&gt;0),Q88*(1-D17-D18-D19)/(($D$25*1000000/$D$8)),0)</f>
        <v>7.9670218638268517</v>
      </c>
      <c r="T88" s="1285" t="s">
        <v>448</v>
      </c>
      <c r="U88" s="1283">
        <f>U91+U93+U94+U95+U96+Z97</f>
        <v>820.43754275855963</v>
      </c>
      <c r="V88" s="1058" t="s">
        <v>449</v>
      </c>
      <c r="W88" s="1283">
        <f>W91*O91+W93*O93+W94*O94+W95*O95+W96*O96</f>
        <v>820.43754275855963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8"/>
      <c r="O89" s="895" t="s">
        <v>455</v>
      </c>
      <c r="P89" s="1058"/>
      <c r="Q89" s="860">
        <v>0.66</v>
      </c>
      <c r="R89" s="1058"/>
      <c r="S89" s="1284"/>
      <c r="T89" s="1286"/>
      <c r="U89" s="1284"/>
      <c r="V89" s="1058"/>
      <c r="W89" s="1287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57.684166458169237</v>
      </c>
      <c r="K91" s="876">
        <f>$M$32*H91*$B$90*$C$90</f>
        <v>4.8070138715141031</v>
      </c>
      <c r="L91" s="875">
        <f>J91*$D$90</f>
        <v>72.105208072711548</v>
      </c>
      <c r="M91" s="876">
        <f>K91*$D$90</f>
        <v>6.0087673393926284</v>
      </c>
      <c r="N91" s="1058"/>
      <c r="O91" s="877">
        <v>1</v>
      </c>
      <c r="P91" s="1058"/>
      <c r="Q91" s="878">
        <f>O91*$Q$76*M91+O91*(1-$Q$76)*K91</f>
        <v>5.6001711603139297</v>
      </c>
      <c r="R91" s="1058"/>
      <c r="S91" s="879">
        <f>IF(AND(Q91&lt;&gt;0,O91&lt;&gt;0),Q91*(1-D17-D18-D19)/O91/30/(($D$25*1000000/$D$8))*1000,0)</f>
        <v>1.1510661103568203</v>
      </c>
      <c r="T91" s="1058" t="s">
        <v>459</v>
      </c>
      <c r="U91" s="880">
        <f>S91*O91*30*$D$11*(1+$D$24)/1000</f>
        <v>3.5560760367244066</v>
      </c>
      <c r="V91" s="1058" t="s">
        <v>460</v>
      </c>
      <c r="W91" s="880">
        <f>IF(O91&lt;&gt;0,U91/O91,0)</f>
        <v>3.5560760367244066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181.29309458281764</v>
      </c>
      <c r="K93" s="876">
        <f>$M$32*(H91+(G93-F93)*H93)*$B$90*$C$90</f>
        <v>15.107757881901469</v>
      </c>
      <c r="L93" s="875">
        <f t="shared" ref="L93:M96" si="5">J93*$D$90</f>
        <v>226.61636822852205</v>
      </c>
      <c r="M93" s="876">
        <f t="shared" si="5"/>
        <v>18.884697352376836</v>
      </c>
      <c r="N93" s="1058"/>
      <c r="O93" s="877">
        <v>2</v>
      </c>
      <c r="P93" s="1058"/>
      <c r="Q93" s="878">
        <f>O93*$Q$76*M93+O93*(1-$Q$76)*K93</f>
        <v>35.201075864830422</v>
      </c>
      <c r="R93" s="1058"/>
      <c r="S93" s="879">
        <f>IF(AND(Q93&lt;&gt;0,O93&lt;&gt;0),Q93*(1-D17-D18-D19)/O93/30/(($D$25*1000000/$D$8))*1000,0)</f>
        <v>3.617636346835722</v>
      </c>
      <c r="T93" s="1058" t="s">
        <v>459</v>
      </c>
      <c r="U93" s="880">
        <f>S93*O93*30*$D$11*(1+$D$24)/1000</f>
        <v>22.352477945124846</v>
      </c>
      <c r="V93" s="1058" t="s">
        <v>460</v>
      </c>
      <c r="W93" s="880">
        <f>IF(O93&lt;&gt;0,U93/O93,0)</f>
        <v>11.176238972562423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758.13475916451</v>
      </c>
      <c r="K94" s="876">
        <f>$M$32*(H91+(G93-F93)*H93+(G94-F94)*H94)*$B$90*$C$90</f>
        <v>63.177896597042505</v>
      </c>
      <c r="L94" s="875">
        <f t="shared" si="5"/>
        <v>947.66844895563747</v>
      </c>
      <c r="M94" s="876">
        <f t="shared" si="5"/>
        <v>78.972370746303127</v>
      </c>
      <c r="N94" s="1058"/>
      <c r="O94" s="877">
        <v>17</v>
      </c>
      <c r="P94" s="1058"/>
      <c r="Q94" s="878">
        <f>O94*$Q$76*M94+O94*(1-$Q$76)*K94</f>
        <v>1251.2382421044267</v>
      </c>
      <c r="R94" s="1058"/>
      <c r="S94" s="879">
        <f>IF(AND(Q94&lt;&gt;0,O94&lt;&gt;0),Q94*(1-D17-D18-D19)/O94/30/(($D$25*1000000/$D$8))*1000,0)</f>
        <v>15.128297450403926</v>
      </c>
      <c r="T94" s="1058" t="s">
        <v>459</v>
      </c>
      <c r="U94" s="880">
        <f>S94*O94*30*$D$11*(1+$D$24)/1000</f>
        <v>794.52898877671043</v>
      </c>
      <c r="V94" s="1058" t="s">
        <v>460</v>
      </c>
      <c r="W94" s="880">
        <f>IF(O94&lt;&gt;0,U94/O94,0)</f>
        <v>46.736999339806495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4383.9966508208636</v>
      </c>
      <c r="K95" s="876">
        <f>$M$32*(H91+(G93-F93)*H93+(G94-F94)*H94+(G95-F95)*H95)*$B$90*$C$90</f>
        <v>365.33305423507187</v>
      </c>
      <c r="L95" s="875">
        <f t="shared" si="5"/>
        <v>5479.9958135260795</v>
      </c>
      <c r="M95" s="876">
        <f t="shared" si="5"/>
        <v>456.66631779383982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9328.3537758067978</v>
      </c>
      <c r="K96" s="876">
        <f>$M$32*(H91+(G93-F93)*H93+(G94-F94)*H94+(G95-F95)*H95+(G96-F96)*H96)*$B$90*$C$90</f>
        <v>777.36281465056652</v>
      </c>
      <c r="L96" s="875">
        <f t="shared" si="5"/>
        <v>11660.442219758497</v>
      </c>
      <c r="M96" s="876">
        <f t="shared" si="5"/>
        <v>971.70351831320818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473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34.688236273239696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'2)Compostagem CDR Comp Org'!M22-'2)Compostagem CDR Comp Org'!M8-'2)Compostagem CDR Comp Org'!M9</f>
        <v>136.51058702016019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5.9292925928743729E-3</v>
      </c>
      <c r="R8" s="794"/>
      <c r="S8" s="800">
        <f>(S12-S10)/S10</f>
        <v>1.5233061901367093E-2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37.706546431964966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1.3256131938778313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37.93011957842689</v>
      </c>
      <c r="R12" s="794"/>
      <c r="S12" s="806">
        <f>S33</f>
        <v>257977.38543486252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37.706546431964966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1.440958111910126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219.74920555493046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37.706546431964966</v>
      </c>
      <c r="E25" s="1059"/>
      <c r="F25" s="839" t="s">
        <v>424</v>
      </c>
      <c r="G25" s="816" t="s">
        <v>425</v>
      </c>
      <c r="H25" s="842">
        <f>H24/12</f>
        <v>18.312433796244203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1.440958111910126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219.74920555493046</v>
      </c>
      <c r="M32" s="845">
        <f>H25</f>
        <v>18.312433796244203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37.93011957842689</v>
      </c>
      <c r="R33" s="1059"/>
      <c r="S33" s="806">
        <f>12*S34</f>
        <v>257977.38543486252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21498.115452905211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27.318431510881489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1092.7372604352595</v>
      </c>
      <c r="R36" s="1059"/>
      <c r="S36" s="1283">
        <f>IF(AND(Q36&lt;&gt;0,O36&lt;&gt;0),Q36*(1-D17-D18-D19)/(($D$25*1000000/$D$8)),0)</f>
        <v>6.7380770623125343</v>
      </c>
      <c r="T36" s="1285" t="s">
        <v>448</v>
      </c>
      <c r="U36" s="1283">
        <f>U39+U41+U42+U43+U44+U45</f>
        <v>693.88178950799681</v>
      </c>
      <c r="V36" s="1059" t="s">
        <v>449</v>
      </c>
      <c r="W36" s="128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54.937301388732614</v>
      </c>
      <c r="K39" s="876">
        <f>$M$32*H39*$B$38*$C$38</f>
        <v>4.5781084490610509</v>
      </c>
      <c r="L39" s="875">
        <f>J39*$D$38</f>
        <v>68.671626735915765</v>
      </c>
      <c r="M39" s="876">
        <f>K39*$D$38</f>
        <v>5.7226355613263138</v>
      </c>
      <c r="N39" s="1059"/>
      <c r="O39" s="877">
        <v>2</v>
      </c>
      <c r="P39" s="1059"/>
      <c r="Q39" s="878">
        <f>O39*$Q$37*M39+O39*(1-$Q$37)*K39</f>
        <v>10.873007566519997</v>
      </c>
      <c r="R39" s="1059"/>
      <c r="S39" s="879">
        <f>IF(AND(Q39&lt;&gt;0,O39&lt;&gt;0),Q39*(1-D17-D18-D19)/O39/30/(($D$25*1000000/$D$8))*1000,0)</f>
        <v>1.1174257151430405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159.31817402732457</v>
      </c>
      <c r="K41" s="876">
        <f>$M$32*(H39+(G41-F41)*H41)*$B$38*$C$38</f>
        <v>13.276514502277047</v>
      </c>
      <c r="L41" s="875">
        <f t="shared" ref="L41:M45" si="0">J41*$D$38</f>
        <v>199.14771753415573</v>
      </c>
      <c r="M41" s="876">
        <f t="shared" si="0"/>
        <v>16.595643127846309</v>
      </c>
      <c r="N41" s="1059"/>
      <c r="O41" s="877">
        <v>2</v>
      </c>
      <c r="P41" s="1059"/>
      <c r="Q41" s="878">
        <f>O41*$Q$37*M41+O41*(1-$Q$37)*K41</f>
        <v>31.531721942907986</v>
      </c>
      <c r="R41" s="1059"/>
      <c r="S41" s="879">
        <f>IF(AND(Q41&lt;&gt;0,O41&lt;&gt;0),Q41*(1-D17-D18-D19)/O41/30/(($D$25*1000000/$D$8))*1000,0)</f>
        <v>3.2405345739148173</v>
      </c>
      <c r="T41" s="1059" t="s">
        <v>459</v>
      </c>
      <c r="U41" s="880">
        <f>S41*O41*30*$D$11*(1+$D$24)/1000</f>
        <v>20.022459597743186</v>
      </c>
      <c r="V41" s="1059" t="s">
        <v>460</v>
      </c>
      <c r="W41" s="880">
        <f>IF(O41&lt;&gt;0,U41/O41,0)</f>
        <v>10.011229798871593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269.19277680478984</v>
      </c>
      <c r="K42" s="876">
        <f>$M$32*(H39+(G41-F41)*H41+(G42-F42)*H42)*$B$38*$C$38</f>
        <v>22.432731400399152</v>
      </c>
      <c r="L42" s="875">
        <f t="shared" si="0"/>
        <v>336.49097100598732</v>
      </c>
      <c r="M42" s="876">
        <f t="shared" si="0"/>
        <v>28.04091425049894</v>
      </c>
      <c r="N42" s="1059"/>
      <c r="O42" s="877">
        <v>28</v>
      </c>
      <c r="P42" s="1059"/>
      <c r="Q42" s="878">
        <f>O42*$Q$37*M42+O42*(1-$Q$37)*K42</f>
        <v>745.88831906327175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384.56110972112828</v>
      </c>
      <c r="K43" s="876">
        <f>$M$32*(H39+(G41-F41)*H41+(G42-F42)*H42+(G43-F43)*H43)*$B$38*$C$38</f>
        <v>32.046759143427359</v>
      </c>
      <c r="L43" s="875">
        <f t="shared" si="0"/>
        <v>480.70138715141036</v>
      </c>
      <c r="M43" s="876">
        <f t="shared" si="0"/>
        <v>40.058448929284197</v>
      </c>
      <c r="N43" s="1059"/>
      <c r="O43" s="877">
        <v>8</v>
      </c>
      <c r="P43" s="1059"/>
      <c r="Q43" s="878">
        <f>O43*$Q$37*M43+O43*(1-$Q$37)*K43</f>
        <v>304.44421186255988</v>
      </c>
      <c r="R43" s="1059"/>
      <c r="S43" s="879">
        <f>IF(AND(Q43&lt;&gt;0,O43&lt;&gt;0),Q43*(1-D17-D18-D19)/O43/30/(($D$25*1000000/$D$8))*1000,0)</f>
        <v>7.8219800060012856</v>
      </c>
      <c r="T43" s="1059" t="s">
        <v>459</v>
      </c>
      <c r="U43" s="880">
        <f>S43*O43*30*$D$11*(1+$D$24)/1000</f>
        <v>193.32029956441701</v>
      </c>
      <c r="V43" s="1059" t="s">
        <v>460</v>
      </c>
      <c r="W43" s="880">
        <f>IF(O43&lt;&gt;0,U43/O43,0)</f>
        <v>24.165037445552127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565.85420430394595</v>
      </c>
      <c r="K44" s="876">
        <f>$M$32*(H39+(G41-F41)*H41+(G42-F42)*H42+(G43-F43)*H43+(G44-F44)*H44)*$B$38*$C$38</f>
        <v>47.154517025328829</v>
      </c>
      <c r="L44" s="875">
        <f t="shared" si="0"/>
        <v>707.31775537993246</v>
      </c>
      <c r="M44" s="876">
        <f t="shared" si="0"/>
        <v>58.943146281661036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1197.633170274371</v>
      </c>
      <c r="K45" s="876">
        <f>$M$32*(H39+(G41-F41)*H41+(G42-F42)*H42+(G43-F43)*H43+(G44-F44)*H44+(G45-F45)*H45)*$B$38*$C$38</f>
        <v>99.802764189530919</v>
      </c>
      <c r="L45" s="875">
        <f t="shared" si="0"/>
        <v>1497.0414628429637</v>
      </c>
      <c r="M45" s="876">
        <f t="shared" si="0"/>
        <v>124.75345523691365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21.831688384846689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2780069.0306147621</v>
      </c>
      <c r="R49" s="1059"/>
      <c r="S49" s="1308">
        <f>IF(AND(Q49&lt;&gt;0,O49&lt;&gt;0),Q49*(1-D17-D18-D19)/(($D$25*1000000/$D$8)),0)</f>
        <v>17142.564864466418</v>
      </c>
      <c r="T49" s="1285" t="s">
        <v>448</v>
      </c>
      <c r="U49" s="1283">
        <f>U52+U54+U55+U56+U57+U58</f>
        <v>1765327.6261032382</v>
      </c>
      <c r="V49" s="1059" t="s">
        <v>449</v>
      </c>
      <c r="W49" s="1309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77.04956519769749</v>
      </c>
      <c r="K52" s="876">
        <f>$M$32*H52*$B$51*$C$51</f>
        <v>6.4207970998081239</v>
      </c>
      <c r="L52" s="875">
        <f>J52*$D$51</f>
        <v>96.311956497121855</v>
      </c>
      <c r="M52" s="876">
        <f>K52*$D$51</f>
        <v>8.0259963747601546</v>
      </c>
      <c r="N52" s="1059"/>
      <c r="O52" s="877">
        <v>62341</v>
      </c>
      <c r="P52" s="1059"/>
      <c r="Q52" s="878">
        <f>O52*$Q$50*M52+O52*(1-$Q$50)*K52</f>
        <v>475331.20799897669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245.15770744721925</v>
      </c>
      <c r="K54" s="876">
        <f>$M$32*(H52+(G54-F54)*H54)*$B$51*$C$51</f>
        <v>20.429808953934941</v>
      </c>
      <c r="L54" s="875">
        <f t="shared" ref="L54:M58" si="1">J54*$D$51</f>
        <v>306.44713430902408</v>
      </c>
      <c r="M54" s="876">
        <f t="shared" si="1"/>
        <v>25.537261192418676</v>
      </c>
      <c r="N54" s="1059"/>
      <c r="O54" s="877">
        <v>42500</v>
      </c>
      <c r="P54" s="1059"/>
      <c r="Q54" s="878">
        <f>O54*$Q$50*M54+O54*(1-$Q$50)*K54</f>
        <v>1031066.920643904</v>
      </c>
      <c r="R54" s="1059"/>
      <c r="S54" s="879">
        <f>IF(AND(Q54&lt;&gt;0,O54&lt;&gt;0),Q54*(1-D17-D18-D19)/O54/30/(($D$25*1000000/$D$8))*1000,0)</f>
        <v>4.9865122538258193</v>
      </c>
      <c r="T54" s="1059" t="s">
        <v>459</v>
      </c>
      <c r="U54" s="880">
        <f>S54*O54*30*$D$11*(1+$D$24)/1000</f>
        <v>654721.48329042795</v>
      </c>
      <c r="V54" s="1059" t="s">
        <v>460</v>
      </c>
      <c r="W54" s="898">
        <f>IF(O54&lt;&gt;0,U54/O54,0)</f>
        <v>15.405211371539481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420.27035562380451</v>
      </c>
      <c r="K55" s="876">
        <f>$M$32*(H52+(G54-F54)*H54+(G55-F55)*H55)*$B$51*$C$51</f>
        <v>35.022529635317035</v>
      </c>
      <c r="L55" s="875">
        <f t="shared" si="1"/>
        <v>525.33794452975565</v>
      </c>
      <c r="M55" s="876">
        <f t="shared" si="1"/>
        <v>43.778162044146292</v>
      </c>
      <c r="N55" s="1059"/>
      <c r="O55" s="877">
        <v>10000</v>
      </c>
      <c r="P55" s="1059"/>
      <c r="Q55" s="878">
        <f>O55*$Q$50*M55+O55*(1-$Q$50)*K55</f>
        <v>415892.5394193898</v>
      </c>
      <c r="R55" s="1059"/>
      <c r="S55" s="879">
        <f>IF(AND(Q55&lt;&gt;0,O55&lt;&gt;0),Q55*(1-D17-D18-D19)/O55/30/(($D$25*1000000/$D$8))*1000,0)</f>
        <v>8.5483067208442591</v>
      </c>
      <c r="T55" s="1059" t="s">
        <v>459</v>
      </c>
      <c r="U55" s="880">
        <f>S55*O55*30*$D$11*(1+$D$24)/1000</f>
        <v>264089.33779781958</v>
      </c>
      <c r="V55" s="1059" t="s">
        <v>460</v>
      </c>
      <c r="W55" s="899">
        <f>IF(O55&lt;&gt;0,U55/O55,0)</f>
        <v>26.408933779781957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693.44608677927738</v>
      </c>
      <c r="K56" s="876">
        <f>$M$32*(H52+(G54-F54)*H54+(G55-F55)*H55+(G56-F56)*H56)*$B$51*$C$51</f>
        <v>57.78717389827311</v>
      </c>
      <c r="L56" s="875">
        <f t="shared" si="1"/>
        <v>866.8076084740967</v>
      </c>
      <c r="M56" s="876">
        <f t="shared" si="1"/>
        <v>72.233967372841391</v>
      </c>
      <c r="N56" s="1059"/>
      <c r="O56" s="877">
        <v>12500</v>
      </c>
      <c r="P56" s="1059"/>
      <c r="Q56" s="878">
        <f>O56*$Q$50*M56+O56*(1-$Q$50)*K56</f>
        <v>857778.36255249148</v>
      </c>
      <c r="R56" s="1059"/>
      <c r="S56" s="879">
        <f>IF(AND(Q56&lt;&gt;0,O56&lt;&gt;0),Q56*(1-D17-D18-D19)/O56/30/(($D$25*1000000/$D$8))*1000,0)</f>
        <v>14.10470608939303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1428.9192091209352</v>
      </c>
      <c r="K57" s="876">
        <f>$M$32*(H52+(G54-F54)*H54+(G55-F55)*H55+(G56-F56)*H56+(G57-F57)*H57)*$B$51*$C$51</f>
        <v>119.07660076007792</v>
      </c>
      <c r="L57" s="875">
        <f t="shared" si="1"/>
        <v>1786.149011401169</v>
      </c>
      <c r="M57" s="876">
        <f t="shared" si="1"/>
        <v>148.8457509500974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3004.9330427102018</v>
      </c>
      <c r="K58" s="876">
        <f>$M$32*(H52+(G54-F54)*H54+(G55-F55)*H55+(G56-F56)*H56+(G57-F57)*H57+(G58-F58)*H58)*$B$51*$C$51</f>
        <v>250.41108689251678</v>
      </c>
      <c r="L58" s="875">
        <f t="shared" si="1"/>
        <v>3756.1663033877521</v>
      </c>
      <c r="M58" s="876">
        <f t="shared" si="1"/>
        <v>313.01385861564597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7.6702814039418747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325580.43475312076</v>
      </c>
      <c r="R62" s="1059"/>
      <c r="S62" s="1283">
        <f>IF(AND(Q62&lt;&gt;0,O62&lt;&gt;0),Q62*(1-D17-D18-D19)/(H15)/(($D$25*1000000/$D$8)),0)</f>
        <v>4015.2123273876759</v>
      </c>
      <c r="T62" s="1285" t="s">
        <v>448</v>
      </c>
      <c r="U62" s="1283">
        <f>U65+U67+U68+U69+U70+U71</f>
        <v>413483.35574335721</v>
      </c>
      <c r="V62" s="1059" t="s">
        <v>449</v>
      </c>
      <c r="W62" s="1283">
        <f>W65*O65+W67*O67+W68*O68+W69*O69+W70*O70+W71*O71</f>
        <v>413483.35574335721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38.524782598848745</v>
      </c>
      <c r="K65" s="876">
        <f>$M$32*H65*$B$64*$C$64</f>
        <v>3.2103985499040619</v>
      </c>
      <c r="L65" s="875">
        <f>J65*$D$51</f>
        <v>48.155978248560928</v>
      </c>
      <c r="M65" s="876">
        <f>K65*$D$51</f>
        <v>4.0129981873800773</v>
      </c>
      <c r="N65" s="1059"/>
      <c r="O65" s="877">
        <v>25947</v>
      </c>
      <c r="P65" s="1059"/>
      <c r="Q65" s="878">
        <f>O65*$Q$63*M65+O65*(1-$Q$63)*K65</f>
        <v>98919.000769553328</v>
      </c>
      <c r="R65" s="1059"/>
      <c r="S65" s="879">
        <f>IF(AND(Q65&lt;&gt;0,O65&lt;&gt;0),Q65*(1-D17-D18-D19)/(H15)/O65/30/(($D$25*1000000/$D$8))*1000,0)</f>
        <v>1.5671895654881143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122.57885372360963</v>
      </c>
      <c r="K67" s="876">
        <f>$M$32*(H65+(G67-F67)*H67)*$B$64*$C$64</f>
        <v>10.214904476967471</v>
      </c>
      <c r="L67" s="875">
        <f t="shared" ref="L67:M71" si="3">J67*$D$51</f>
        <v>153.22356715451204</v>
      </c>
      <c r="M67" s="876">
        <f t="shared" si="3"/>
        <v>12.768630596209338</v>
      </c>
      <c r="N67" s="1059"/>
      <c r="O67" s="877">
        <v>15000</v>
      </c>
      <c r="P67" s="1059"/>
      <c r="Q67" s="878">
        <f>O67*$Q$63*M67+O67*(1-$Q$63)*K67</f>
        <v>181952.98599598306</v>
      </c>
      <c r="R67" s="1059"/>
      <c r="S67" s="879">
        <f>IF(AND(Q67&lt;&gt;0,O67&lt;&gt;0),Q67*(1-D17-D18-D19)/O67/30/(H15)/(($D$25*1000000/$D$8))*1000,0)</f>
        <v>4.9865122538258193</v>
      </c>
      <c r="T67" s="1059" t="s">
        <v>459</v>
      </c>
      <c r="U67" s="880">
        <f>S67*O67*30*$D$11*(1+$D$24)/1000</f>
        <v>231078.17057309221</v>
      </c>
      <c r="V67" s="1059" t="s">
        <v>460</v>
      </c>
      <c r="W67" s="880">
        <f>IF(O67&lt;&gt;0,U67/O67,0)</f>
        <v>15.405211371539481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210.13517781190225</v>
      </c>
      <c r="K68" s="876">
        <f>$M$32*(H65+(G67-F67)*H67+(G68-F68)*H68)*$B$64*$C$64</f>
        <v>17.511264817658518</v>
      </c>
      <c r="L68" s="875">
        <f t="shared" si="3"/>
        <v>262.66897226487782</v>
      </c>
      <c r="M68" s="876">
        <f t="shared" si="3"/>
        <v>21.889081022073146</v>
      </c>
      <c r="N68" s="1059"/>
      <c r="O68" s="877">
        <v>500</v>
      </c>
      <c r="P68" s="1059"/>
      <c r="Q68" s="878">
        <f>O68*$Q$63*M68+O68*(1-$Q$63)*K68</f>
        <v>10397.313485484745</v>
      </c>
      <c r="R68" s="1059"/>
      <c r="S68" s="879">
        <f>IF(AND(Q68&lt;&gt;0,O68&lt;&gt;0),Q68*(1-D17-D18-D19)/O68/30/(H15)/(($D$25*1000000/$D$8))*1000,0)</f>
        <v>8.5483067208442574</v>
      </c>
      <c r="T68" s="1059" t="s">
        <v>459</v>
      </c>
      <c r="U68" s="880">
        <f>S68*O68*30*$D$11*(1+$D$24)/1000</f>
        <v>13204.466889890977</v>
      </c>
      <c r="V68" s="1059" t="s">
        <v>460</v>
      </c>
      <c r="W68" s="880">
        <f>IF(O68&lt;&gt;0,U68/O68,0)</f>
        <v>26.408933779781954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52.817867559563908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346.72304338963869</v>
      </c>
      <c r="K69" s="876">
        <f>$M$32*(H65+(G67-F67)*H67+(G68-F68)*H68+(G69-F69)*H69)*$B$64*$C$64</f>
        <v>28.893586949136555</v>
      </c>
      <c r="L69" s="875">
        <f t="shared" si="3"/>
        <v>433.40380423704835</v>
      </c>
      <c r="M69" s="876">
        <f t="shared" si="3"/>
        <v>36.116983686420696</v>
      </c>
      <c r="N69" s="1059"/>
      <c r="O69" s="877">
        <v>1000</v>
      </c>
      <c r="P69" s="1059"/>
      <c r="Q69" s="878">
        <f>O69*$Q$63*M69+O69*(1-$Q$63)*K69</f>
        <v>34311.13450209966</v>
      </c>
      <c r="R69" s="1059"/>
      <c r="S69" s="879">
        <f>IF(AND(Q69&lt;&gt;0,O69&lt;&gt;0),Q69*(1-D17-D18-D19)/O69/30/(H15)/(($D$25*1000000/$D$8))*1000,0)</f>
        <v>14.10470608939303</v>
      </c>
      <c r="T69" s="1059" t="s">
        <v>459</v>
      </c>
      <c r="U69" s="880">
        <f>S69*O69*30*$D$11*(1+$D$24)/1000</f>
        <v>43574.74073664024</v>
      </c>
      <c r="V69" s="1059" t="s">
        <v>460</v>
      </c>
      <c r="W69" s="880">
        <f>IF(O69&lt;&gt;0,U69/O69,0)</f>
        <v>43.574740736640237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714.4596045604676</v>
      </c>
      <c r="K70" s="876">
        <f>$M$32*(H65+(G67-F67)*H67+(G68-F68)*H68+(G69-F69)*H69+(G70-F70)*H70)*$B$64*$C$64</f>
        <v>59.538300380038962</v>
      </c>
      <c r="L70" s="875">
        <f t="shared" si="3"/>
        <v>893.0745057005845</v>
      </c>
      <c r="M70" s="876">
        <f t="shared" si="3"/>
        <v>74.422875475048698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1502.4665213551009</v>
      </c>
      <c r="K71" s="876">
        <f>$M$32*(H65+(G67-F67)*H67+(G68-F68)*H68+(G69-F69)*H69+(G70-F70)*H70+(G71-F71)*H71)*$B$64*$C$64</f>
        <v>125.20554344625839</v>
      </c>
      <c r="L71" s="875">
        <f t="shared" si="3"/>
        <v>1878.0831516938761</v>
      </c>
      <c r="M71" s="876">
        <f t="shared" si="3"/>
        <v>156.50692930782299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30.318266819315323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52784.102532427976</v>
      </c>
      <c r="R75" s="1059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33517.597366622096</v>
      </c>
      <c r="V75" s="1059" t="s">
        <v>449</v>
      </c>
      <c r="W75" s="128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74.165356874789026</v>
      </c>
      <c r="K78" s="876">
        <f>$M$32*H78*$B$77*$C$77</f>
        <v>6.1804464062324183</v>
      </c>
      <c r="L78" s="875">
        <f>J78*$D$77</f>
        <v>92.706696093486286</v>
      </c>
      <c r="M78" s="876">
        <f>K78*$D$77</f>
        <v>7.7255580077905233</v>
      </c>
      <c r="N78" s="1059"/>
      <c r="O78" s="877">
        <v>264</v>
      </c>
      <c r="P78" s="1059"/>
      <c r="Q78" s="878">
        <f>O78*$Q$76*M78+O78*(1-$Q$76)*K78</f>
        <v>1937.5699483538633</v>
      </c>
      <c r="R78" s="1059"/>
      <c r="S78" s="879">
        <f>IF(AND(Q78&lt;&gt;0,O78&lt;&gt;0),Q78*(1-D17-D18-D19)/O78/30/(($D$25*1000000/$D$8))*1000,0)</f>
        <v>1.508524715443105</v>
      </c>
      <c r="T78" s="1059" t="s">
        <v>459</v>
      </c>
      <c r="U78" s="880">
        <f>S78*O78*30*$D$11*(1+$D$24)/1000</f>
        <v>1230.345620799254</v>
      </c>
      <c r="V78" s="1059" t="s">
        <v>460</v>
      </c>
      <c r="W78" s="880">
        <f>IF(O78&lt;&gt;0,U78/O78,0)</f>
        <v>4.6604000787850532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271.93964187422642</v>
      </c>
      <c r="K80" s="876">
        <f>$M$32*(H78+(G80-F80)*H80)*$B$77*$C$77</f>
        <v>22.661636822852202</v>
      </c>
      <c r="L80" s="875">
        <f t="shared" ref="L80:M84" si="4">J80*$D$77</f>
        <v>339.92455234278304</v>
      </c>
      <c r="M80" s="876">
        <f t="shared" si="4"/>
        <v>28.327046028565253</v>
      </c>
      <c r="N80" s="1059"/>
      <c r="O80" s="877">
        <v>994</v>
      </c>
      <c r="P80" s="1059"/>
      <c r="Q80" s="878">
        <f>O80*$Q$76*M80+O80*(1-$Q$76)*K80</f>
        <v>26749.22956477417</v>
      </c>
      <c r="R80" s="1059"/>
      <c r="S80" s="879">
        <f>IF(AND(Q80&lt;&gt;0,O80&lt;&gt;0),Q80*(1-D17-D18-D19)/O80/30/(($D$25*1000000/$D$8))*1000,0)</f>
        <v>5.5312572899580505</v>
      </c>
      <c r="T80" s="1059" t="s">
        <v>459</v>
      </c>
      <c r="U80" s="880">
        <f>S80*O80*30*$D$11*(1+$D$24)/1000</f>
        <v>16985.604820478587</v>
      </c>
      <c r="V80" s="1059" t="s">
        <v>460</v>
      </c>
      <c r="W80" s="880">
        <f>IF(O80&lt;&gt;0,U80/O80,0)</f>
        <v>17.08813362221186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412.02976041549459</v>
      </c>
      <c r="K81" s="876">
        <f>$M$32*(H78+(G80-F80)*H80+(G81-F81)*H81)*$B$77*$C$77</f>
        <v>34.335813367957883</v>
      </c>
      <c r="L81" s="875">
        <f t="shared" si="4"/>
        <v>515.0372005193683</v>
      </c>
      <c r="M81" s="876">
        <f t="shared" si="4"/>
        <v>42.919766709947353</v>
      </c>
      <c r="N81" s="1059"/>
      <c r="O81" s="877">
        <v>183</v>
      </c>
      <c r="P81" s="1059"/>
      <c r="Q81" s="878">
        <f>O81*$Q$76*M81+O81*(1-$Q$76)*K81</f>
        <v>7461.6014425243475</v>
      </c>
      <c r="R81" s="1059"/>
      <c r="S81" s="879">
        <f>IF(AND(Q81&lt;&gt;0,O81&lt;&gt;0),Q81*(1-D17-D18-D19)/O81/30/(($D$25*1000000/$D$8))*1000,0)</f>
        <v>8.3806928635728042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560.36047416507267</v>
      </c>
      <c r="K82" s="876">
        <f>$M$32*(H78+(G80-F80)*H80+(G81-F81)*H81+(G82-F82)*H82)*$B$77*$C$77</f>
        <v>46.696706180422723</v>
      </c>
      <c r="L82" s="875">
        <f t="shared" si="4"/>
        <v>700.45059270634079</v>
      </c>
      <c r="M82" s="876">
        <f t="shared" si="4"/>
        <v>58.370882725528404</v>
      </c>
      <c r="N82" s="1059"/>
      <c r="O82" s="877">
        <v>300</v>
      </c>
      <c r="P82" s="1059"/>
      <c r="Q82" s="878">
        <f>O82*$Q$76*M82+O82*(1-$Q$76)*K82</f>
        <v>16635.701576775595</v>
      </c>
      <c r="R82" s="1059"/>
      <c r="S82" s="879">
        <f>IF(AND(Q82&lt;&gt;0,O82&lt;&gt;0),Q82*(1-D17-D18-D19)/O82/30/(($D$25*1000000/$D$8))*1000,0)</f>
        <v>11.397742294459013</v>
      </c>
      <c r="T82" s="1059" t="s">
        <v>459</v>
      </c>
      <c r="U82" s="880">
        <f>S82*O82*30*$D$11*(1+$D$24)/1000</f>
        <v>10563.573511912784</v>
      </c>
      <c r="V82" s="1059" t="s">
        <v>460</v>
      </c>
      <c r="W82" s="880">
        <f>IF(O82&lt;&gt;0,U82/O82,0)</f>
        <v>35.211911706375943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795.21743760190452</v>
      </c>
      <c r="K83" s="876">
        <f>$M$32*(H78+(G80-F80)*H80+(G81-F81)*H81+(G82-F82)*H82+(G83-F83)*H83)*$B$77*$C$77</f>
        <v>66.268119800158715</v>
      </c>
      <c r="L83" s="875">
        <f t="shared" si="4"/>
        <v>994.02179700238071</v>
      </c>
      <c r="M83" s="876">
        <f t="shared" si="4"/>
        <v>82.835149750198397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1536.8710063497947</v>
      </c>
      <c r="K84" s="876">
        <f>$M$32*(H78+(G80-F80)*H80+(G81-F81)*H81+(G82-F82)*H82+(G83-F83)*H83+(G84-F84)*H84)*$B$77*$C$77</f>
        <v>128.07258386248287</v>
      </c>
      <c r="L84" s="875">
        <f t="shared" si="4"/>
        <v>1921.0887579372434</v>
      </c>
      <c r="M84" s="876">
        <f t="shared" si="4"/>
        <v>160.09072982810358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65.849652074736724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1316.9930414947346</v>
      </c>
      <c r="R88" s="1059"/>
      <c r="S88" s="1283">
        <f>IF(AND(Q88&lt;&gt;0,O88&lt;&gt;0),Q88*(1-D17-D18-D19)/(($D$25*1000000/$D$8)),0)</f>
        <v>8.1208913848020483</v>
      </c>
      <c r="T88" s="1285" t="s">
        <v>448</v>
      </c>
      <c r="U88" s="1283">
        <f>U91+U93+U94+U95+U96+Z97</f>
        <v>836.28290302642881</v>
      </c>
      <c r="V88" s="1059" t="s">
        <v>449</v>
      </c>
      <c r="W88" s="1283">
        <f>W91*O91+W93*O93+W94*O94+W95*O95+W96*O96</f>
        <v>836.2829030264287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57.684166458169237</v>
      </c>
      <c r="K91" s="876">
        <f>$M$32*H91*$B$90*$C$90</f>
        <v>4.8070138715141031</v>
      </c>
      <c r="L91" s="875">
        <f>J91*$D$90</f>
        <v>72.105208072711548</v>
      </c>
      <c r="M91" s="876">
        <f>K91*$D$90</f>
        <v>6.0087673393926284</v>
      </c>
      <c r="N91" s="1059"/>
      <c r="O91" s="877">
        <v>1</v>
      </c>
      <c r="P91" s="1059"/>
      <c r="Q91" s="878">
        <f>O91*$Q$76*M91+O91*(1-$Q$76)*K91</f>
        <v>5.7083289724229971</v>
      </c>
      <c r="R91" s="1059"/>
      <c r="S91" s="879">
        <f>IF(AND(Q91&lt;&gt;0,O91&lt;&gt;0),Q91*(1-D17-D18-D19)/O91/30/(($D$25*1000000/$D$8))*1000,0)</f>
        <v>1.1732970009001924</v>
      </c>
      <c r="T91" s="1059" t="s">
        <v>459</v>
      </c>
      <c r="U91" s="880">
        <f>S91*O91*30*$D$11*(1+$D$24)/1000</f>
        <v>3.6247556168328177</v>
      </c>
      <c r="V91" s="1059" t="s">
        <v>460</v>
      </c>
      <c r="W91" s="880">
        <f>IF(O91&lt;&gt;0,U91/O91,0)</f>
        <v>3.6247556168328177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181.29309458281764</v>
      </c>
      <c r="K93" s="876">
        <f>$M$32*(H91+(G93-F93)*H93)*$B$90*$C$90</f>
        <v>15.107757881901469</v>
      </c>
      <c r="L93" s="875">
        <f t="shared" ref="L93:M96" si="5">J93*$D$90</f>
        <v>226.61636822852205</v>
      </c>
      <c r="M93" s="876">
        <f t="shared" si="5"/>
        <v>18.884697352376836</v>
      </c>
      <c r="N93" s="1059"/>
      <c r="O93" s="877">
        <v>2</v>
      </c>
      <c r="P93" s="1059"/>
      <c r="Q93" s="878">
        <f>O93*$Q$76*M93+O93*(1-$Q$76)*K93</f>
        <v>35.880924969515988</v>
      </c>
      <c r="R93" s="1059"/>
      <c r="S93" s="879">
        <f>IF(AND(Q93&lt;&gt;0,O93&lt;&gt;0),Q93*(1-D17-D18-D19)/O93/30/(($D$25*1000000/$D$8))*1000,0)</f>
        <v>3.6875048599720341</v>
      </c>
      <c r="T93" s="1059" t="s">
        <v>459</v>
      </c>
      <c r="U93" s="880">
        <f>S93*O93*30*$D$11*(1+$D$24)/1000</f>
        <v>22.784178162949146</v>
      </c>
      <c r="V93" s="1059" t="s">
        <v>460</v>
      </c>
      <c r="W93" s="880">
        <f>IF(O93&lt;&gt;0,U93/O93,0)</f>
        <v>11.392089081474573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758.13475916451</v>
      </c>
      <c r="K94" s="876">
        <f>$M$32*(H91+(G93-F93)*H93+(G94-F94)*H94)*$B$90*$C$90</f>
        <v>63.177896597042505</v>
      </c>
      <c r="L94" s="875">
        <f t="shared" si="5"/>
        <v>947.66844895563747</v>
      </c>
      <c r="M94" s="876">
        <f t="shared" si="5"/>
        <v>78.972370746303127</v>
      </c>
      <c r="N94" s="1059"/>
      <c r="O94" s="877">
        <v>17</v>
      </c>
      <c r="P94" s="1059"/>
      <c r="Q94" s="878">
        <f>O94*$Q$76*M94+O94*(1-$Q$76)*K94</f>
        <v>1275.4037875527956</v>
      </c>
      <c r="R94" s="1059"/>
      <c r="S94" s="879">
        <f>IF(AND(Q94&lt;&gt;0,O94&lt;&gt;0),Q94*(1-D17-D18-D19)/O94/30/(($D$25*1000000/$D$8))*1000,0)</f>
        <v>15.42047486897396</v>
      </c>
      <c r="T94" s="1059" t="s">
        <v>459</v>
      </c>
      <c r="U94" s="880">
        <f>S94*O94*30*$D$11*(1+$D$24)/1000</f>
        <v>809.87396924664688</v>
      </c>
      <c r="V94" s="1059" t="s">
        <v>460</v>
      </c>
      <c r="W94" s="880">
        <f>IF(O94&lt;&gt;0,U94/O94,0)</f>
        <v>47.639645249802754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4383.9966508208636</v>
      </c>
      <c r="K95" s="876">
        <f>$M$32*(H91+(G93-F93)*H93+(G94-F94)*H94+(G95-F95)*H95)*$B$90*$C$90</f>
        <v>365.33305423507187</v>
      </c>
      <c r="L95" s="875">
        <f t="shared" si="5"/>
        <v>5479.9958135260795</v>
      </c>
      <c r="M95" s="876">
        <f t="shared" si="5"/>
        <v>456.66631779383982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9328.3537758067978</v>
      </c>
      <c r="K96" s="876">
        <f>$M$32*(H91+(G93-F93)*H93+(G94-F94)*H94+(G95-F95)*H95+(G96-F96)*H96)*$B$90*$C$90</f>
        <v>777.36281465056652</v>
      </c>
      <c r="L96" s="875">
        <f t="shared" si="5"/>
        <v>11660.442219758497</v>
      </c>
      <c r="M96" s="876">
        <f t="shared" si="5"/>
        <v>971.70351831320818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247.68965966136318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270.92486512566859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46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50.886062007077854</v>
      </c>
      <c r="B18" s="173" t="s">
        <v>638</v>
      </c>
      <c r="C18" s="174">
        <f>SUMIF($D$15:$BG$15,1,D18:BG18)</f>
        <v>448.82802470399298</v>
      </c>
      <c r="D18" s="175">
        <v>112.8349334939962</v>
      </c>
      <c r="E18" s="20">
        <v>176.82769182404795</v>
      </c>
      <c r="F18" s="20">
        <v>159.16539938594883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46.369657378419774</v>
      </c>
      <c r="B19" s="176" t="s">
        <v>52</v>
      </c>
      <c r="C19" s="169">
        <f>SUMIF($D$15:$BG$15,1,D19:BG19)</f>
        <v>408.99218580644526</v>
      </c>
      <c r="D19" s="175">
        <f t="shared" ref="D19:AJ19" si="0">NPV($C$8,D18:D18)</f>
        <v>102.82024193001295</v>
      </c>
      <c r="E19" s="20">
        <f t="shared" si="0"/>
        <v>161.13330765814467</v>
      </c>
      <c r="F19" s="20">
        <f t="shared" si="0"/>
        <v>145.03863621828762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1781.012170247725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151.67752622608771</v>
      </c>
      <c r="B21" s="173" t="s">
        <v>639</v>
      </c>
      <c r="C21" s="174">
        <f>SUMIF($D$15:$BG$15,1,D21:BG21)</f>
        <v>1337.8344050002149</v>
      </c>
      <c r="D21" s="175">
        <v>2.6069815111168007</v>
      </c>
      <c r="E21" s="20">
        <v>2.6069815111168007</v>
      </c>
      <c r="F21" s="20">
        <v>2.6069815111168007</v>
      </c>
      <c r="G21" s="20">
        <v>41.562920639589535</v>
      </c>
      <c r="H21" s="20">
        <v>41.562920639589535</v>
      </c>
      <c r="I21" s="20">
        <v>41.562920639589535</v>
      </c>
      <c r="J21" s="20">
        <v>41.562920639589535</v>
      </c>
      <c r="K21" s="20">
        <v>41.562920639589535</v>
      </c>
      <c r="L21" s="20">
        <v>41.562920639589535</v>
      </c>
      <c r="M21" s="20">
        <v>41.562920639589535</v>
      </c>
      <c r="N21" s="20">
        <v>41.562920639589535</v>
      </c>
      <c r="O21" s="20">
        <v>41.562920639589535</v>
      </c>
      <c r="P21" s="20">
        <v>41.562920639589535</v>
      </c>
      <c r="Q21" s="20">
        <v>41.562920639589535</v>
      </c>
      <c r="R21" s="20">
        <v>41.562920639589535</v>
      </c>
      <c r="S21" s="20">
        <v>41.562920639589535</v>
      </c>
      <c r="T21" s="20">
        <v>41.562920639589535</v>
      </c>
      <c r="U21" s="20">
        <v>41.562920639589535</v>
      </c>
      <c r="V21" s="20">
        <v>41.562920639589535</v>
      </c>
      <c r="W21" s="20">
        <v>41.562920639589535</v>
      </c>
      <c r="X21" s="20">
        <v>41.562920639589535</v>
      </c>
      <c r="Y21" s="20">
        <v>41.562920639589535</v>
      </c>
      <c r="Z21" s="20">
        <v>41.562920639589535</v>
      </c>
      <c r="AA21" s="20">
        <v>41.562920639589535</v>
      </c>
      <c r="AB21" s="20">
        <v>41.562920639589535</v>
      </c>
      <c r="AC21" s="20">
        <v>41.562920639589535</v>
      </c>
      <c r="AD21" s="20">
        <v>41.562920639589535</v>
      </c>
      <c r="AE21" s="20">
        <v>41.562920639589535</v>
      </c>
      <c r="AF21" s="20">
        <v>41.562920639589535</v>
      </c>
      <c r="AG21" s="20">
        <v>41.562920639589535</v>
      </c>
      <c r="AH21" s="20">
        <v>41.562920639589535</v>
      </c>
      <c r="AI21" s="20">
        <v>41.562920639589535</v>
      </c>
      <c r="AJ21" s="20">
        <v>41.562920639589535</v>
      </c>
      <c r="AK21" s="20">
        <v>41.562920639589535</v>
      </c>
      <c r="AL21" s="20">
        <v>41.562920639589535</v>
      </c>
      <c r="AM21" s="20">
        <v>41.562920639589535</v>
      </c>
      <c r="AN21" s="20">
        <v>41.562920639589535</v>
      </c>
      <c r="AO21" s="20">
        <v>41.562920639589535</v>
      </c>
      <c r="AP21" s="20">
        <v>41.562920639589535</v>
      </c>
      <c r="AQ21" s="20">
        <v>41.562920639589535</v>
      </c>
      <c r="AR21" s="20">
        <v>41.562920639589535</v>
      </c>
      <c r="AS21" s="20">
        <v>41.562920639589535</v>
      </c>
      <c r="AT21" s="20">
        <v>41.562920639589535</v>
      </c>
      <c r="AU21" s="20">
        <v>41.562920639589535</v>
      </c>
      <c r="AV21" s="20">
        <v>41.562920639589535</v>
      </c>
      <c r="AW21" s="20">
        <v>41.562920639589535</v>
      </c>
      <c r="AX21" s="20">
        <v>41.562920639589535</v>
      </c>
      <c r="AY21" s="20">
        <v>41.562920639589535</v>
      </c>
      <c r="AZ21" s="20">
        <v>41.562920639589535</v>
      </c>
      <c r="BA21" s="20">
        <v>41.562920639589535</v>
      </c>
      <c r="BB21" s="20">
        <v>41.562920639589535</v>
      </c>
      <c r="BC21" s="20">
        <v>41.562920639589535</v>
      </c>
      <c r="BD21" s="20">
        <v>41.562920639589535</v>
      </c>
      <c r="BE21" s="20">
        <v>41.562920639589535</v>
      </c>
      <c r="BF21" s="20">
        <v>41.562920639589535</v>
      </c>
      <c r="BG21" s="20">
        <v>41.562920639589535</v>
      </c>
      <c r="BH21" s="20">
        <v>0</v>
      </c>
    </row>
    <row r="22" spans="1:60" ht="15" hidden="1" customHeight="1" outlineLevel="1" x14ac:dyDescent="0.25">
      <c r="A22" s="172">
        <f>C22*1000000/$C$16</f>
        <v>129.62739180086689</v>
      </c>
      <c r="B22" s="176" t="s">
        <v>53</v>
      </c>
      <c r="C22" s="169">
        <f>SUMIF($D$15:$BG$15,1,D22:BG22)</f>
        <v>1143.3466044478196</v>
      </c>
      <c r="D22" s="175">
        <f t="shared" ref="D22:AJ22" si="1">NPV($C$8,D21:D21)</f>
        <v>2.3755982423152915</v>
      </c>
      <c r="E22" s="20">
        <f t="shared" si="1"/>
        <v>2.3755982423152915</v>
      </c>
      <c r="F22" s="20">
        <f t="shared" si="1"/>
        <v>2.3755982423152915</v>
      </c>
      <c r="G22" s="20">
        <f t="shared" si="1"/>
        <v>37.873993657362433</v>
      </c>
      <c r="H22" s="20">
        <f t="shared" si="1"/>
        <v>37.873993657362433</v>
      </c>
      <c r="I22" s="20">
        <f t="shared" si="1"/>
        <v>37.873993657362433</v>
      </c>
      <c r="J22" s="20">
        <f t="shared" si="1"/>
        <v>37.873993657362433</v>
      </c>
      <c r="K22" s="20">
        <f t="shared" si="1"/>
        <v>37.873993657362433</v>
      </c>
      <c r="L22" s="20">
        <f t="shared" si="1"/>
        <v>37.873993657362433</v>
      </c>
      <c r="M22" s="20">
        <f t="shared" si="1"/>
        <v>37.873993657362433</v>
      </c>
      <c r="N22" s="20">
        <f t="shared" si="1"/>
        <v>37.873993657362433</v>
      </c>
      <c r="O22" s="20">
        <f t="shared" si="1"/>
        <v>37.873993657362433</v>
      </c>
      <c r="P22" s="20">
        <f t="shared" si="1"/>
        <v>37.873993657362433</v>
      </c>
      <c r="Q22" s="20">
        <f t="shared" si="1"/>
        <v>37.873993657362433</v>
      </c>
      <c r="R22" s="20">
        <f t="shared" si="1"/>
        <v>37.873993657362433</v>
      </c>
      <c r="S22" s="20">
        <f t="shared" si="1"/>
        <v>37.873993657362433</v>
      </c>
      <c r="T22" s="20">
        <f t="shared" si="1"/>
        <v>37.873993657362433</v>
      </c>
      <c r="U22" s="20">
        <f t="shared" si="1"/>
        <v>37.873993657362433</v>
      </c>
      <c r="V22" s="20">
        <f t="shared" si="1"/>
        <v>37.873993657362433</v>
      </c>
      <c r="W22" s="20">
        <f t="shared" si="1"/>
        <v>37.873993657362433</v>
      </c>
      <c r="X22" s="20">
        <f t="shared" si="1"/>
        <v>37.873993657362433</v>
      </c>
      <c r="Y22" s="20">
        <f t="shared" si="1"/>
        <v>37.873993657362433</v>
      </c>
      <c r="Z22" s="20">
        <f t="shared" si="1"/>
        <v>37.873993657362433</v>
      </c>
      <c r="AA22" s="20">
        <f t="shared" si="1"/>
        <v>37.873993657362433</v>
      </c>
      <c r="AB22" s="20">
        <f t="shared" si="1"/>
        <v>37.873993657362433</v>
      </c>
      <c r="AC22" s="20">
        <f t="shared" si="1"/>
        <v>37.873993657362433</v>
      </c>
      <c r="AD22" s="20">
        <f t="shared" si="1"/>
        <v>37.873993657362433</v>
      </c>
      <c r="AE22" s="20">
        <f t="shared" si="1"/>
        <v>37.873993657362433</v>
      </c>
      <c r="AF22" s="20">
        <f t="shared" si="1"/>
        <v>37.873993657362433</v>
      </c>
      <c r="AG22" s="20">
        <f t="shared" si="1"/>
        <v>37.873993657362433</v>
      </c>
      <c r="AH22" s="20">
        <f t="shared" si="1"/>
        <v>37.873993657362433</v>
      </c>
      <c r="AI22" s="20">
        <f t="shared" si="1"/>
        <v>37.873993657362433</v>
      </c>
      <c r="AJ22" s="20">
        <f t="shared" si="1"/>
        <v>37.873993657362433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151.67752622608771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212.39388315961895</v>
      </c>
      <c r="B27" s="173" t="s">
        <v>640</v>
      </c>
      <c r="C27" s="174">
        <f>SUMIF($D$15:$BG$15,1,D27:BG27)</f>
        <v>1873.3681341755828</v>
      </c>
      <c r="D27" s="175">
        <v>49.77968892920579</v>
      </c>
      <c r="E27" s="20">
        <v>50.01365346717305</v>
      </c>
      <c r="F27" s="20">
        <v>50.248717638468761</v>
      </c>
      <c r="G27" s="20">
        <v>50.484886611369561</v>
      </c>
      <c r="H27" s="20">
        <v>50.722165578442997</v>
      </c>
      <c r="I27" s="20">
        <v>50.960559756661667</v>
      </c>
      <c r="J27" s="20">
        <v>51.200074387517979</v>
      </c>
      <c r="K27" s="20">
        <v>51.440714737139309</v>
      </c>
      <c r="L27" s="20">
        <v>51.682486096403863</v>
      </c>
      <c r="M27" s="20">
        <v>51.925393781056954</v>
      </c>
      <c r="N27" s="20">
        <v>52.169443131827911</v>
      </c>
      <c r="O27" s="20">
        <v>52.414639514547495</v>
      </c>
      <c r="P27" s="20">
        <v>52.660988320265872</v>
      </c>
      <c r="Q27" s="20">
        <v>52.908494965371119</v>
      </c>
      <c r="R27" s="20">
        <v>53.157164891708369</v>
      </c>
      <c r="S27" s="20">
        <v>52.660988320265872</v>
      </c>
      <c r="T27" s="20">
        <v>52.908494965371119</v>
      </c>
      <c r="U27" s="20">
        <v>53.157164891708369</v>
      </c>
      <c r="V27" s="20">
        <v>53.407003566699395</v>
      </c>
      <c r="W27" s="20">
        <v>53.658016483462873</v>
      </c>
      <c r="X27" s="20">
        <v>53.910209160935139</v>
      </c>
      <c r="Y27" s="20">
        <v>54.163587143991528</v>
      </c>
      <c r="Z27" s="20">
        <v>54.418156003568292</v>
      </c>
      <c r="AA27" s="20">
        <v>54.673921336785064</v>
      </c>
      <c r="AB27" s="20">
        <v>54.930888767067948</v>
      </c>
      <c r="AC27" s="20">
        <v>55.189063944273158</v>
      </c>
      <c r="AD27" s="20">
        <v>55.448452544811239</v>
      </c>
      <c r="AE27" s="20">
        <v>55.709060271771847</v>
      </c>
      <c r="AF27" s="20">
        <v>55.970892855049179</v>
      </c>
      <c r="AG27" s="20">
        <v>56.233956051467906</v>
      </c>
      <c r="AH27" s="20">
        <v>56.498255644909797</v>
      </c>
      <c r="AI27" s="20">
        <v>56.763797446440869</v>
      </c>
      <c r="AJ27" s="20">
        <v>57.03058729443913</v>
      </c>
      <c r="AK27" s="20">
        <v>57.298631054722989</v>
      </c>
      <c r="AL27" s="20">
        <v>57.567934620680191</v>
      </c>
      <c r="AM27" s="20">
        <v>57.838503913397389</v>
      </c>
      <c r="AN27" s="20">
        <v>58.110344881790347</v>
      </c>
      <c r="AO27" s="20">
        <v>58.383463502734749</v>
      </c>
      <c r="AP27" s="20">
        <v>58.657865781197607</v>
      </c>
      <c r="AQ27" s="20">
        <v>58.933557750369225</v>
      </c>
      <c r="AR27" s="20">
        <v>59.210545471795953</v>
      </c>
      <c r="AS27" s="20">
        <v>59.488835035513389</v>
      </c>
      <c r="AT27" s="20">
        <v>59.768432560180301</v>
      </c>
      <c r="AU27" s="20">
        <v>60.049344193213145</v>
      </c>
      <c r="AV27" s="20">
        <v>60.33157611092124</v>
      </c>
      <c r="AW27" s="20">
        <v>60.61513451864257</v>
      </c>
      <c r="AX27" s="20">
        <v>60.900025650880174</v>
      </c>
      <c r="AY27" s="20">
        <v>61.186255771439313</v>
      </c>
      <c r="AZ27" s="20">
        <v>61.473831173565074</v>
      </c>
      <c r="BA27" s="20">
        <v>61.762758180080816</v>
      </c>
      <c r="BB27" s="20">
        <v>62.053043143527205</v>
      </c>
      <c r="BC27" s="20">
        <v>62.344692446301771</v>
      </c>
      <c r="BD27" s="20">
        <v>62.637712500799381</v>
      </c>
      <c r="BE27" s="20">
        <v>62.932109749553121</v>
      </c>
      <c r="BF27" s="20">
        <v>63.227890665376044</v>
      </c>
      <c r="BG27" s="20">
        <v>63.525061751503294</v>
      </c>
      <c r="BH27" s="20">
        <v>0</v>
      </c>
    </row>
    <row r="28" spans="1:60" ht="15" hidden="1" customHeight="1" outlineLevel="1" x14ac:dyDescent="0.25">
      <c r="A28" s="172">
        <f>C28*1000000/$C$16</f>
        <v>181.67563240852519</v>
      </c>
      <c r="B28" s="176" t="s">
        <v>56</v>
      </c>
      <c r="C28" s="169">
        <f>SUMIF($D$15:$BG$15,1,D28:BG28)</f>
        <v>1602.4253403500818</v>
      </c>
      <c r="D28" s="175">
        <f t="shared" ref="D28:AJ28" si="3">NPV($C$8,D27:D27)</f>
        <v>45.361480708224704</v>
      </c>
      <c r="E28" s="20">
        <f t="shared" si="3"/>
        <v>45.574679667553355</v>
      </c>
      <c r="F28" s="20">
        <f t="shared" si="3"/>
        <v>45.788880661990852</v>
      </c>
      <c r="G28" s="20">
        <f t="shared" si="3"/>
        <v>46.004088401102209</v>
      </c>
      <c r="H28" s="20">
        <f t="shared" si="3"/>
        <v>46.220307616587391</v>
      </c>
      <c r="I28" s="20">
        <f t="shared" si="3"/>
        <v>46.437543062385338</v>
      </c>
      <c r="J28" s="20">
        <f t="shared" si="3"/>
        <v>46.65579951477855</v>
      </c>
      <c r="K28" s="20">
        <f t="shared" si="3"/>
        <v>46.875081772498007</v>
      </c>
      <c r="L28" s="20">
        <f t="shared" si="3"/>
        <v>47.095394656828745</v>
      </c>
      <c r="M28" s="20">
        <f t="shared" si="3"/>
        <v>47.316743011715836</v>
      </c>
      <c r="N28" s="20">
        <f t="shared" si="3"/>
        <v>47.539131703870893</v>
      </c>
      <c r="O28" s="20">
        <f t="shared" si="3"/>
        <v>47.76256562287908</v>
      </c>
      <c r="P28" s="20">
        <f t="shared" si="3"/>
        <v>47.987049681306608</v>
      </c>
      <c r="Q28" s="20">
        <f t="shared" si="3"/>
        <v>48.212588814808747</v>
      </c>
      <c r="R28" s="20">
        <f t="shared" si="3"/>
        <v>48.439187982238359</v>
      </c>
      <c r="S28" s="20">
        <f t="shared" si="3"/>
        <v>47.987049681306608</v>
      </c>
      <c r="T28" s="20">
        <f t="shared" si="3"/>
        <v>48.212588814808747</v>
      </c>
      <c r="U28" s="20">
        <f t="shared" si="3"/>
        <v>48.439187982238359</v>
      </c>
      <c r="V28" s="20">
        <f t="shared" si="3"/>
        <v>48.666852165754875</v>
      </c>
      <c r="W28" s="20">
        <f t="shared" si="3"/>
        <v>48.895586370933913</v>
      </c>
      <c r="X28" s="20">
        <f t="shared" si="3"/>
        <v>49.125395626877292</v>
      </c>
      <c r="Y28" s="20">
        <f t="shared" si="3"/>
        <v>49.356284986323608</v>
      </c>
      <c r="Z28" s="20">
        <f t="shared" si="3"/>
        <v>49.588259525759334</v>
      </c>
      <c r="AA28" s="20">
        <f t="shared" si="3"/>
        <v>49.821324345530407</v>
      </c>
      <c r="AB28" s="20">
        <f t="shared" si="3"/>
        <v>50.055484569954395</v>
      </c>
      <c r="AC28" s="20">
        <f t="shared" si="3"/>
        <v>50.290745347433173</v>
      </c>
      <c r="AD28" s="20">
        <f t="shared" si="3"/>
        <v>50.527111850566101</v>
      </c>
      <c r="AE28" s="20">
        <f t="shared" si="3"/>
        <v>50.764589276263763</v>
      </c>
      <c r="AF28" s="20">
        <f t="shared" si="3"/>
        <v>51.003182845862206</v>
      </c>
      <c r="AG28" s="20">
        <f t="shared" si="3"/>
        <v>51.242897805237753</v>
      </c>
      <c r="AH28" s="20">
        <f t="shared" si="3"/>
        <v>51.483739424922362</v>
      </c>
      <c r="AI28" s="20">
        <f t="shared" si="3"/>
        <v>51.725713000219493</v>
      </c>
      <c r="AJ28" s="20">
        <f t="shared" si="3"/>
        <v>51.968823851320515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6.0099103292304585</v>
      </c>
      <c r="B30" s="173" t="s">
        <v>641</v>
      </c>
      <c r="C30" s="174">
        <f>SUMIF($D$15:$BG$15,1,D30:BG30)</f>
        <v>53.00893948801621</v>
      </c>
      <c r="D30" s="175">
        <v>1.4085691274671905</v>
      </c>
      <c r="E30" s="20">
        <v>1.4151894023662863</v>
      </c>
      <c r="F30" s="20">
        <v>1.4218407925574077</v>
      </c>
      <c r="G30" s="20">
        <v>1.4285234442824275</v>
      </c>
      <c r="H30" s="20">
        <v>1.4352375044705548</v>
      </c>
      <c r="I30" s="20">
        <v>1.4419831207415663</v>
      </c>
      <c r="J30" s="20">
        <v>1.4487604414090516</v>
      </c>
      <c r="K30" s="20">
        <v>1.4555696154836739</v>
      </c>
      <c r="L30" s="20">
        <v>1.4624107926764471</v>
      </c>
      <c r="M30" s="20">
        <v>1.4692841234020264</v>
      </c>
      <c r="N30" s="20">
        <v>1.4761897587820159</v>
      </c>
      <c r="O30" s="20">
        <v>1.4831278506482912</v>
      </c>
      <c r="P30" s="20">
        <v>1.4900985515463381</v>
      </c>
      <c r="Q30" s="20">
        <v>1.4971020147386058</v>
      </c>
      <c r="R30" s="20">
        <v>1.5041383942078772</v>
      </c>
      <c r="S30" s="20">
        <v>1.4900985515463381</v>
      </c>
      <c r="T30" s="20">
        <v>1.4971020147386058</v>
      </c>
      <c r="U30" s="20">
        <v>1.5041383942078772</v>
      </c>
      <c r="V30" s="20">
        <v>1.5112078446606541</v>
      </c>
      <c r="W30" s="20">
        <v>1.518310521530559</v>
      </c>
      <c r="X30" s="20">
        <v>1.5254465809817526</v>
      </c>
      <c r="Y30" s="20">
        <v>1.5326161799123668</v>
      </c>
      <c r="Z30" s="20">
        <v>1.5398194759579549</v>
      </c>
      <c r="AA30" s="20">
        <v>1.5470566274949571</v>
      </c>
      <c r="AB30" s="20">
        <v>1.5543277936441833</v>
      </c>
      <c r="AC30" s="20">
        <v>1.5616331342743108</v>
      </c>
      <c r="AD30" s="20">
        <v>1.5689728100053999</v>
      </c>
      <c r="AE30" s="20">
        <v>1.5763469822124252</v>
      </c>
      <c r="AF30" s="20">
        <v>1.5837558130288234</v>
      </c>
      <c r="AG30" s="20">
        <v>1.5911994653500587</v>
      </c>
      <c r="AH30" s="20">
        <v>1.5986781028372039</v>
      </c>
      <c r="AI30" s="20">
        <v>1.6061918899205387</v>
      </c>
      <c r="AJ30" s="20">
        <v>1.6137409918031651</v>
      </c>
      <c r="AK30" s="20">
        <v>1.6213255744646398</v>
      </c>
      <c r="AL30" s="20">
        <v>1.6289458046646235</v>
      </c>
      <c r="AM30" s="20">
        <v>1.6366018499465471</v>
      </c>
      <c r="AN30" s="20">
        <v>1.6442938786412957</v>
      </c>
      <c r="AO30" s="20">
        <v>1.6520220598709097</v>
      </c>
      <c r="AP30" s="20">
        <v>1.6597865635523028</v>
      </c>
      <c r="AQ30" s="20">
        <v>1.6675875604009984</v>
      </c>
      <c r="AR30" s="20">
        <v>1.6754252219348831</v>
      </c>
      <c r="AS30" s="20">
        <v>1.6832997204779769</v>
      </c>
      <c r="AT30" s="20">
        <v>1.6912112291642234</v>
      </c>
      <c r="AU30" s="20">
        <v>1.6991599219412952</v>
      </c>
      <c r="AV30" s="20">
        <v>1.7071459735744192</v>
      </c>
      <c r="AW30" s="20">
        <v>1.7151695596502188</v>
      </c>
      <c r="AX30" s="20">
        <v>1.7232308565805747</v>
      </c>
      <c r="AY30" s="20">
        <v>1.7313300416065034</v>
      </c>
      <c r="AZ30" s="20">
        <v>1.7394672928020538</v>
      </c>
      <c r="BA30" s="20">
        <v>1.7476427890782233</v>
      </c>
      <c r="BB30" s="20">
        <v>1.7558567101868909</v>
      </c>
      <c r="BC30" s="20">
        <v>1.7641092367247693</v>
      </c>
      <c r="BD30" s="20">
        <v>1.7724005501373756</v>
      </c>
      <c r="BE30" s="20">
        <v>1.7807308327230211</v>
      </c>
      <c r="BF30" s="20">
        <v>1.7891002676368193</v>
      </c>
      <c r="BG30" s="20">
        <v>1.7975090388947121</v>
      </c>
      <c r="BH30" s="20">
        <v>0</v>
      </c>
    </row>
    <row r="31" spans="1:60" ht="15" hidden="1" customHeight="1" outlineLevel="1" x14ac:dyDescent="0.25">
      <c r="A31" s="172">
        <f>C31*1000000/$C$16</f>
        <v>5.1407048241634978</v>
      </c>
      <c r="B31" s="176" t="s">
        <v>57</v>
      </c>
      <c r="C31" s="169">
        <f>SUMIF($D$15:$BG$15,1,D31:BG31)</f>
        <v>45.342325595851058</v>
      </c>
      <c r="D31" s="175">
        <f t="shared" ref="D31:AJ31" si="4">NPV($C$8,D30:D30)</f>
        <v>1.2835512369848647</v>
      </c>
      <c r="E31" s="20">
        <f t="shared" si="4"/>
        <v>1.2895839277986936</v>
      </c>
      <c r="F31" s="20">
        <f t="shared" si="4"/>
        <v>1.2956449722593473</v>
      </c>
      <c r="G31" s="20">
        <f t="shared" si="4"/>
        <v>1.3017345036289663</v>
      </c>
      <c r="H31" s="20">
        <f t="shared" si="4"/>
        <v>1.3078526557960224</v>
      </c>
      <c r="I31" s="20">
        <f t="shared" si="4"/>
        <v>1.3139995632782635</v>
      </c>
      <c r="J31" s="20">
        <f t="shared" si="4"/>
        <v>1.3201753612256713</v>
      </c>
      <c r="K31" s="20">
        <f t="shared" si="4"/>
        <v>1.3263801854234318</v>
      </c>
      <c r="L31" s="20">
        <f t="shared" si="4"/>
        <v>1.3326141722949219</v>
      </c>
      <c r="M31" s="20">
        <f t="shared" si="4"/>
        <v>1.3388774589047079</v>
      </c>
      <c r="N31" s="20">
        <f t="shared" si="4"/>
        <v>1.3451701829615601</v>
      </c>
      <c r="O31" s="20">
        <f t="shared" si="4"/>
        <v>1.3514924828214792</v>
      </c>
      <c r="P31" s="20">
        <f t="shared" si="4"/>
        <v>1.35784449749074</v>
      </c>
      <c r="Q31" s="20">
        <f t="shared" si="4"/>
        <v>1.3642263666289465</v>
      </c>
      <c r="R31" s="20">
        <f t="shared" si="4"/>
        <v>1.3706382305521025</v>
      </c>
      <c r="S31" s="20">
        <f t="shared" si="4"/>
        <v>1.35784449749074</v>
      </c>
      <c r="T31" s="20">
        <f t="shared" si="4"/>
        <v>1.3642263666289465</v>
      </c>
      <c r="U31" s="20">
        <f t="shared" si="4"/>
        <v>1.3706382305521025</v>
      </c>
      <c r="V31" s="20">
        <f t="shared" si="4"/>
        <v>1.3770802302356973</v>
      </c>
      <c r="W31" s="20">
        <f t="shared" si="4"/>
        <v>1.383552507317805</v>
      </c>
      <c r="X31" s="20">
        <f t="shared" si="4"/>
        <v>1.3900552041021985</v>
      </c>
      <c r="Y31" s="20">
        <f t="shared" si="4"/>
        <v>1.3965884635614789</v>
      </c>
      <c r="Z31" s="20">
        <f t="shared" si="4"/>
        <v>1.4031524293402178</v>
      </c>
      <c r="AA31" s="20">
        <f t="shared" si="4"/>
        <v>1.4097472457581166</v>
      </c>
      <c r="AB31" s="20">
        <f t="shared" si="4"/>
        <v>1.4163730578131797</v>
      </c>
      <c r="AC31" s="20">
        <f t="shared" si="4"/>
        <v>1.4230300111849015</v>
      </c>
      <c r="AD31" s="20">
        <f t="shared" si="4"/>
        <v>1.4297182522374703</v>
      </c>
      <c r="AE31" s="20">
        <f t="shared" si="4"/>
        <v>1.4364379280229864</v>
      </c>
      <c r="AF31" s="20">
        <f t="shared" si="4"/>
        <v>1.4431891862846942</v>
      </c>
      <c r="AG31" s="20">
        <f t="shared" si="4"/>
        <v>1.4499721754602322</v>
      </c>
      <c r="AH31" s="20">
        <f t="shared" si="4"/>
        <v>1.4567870446848952</v>
      </c>
      <c r="AI31" s="20">
        <f t="shared" si="4"/>
        <v>1.4636339437949142</v>
      </c>
      <c r="AJ31" s="20">
        <f t="shared" si="4"/>
        <v>1.4705130233307502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15.840205255683733</v>
      </c>
      <c r="B33" s="173" t="s">
        <v>58</v>
      </c>
      <c r="C33" s="174">
        <f>SUMIF($D$15:$BG$15,1,D33:BG33)</f>
        <v>139.71464395939026</v>
      </c>
      <c r="D33" s="175">
        <v>-64.253656948440025</v>
      </c>
      <c r="E33" s="20">
        <v>-128.00583046562542</v>
      </c>
      <c r="F33" s="20">
        <v>-110.10182246603947</v>
      </c>
      <c r="G33" s="20">
        <v>10.350489416062452</v>
      </c>
      <c r="H33" s="20">
        <v>10.594482443324019</v>
      </c>
      <c r="I33" s="20">
        <v>10.8396222378137</v>
      </c>
      <c r="J33" s="20">
        <v>11.085914189337494</v>
      </c>
      <c r="K33" s="20">
        <v>11.333363713033449</v>
      </c>
      <c r="L33" s="20">
        <v>11.581976249490772</v>
      </c>
      <c r="M33" s="20">
        <v>11.831757264869445</v>
      </c>
      <c r="N33" s="20">
        <v>12.082712251020389</v>
      </c>
      <c r="O33" s="20">
        <v>12.334846725606255</v>
      </c>
      <c r="P33" s="20">
        <v>12.588166232222676</v>
      </c>
      <c r="Q33" s="20">
        <v>12.842676340520192</v>
      </c>
      <c r="R33" s="20">
        <v>13.098382646326712</v>
      </c>
      <c r="S33" s="20">
        <v>12.588166232222676</v>
      </c>
      <c r="T33" s="20">
        <v>12.842676340520192</v>
      </c>
      <c r="U33" s="20">
        <v>13.098382646326712</v>
      </c>
      <c r="V33" s="20">
        <v>13.355290771770512</v>
      </c>
      <c r="W33" s="20">
        <v>13.613406365403897</v>
      </c>
      <c r="X33" s="20">
        <v>13.872735102327354</v>
      </c>
      <c r="Y33" s="20">
        <v>14.133282684314359</v>
      </c>
      <c r="Z33" s="20">
        <v>14.395054839936712</v>
      </c>
      <c r="AA33" s="20">
        <v>14.658057324690489</v>
      </c>
      <c r="AB33" s="20">
        <v>14.922295921122597</v>
      </c>
      <c r="AC33" s="20">
        <v>15.187776438957933</v>
      </c>
      <c r="AD33" s="20">
        <v>15.454504715227102</v>
      </c>
      <c r="AE33" s="20">
        <v>15.722486614394739</v>
      </c>
      <c r="AF33" s="20">
        <v>15.991728028488467</v>
      </c>
      <c r="AG33" s="20">
        <v>16.26223487722843</v>
      </c>
      <c r="AH33" s="20">
        <v>16.534013108157467</v>
      </c>
      <c r="AI33" s="20">
        <v>16.807068696771871</v>
      </c>
      <c r="AJ33" s="20">
        <v>17.081407646652757</v>
      </c>
      <c r="AK33" s="20">
        <v>17.357035989598096</v>
      </c>
      <c r="AL33" s="20">
        <v>17.63395978575528</v>
      </c>
      <c r="AM33" s="20">
        <v>17.912185123754398</v>
      </c>
      <c r="AN33" s="20">
        <v>18.191718120842104</v>
      </c>
      <c r="AO33" s="20">
        <v>18.472564923016122</v>
      </c>
      <c r="AP33" s="20">
        <v>18.754731705160374</v>
      </c>
      <c r="AQ33" s="20">
        <v>19.038224671180686</v>
      </c>
      <c r="AR33" s="20">
        <v>19.323050054141298</v>
      </c>
      <c r="AS33" s="20">
        <v>19.60921411640183</v>
      </c>
      <c r="AT33" s="20">
        <v>19.89672314975499</v>
      </c>
      <c r="AU33" s="20">
        <v>20.185583475564904</v>
      </c>
      <c r="AV33" s="20">
        <v>20.475801444906125</v>
      </c>
      <c r="AW33" s="20">
        <v>20.767383438703256</v>
      </c>
      <c r="AX33" s="20">
        <v>21.060335867871217</v>
      </c>
      <c r="AY33" s="20">
        <v>21.354665173456283</v>
      </c>
      <c r="AZ33" s="20">
        <v>21.650377826777593</v>
      </c>
      <c r="BA33" s="20">
        <v>21.947480329569501</v>
      </c>
      <c r="BB33" s="20">
        <v>22.24597921412456</v>
      </c>
      <c r="BC33" s="20">
        <v>22.545881043437006</v>
      </c>
      <c r="BD33" s="20">
        <v>22.847192411347223</v>
      </c>
      <c r="BE33" s="20">
        <v>23.149919942686608</v>
      </c>
      <c r="BF33" s="20">
        <v>23.454070293423328</v>
      </c>
      <c r="BG33" s="20">
        <v>23.759650150808469</v>
      </c>
      <c r="BH33" s="20">
        <v>0</v>
      </c>
    </row>
    <row r="34" spans="1:60" ht="15" hidden="1" customHeight="1" outlineLevel="1" x14ac:dyDescent="0.25">
      <c r="A34" s="172">
        <f>C34*1000000/$C$16</f>
        <v>10.819288053402069</v>
      </c>
      <c r="B34" s="176" t="s">
        <v>59</v>
      </c>
      <c r="C34" s="169">
        <f>SUMIF($D$15:$BG$15,1,D34:BG34)</f>
        <v>95.428875691668352</v>
      </c>
      <c r="D34" s="175">
        <f t="shared" ref="D34:AJ34" si="5">NPV($C$8,D33:D33)</f>
        <v>-58.550808227118672</v>
      </c>
      <c r="E34" s="20">
        <f t="shared" si="5"/>
        <v>-116.64464230510792</v>
      </c>
      <c r="F34" s="20">
        <f t="shared" si="5"/>
        <v>-100.32970882635271</v>
      </c>
      <c r="G34" s="20">
        <f t="shared" si="5"/>
        <v>9.4318292473687375</v>
      </c>
      <c r="H34" s="20">
        <f t="shared" si="5"/>
        <v>9.6541666150209764</v>
      </c>
      <c r="I34" s="20">
        <f t="shared" si="5"/>
        <v>9.8775489683011664</v>
      </c>
      <c r="J34" s="20">
        <f t="shared" si="5"/>
        <v>10.101981218641784</v>
      </c>
      <c r="K34" s="20">
        <f t="shared" si="5"/>
        <v>10.327468300559003</v>
      </c>
      <c r="L34" s="20">
        <f t="shared" si="5"/>
        <v>10.554015171761229</v>
      </c>
      <c r="M34" s="20">
        <f t="shared" si="5"/>
        <v>10.781626813258105</v>
      </c>
      <c r="N34" s="20">
        <f t="shared" si="5"/>
        <v>11.010308229470011</v>
      </c>
      <c r="O34" s="20">
        <f t="shared" si="5"/>
        <v>11.240064448338122</v>
      </c>
      <c r="P34" s="20">
        <f t="shared" si="5"/>
        <v>11.470900521434915</v>
      </c>
      <c r="Q34" s="20">
        <f t="shared" si="5"/>
        <v>11.702821524075263</v>
      </c>
      <c r="R34" s="20">
        <f t="shared" si="5"/>
        <v>11.935832555428023</v>
      </c>
      <c r="S34" s="20">
        <f t="shared" si="5"/>
        <v>11.470900521434915</v>
      </c>
      <c r="T34" s="20">
        <f t="shared" si="5"/>
        <v>11.702821524075263</v>
      </c>
      <c r="U34" s="20">
        <f t="shared" si="5"/>
        <v>11.935832555428023</v>
      </c>
      <c r="V34" s="20">
        <f t="shared" si="5"/>
        <v>12.169938738628133</v>
      </c>
      <c r="W34" s="20">
        <f t="shared" si="5"/>
        <v>12.405145220889281</v>
      </c>
      <c r="X34" s="20">
        <f t="shared" si="5"/>
        <v>12.641457173617054</v>
      </c>
      <c r="Y34" s="20">
        <f t="shared" si="5"/>
        <v>12.878879792522653</v>
      </c>
      <c r="Z34" s="20">
        <f t="shared" si="5"/>
        <v>13.117418297737117</v>
      </c>
      <c r="AA34" s="20">
        <f t="shared" si="5"/>
        <v>13.357077933926089</v>
      </c>
      <c r="AB34" s="20">
        <f t="shared" si="5"/>
        <v>13.597863970405138</v>
      </c>
      <c r="AC34" s="20">
        <f t="shared" si="5"/>
        <v>13.839781701255635</v>
      </c>
      <c r="AD34" s="20">
        <f t="shared" si="5"/>
        <v>14.082836445441137</v>
      </c>
      <c r="AE34" s="20">
        <f t="shared" si="5"/>
        <v>14.327033546924312</v>
      </c>
      <c r="AF34" s="20">
        <f t="shared" si="5"/>
        <v>14.572378374784462</v>
      </c>
      <c r="AG34" s="20">
        <f t="shared" si="5"/>
        <v>14.818876323335548</v>
      </c>
      <c r="AH34" s="20">
        <f t="shared" si="5"/>
        <v>15.066532812244823</v>
      </c>
      <c r="AI34" s="20">
        <f t="shared" si="5"/>
        <v>15.31535328665197</v>
      </c>
      <c r="AJ34" s="20">
        <f t="shared" si="5"/>
        <v>15.565343217288826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17.0409846860058</v>
      </c>
      <c r="B36" s="178" t="s">
        <v>60</v>
      </c>
      <c r="C36" s="174">
        <f>SUMIF($D$15:$BG$15,1,D36:BG36)</f>
        <v>150.30582430542836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3.5191664014612338</v>
      </c>
      <c r="H36" s="20">
        <f t="shared" si="6"/>
        <v>3.6021240307301667</v>
      </c>
      <c r="I36" s="20">
        <f t="shared" si="6"/>
        <v>3.6854715608566582</v>
      </c>
      <c r="J36" s="20">
        <f t="shared" si="6"/>
        <v>3.7692108243747482</v>
      </c>
      <c r="K36" s="20">
        <f t="shared" si="6"/>
        <v>3.8533436624313731</v>
      </c>
      <c r="L36" s="20">
        <f t="shared" si="6"/>
        <v>3.937871924826863</v>
      </c>
      <c r="M36" s="20">
        <f t="shared" si="6"/>
        <v>4.0227974700556119</v>
      </c>
      <c r="N36" s="20">
        <f t="shared" si="6"/>
        <v>4.1081221653469324</v>
      </c>
      <c r="O36" s="20">
        <f t="shared" si="6"/>
        <v>4.1938478867061271</v>
      </c>
      <c r="P36" s="20">
        <f>IF(P33&gt;0,P33*0.34,0)</f>
        <v>4.27997651895571</v>
      </c>
      <c r="Q36" s="20">
        <f>IF(Q33&gt;0,Q33*0.34,0)</f>
        <v>4.3665099557768654</v>
      </c>
      <c r="R36" s="20">
        <f>IF(R33&gt;0,R33*0.34,0)</f>
        <v>4.4534500997510822</v>
      </c>
      <c r="S36" s="20">
        <f t="shared" si="6"/>
        <v>4.27997651895571</v>
      </c>
      <c r="T36" s="20">
        <f t="shared" si="6"/>
        <v>4.3665099557768654</v>
      </c>
      <c r="U36" s="20">
        <f t="shared" si="6"/>
        <v>4.4534500997510822</v>
      </c>
      <c r="V36" s="20">
        <f t="shared" si="6"/>
        <v>4.5407988624019744</v>
      </c>
      <c r="W36" s="20">
        <f t="shared" si="6"/>
        <v>4.628558164237325</v>
      </c>
      <c r="X36" s="20">
        <f t="shared" si="6"/>
        <v>4.7167299347913012</v>
      </c>
      <c r="Y36" s="20">
        <f t="shared" si="6"/>
        <v>4.8053161126668824</v>
      </c>
      <c r="Z36" s="20">
        <f t="shared" si="6"/>
        <v>4.8943186455784824</v>
      </c>
      <c r="AA36" s="20">
        <f t="shared" si="6"/>
        <v>4.9837394903947665</v>
      </c>
      <c r="AB36" s="20">
        <f t="shared" si="6"/>
        <v>5.073580613181683</v>
      </c>
      <c r="AC36" s="20">
        <f t="shared" si="6"/>
        <v>5.1638439892456978</v>
      </c>
      <c r="AD36" s="20">
        <f t="shared" si="6"/>
        <v>5.2545316031772149</v>
      </c>
      <c r="AE36" s="20">
        <f t="shared" si="6"/>
        <v>5.3456454488942118</v>
      </c>
      <c r="AF36" s="20">
        <f t="shared" si="6"/>
        <v>5.4371875296860788</v>
      </c>
      <c r="AG36" s="20">
        <f t="shared" si="6"/>
        <v>5.5291598582576666</v>
      </c>
      <c r="AH36" s="20">
        <f t="shared" si="6"/>
        <v>5.6215644567735392</v>
      </c>
      <c r="AI36" s="20">
        <f t="shared" si="6"/>
        <v>5.7144033569024364</v>
      </c>
      <c r="AJ36" s="20">
        <f t="shared" si="6"/>
        <v>5.807678599861938</v>
      </c>
      <c r="AK36" s="20">
        <f t="shared" si="6"/>
        <v>5.9013922364633533</v>
      </c>
      <c r="AL36" s="20">
        <f t="shared" si="6"/>
        <v>5.9955463271567959</v>
      </c>
      <c r="AM36" s="20">
        <f t="shared" si="6"/>
        <v>6.0901429420764961</v>
      </c>
      <c r="AN36" s="20">
        <f t="shared" si="6"/>
        <v>6.1851841610863163</v>
      </c>
      <c r="AO36" s="20">
        <f t="shared" si="6"/>
        <v>6.2806720738254818</v>
      </c>
      <c r="AP36" s="20">
        <f t="shared" si="6"/>
        <v>6.3766087797545277</v>
      </c>
      <c r="AQ36" s="20">
        <f t="shared" si="6"/>
        <v>6.4729963882014339</v>
      </c>
      <c r="AR36" s="20">
        <f t="shared" si="6"/>
        <v>6.5698370184080419</v>
      </c>
      <c r="AS36" s="20">
        <f t="shared" si="6"/>
        <v>6.6671327995766223</v>
      </c>
      <c r="AT36" s="20">
        <f t="shared" si="6"/>
        <v>6.7648858709166975</v>
      </c>
      <c r="AU36" s="20">
        <f t="shared" si="6"/>
        <v>6.8630983816920681</v>
      </c>
      <c r="AV36" s="20">
        <f t="shared" si="6"/>
        <v>6.961772491268083</v>
      </c>
      <c r="AW36" s="20">
        <f t="shared" si="6"/>
        <v>7.0609103691591075</v>
      </c>
      <c r="AX36" s="20">
        <f t="shared" si="6"/>
        <v>7.1605141950762139</v>
      </c>
      <c r="AY36" s="20">
        <f t="shared" si="6"/>
        <v>7.260586158975137</v>
      </c>
      <c r="AZ36" s="20">
        <f t="shared" si="6"/>
        <v>7.3611284611043821</v>
      </c>
      <c r="BA36" s="20">
        <f t="shared" si="6"/>
        <v>7.4621433120536311</v>
      </c>
      <c r="BB36" s="20">
        <f t="shared" si="6"/>
        <v>7.563632932802351</v>
      </c>
      <c r="BC36" s="20">
        <f t="shared" si="6"/>
        <v>7.6655995547685825</v>
      </c>
      <c r="BD36" s="20">
        <f t="shared" si="6"/>
        <v>7.7680454198580566</v>
      </c>
      <c r="BE36" s="20">
        <f t="shared" si="6"/>
        <v>7.8709727805134477</v>
      </c>
      <c r="BF36" s="20">
        <f t="shared" si="6"/>
        <v>7.9743838997639322</v>
      </c>
      <c r="BG36" s="20">
        <f t="shared" si="6"/>
        <v>8.0782810512748799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14.299402570080646</v>
      </c>
      <c r="B37" s="176" t="s">
        <v>61</v>
      </c>
      <c r="C37" s="169">
        <f>SUMIF($D$15:$BG$15,1,D37:BG37)</f>
        <v>126.12437191708423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3.2068219441053709</v>
      </c>
      <c r="H37" s="20">
        <f t="shared" si="7"/>
        <v>3.2824166491071325</v>
      </c>
      <c r="I37" s="20">
        <f t="shared" si="7"/>
        <v>3.3583666492223969</v>
      </c>
      <c r="J37" s="20">
        <f t="shared" si="7"/>
        <v>3.4346736143382071</v>
      </c>
      <c r="K37" s="20">
        <f t="shared" si="7"/>
        <v>3.5113392221900614</v>
      </c>
      <c r="L37" s="20">
        <f t="shared" si="7"/>
        <v>3.5883651583988185</v>
      </c>
      <c r="M37" s="20">
        <f t="shared" si="7"/>
        <v>3.6657531165077568</v>
      </c>
      <c r="N37" s="20">
        <f t="shared" si="7"/>
        <v>3.7435047980198037</v>
      </c>
      <c r="O37" s="20">
        <f t="shared" si="7"/>
        <v>3.8216219124349622</v>
      </c>
      <c r="P37" s="20">
        <f t="shared" si="7"/>
        <v>3.9001061772878716</v>
      </c>
      <c r="Q37" s="20">
        <f t="shared" si="7"/>
        <v>3.9789593181855891</v>
      </c>
      <c r="R37" s="20">
        <f t="shared" si="7"/>
        <v>4.058183068845528</v>
      </c>
      <c r="S37" s="20">
        <f t="shared" si="7"/>
        <v>3.9001061772878716</v>
      </c>
      <c r="T37" s="20">
        <f t="shared" si="7"/>
        <v>3.9789593181855891</v>
      </c>
      <c r="U37" s="20">
        <f t="shared" si="7"/>
        <v>4.058183068845528</v>
      </c>
      <c r="V37" s="20">
        <f t="shared" si="7"/>
        <v>4.1377791711335652</v>
      </c>
      <c r="W37" s="20">
        <f t="shared" si="7"/>
        <v>4.2177493751023558</v>
      </c>
      <c r="X37" s="20">
        <f t="shared" si="7"/>
        <v>4.2980954390297992</v>
      </c>
      <c r="Y37" s="20">
        <f t="shared" si="7"/>
        <v>4.3788191294577024</v>
      </c>
      <c r="Z37" s="20">
        <f t="shared" si="7"/>
        <v>4.4599222212306202</v>
      </c>
      <c r="AA37" s="20">
        <f t="shared" si="7"/>
        <v>4.5414064975348705</v>
      </c>
      <c r="AB37" s="20">
        <f t="shared" si="7"/>
        <v>4.6232737499377468</v>
      </c>
      <c r="AC37" s="20">
        <f t="shared" si="7"/>
        <v>4.7055257784269164</v>
      </c>
      <c r="AD37" s="20">
        <f t="shared" si="7"/>
        <v>4.7881643914499863</v>
      </c>
      <c r="AE37" s="20">
        <f t="shared" si="7"/>
        <v>4.8711914059542663</v>
      </c>
      <c r="AF37" s="20">
        <f t="shared" si="7"/>
        <v>4.954608647426717</v>
      </c>
      <c r="AG37" s="20">
        <f t="shared" si="7"/>
        <v>5.0384179499340869</v>
      </c>
      <c r="AH37" s="20">
        <f t="shared" si="7"/>
        <v>5.1226211561632402</v>
      </c>
      <c r="AI37" s="20">
        <f t="shared" si="7"/>
        <v>5.2072201174616701</v>
      </c>
      <c r="AJ37" s="20">
        <f t="shared" si="7"/>
        <v>5.2922166938782018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-1.2007794303220769</v>
      </c>
      <c r="B39" s="173" t="s">
        <v>62</v>
      </c>
      <c r="C39" s="174">
        <f>SUMIF($D$15:$BG$15,1,D39:BG39)</f>
        <v>-10.591180346038193</v>
      </c>
      <c r="D39" s="175">
        <v>-64.253656948440025</v>
      </c>
      <c r="E39" s="20">
        <v>-128.00583046562542</v>
      </c>
      <c r="F39" s="20">
        <v>-110.10182246603947</v>
      </c>
      <c r="G39" s="20">
        <v>6.8313230146012183</v>
      </c>
      <c r="H39" s="20">
        <v>6.9923584125938527</v>
      </c>
      <c r="I39" s="20">
        <v>7.154150676957042</v>
      </c>
      <c r="J39" s="20">
        <v>7.3167033649627466</v>
      </c>
      <c r="K39" s="20">
        <v>7.4800200506020769</v>
      </c>
      <c r="L39" s="20">
        <v>7.6441043246639095</v>
      </c>
      <c r="M39" s="20">
        <v>7.8089597948138341</v>
      </c>
      <c r="N39" s="20">
        <v>7.9745900856734577</v>
      </c>
      <c r="O39" s="20">
        <v>8.1409988389001278</v>
      </c>
      <c r="P39" s="20">
        <v>8.308189713266966</v>
      </c>
      <c r="Q39" s="20">
        <v>8.476166384743328</v>
      </c>
      <c r="R39" s="20">
        <v>8.6449325465756299</v>
      </c>
      <c r="S39" s="20">
        <v>8.308189713266966</v>
      </c>
      <c r="T39" s="20">
        <v>8.476166384743328</v>
      </c>
      <c r="U39" s="20">
        <v>8.6449325465756299</v>
      </c>
      <c r="V39" s="20">
        <v>8.8144919093685381</v>
      </c>
      <c r="W39" s="20">
        <v>8.9848482011665727</v>
      </c>
      <c r="X39" s="20">
        <v>9.1560051675360548</v>
      </c>
      <c r="Y39" s="20">
        <v>9.3279665716474778</v>
      </c>
      <c r="Z39" s="20">
        <v>9.5007361943582307</v>
      </c>
      <c r="AA39" s="20">
        <v>9.6743178342957226</v>
      </c>
      <c r="AB39" s="20">
        <v>9.848715307940914</v>
      </c>
      <c r="AC39" s="20">
        <v>10.023932449712236</v>
      </c>
      <c r="AD39" s="20">
        <v>10.199973112049888</v>
      </c>
      <c r="AE39" s="20">
        <v>10.376841165500528</v>
      </c>
      <c r="AF39" s="20">
        <v>10.554540498802389</v>
      </c>
      <c r="AG39" s="20">
        <v>10.733075018970764</v>
      </c>
      <c r="AH39" s="20">
        <v>10.912448651383929</v>
      </c>
      <c r="AI39" s="20">
        <v>11.092665339869436</v>
      </c>
      <c r="AJ39" s="20">
        <v>11.27372904679082</v>
      </c>
      <c r="AK39" s="20">
        <v>11.455643753134744</v>
      </c>
      <c r="AL39" s="20">
        <v>11.638413458598485</v>
      </c>
      <c r="AM39" s="20">
        <v>11.822042181677903</v>
      </c>
      <c r="AN39" s="20">
        <v>12.006533959755789</v>
      </c>
      <c r="AO39" s="20">
        <v>12.191892849190641</v>
      </c>
      <c r="AP39" s="20">
        <v>12.378122925405847</v>
      </c>
      <c r="AQ39" s="20">
        <v>12.565228282979254</v>
      </c>
      <c r="AR39" s="20">
        <v>12.753213035733257</v>
      </c>
      <c r="AS39" s="20">
        <v>12.942081316825208</v>
      </c>
      <c r="AT39" s="20">
        <v>13.131837278838294</v>
      </c>
      <c r="AU39" s="20">
        <v>13.322485093872837</v>
      </c>
      <c r="AV39" s="20">
        <v>13.514028953638043</v>
      </c>
      <c r="AW39" s="20">
        <v>13.706473069544149</v>
      </c>
      <c r="AX39" s="20">
        <v>13.899821672795003</v>
      </c>
      <c r="AY39" s="20">
        <v>14.094079014481148</v>
      </c>
      <c r="AZ39" s="20">
        <v>14.289249365673212</v>
      </c>
      <c r="BA39" s="20">
        <v>14.485337017515871</v>
      </c>
      <c r="BB39" s="20">
        <v>14.682346281322211</v>
      </c>
      <c r="BC39" s="20">
        <v>14.880281488668425</v>
      </c>
      <c r="BD39" s="20">
        <v>15.079146991489168</v>
      </c>
      <c r="BE39" s="20">
        <v>15.278947162173163</v>
      </c>
      <c r="BF39" s="20">
        <v>15.479686393659398</v>
      </c>
      <c r="BG39" s="20">
        <v>15.68136909953359</v>
      </c>
      <c r="BH39" s="20">
        <v>0</v>
      </c>
    </row>
    <row r="40" spans="1:60" ht="15" hidden="1" customHeight="1" outlineLevel="1" x14ac:dyDescent="0.25">
      <c r="A40" s="172">
        <f>C40*1000000/$C$16</f>
        <v>-2.2966004608608253</v>
      </c>
      <c r="B40" s="176" t="s">
        <v>63</v>
      </c>
      <c r="C40" s="169">
        <f>SUMIF($D$15:$BG$15,1,D40:BG40)</f>
        <v>-20.256600879020091</v>
      </c>
      <c r="D40" s="175">
        <f t="shared" ref="D40:AK40" si="8">NPV($C$8,D39:D39)</f>
        <v>-58.550808227118672</v>
      </c>
      <c r="E40" s="20">
        <f t="shared" si="8"/>
        <v>-116.64464230510792</v>
      </c>
      <c r="F40" s="20">
        <f t="shared" si="8"/>
        <v>-100.32970882635271</v>
      </c>
      <c r="G40" s="20">
        <f t="shared" si="8"/>
        <v>6.225007303263367</v>
      </c>
      <c r="H40" s="20">
        <f t="shared" si="8"/>
        <v>6.3717499659138443</v>
      </c>
      <c r="I40" s="20">
        <f t="shared" si="8"/>
        <v>6.5191823190787703</v>
      </c>
      <c r="J40" s="20">
        <f t="shared" si="8"/>
        <v>6.6673076043035788</v>
      </c>
      <c r="K40" s="20">
        <f t="shared" si="8"/>
        <v>6.8161290783689426</v>
      </c>
      <c r="L40" s="20">
        <f t="shared" si="8"/>
        <v>6.9656500133624109</v>
      </c>
      <c r="M40" s="20">
        <f t="shared" si="8"/>
        <v>7.1158736967503504</v>
      </c>
      <c r="N40" s="20">
        <f t="shared" si="8"/>
        <v>7.2668034314502084</v>
      </c>
      <c r="O40" s="20">
        <f t="shared" si="8"/>
        <v>7.4184425359031607</v>
      </c>
      <c r="P40" s="20">
        <f t="shared" si="8"/>
        <v>7.5707943441470444</v>
      </c>
      <c r="Q40" s="20">
        <f t="shared" si="8"/>
        <v>7.7238622058896746</v>
      </c>
      <c r="R40" s="20">
        <f t="shared" si="8"/>
        <v>7.8776494865824951</v>
      </c>
      <c r="S40" s="20">
        <f t="shared" si="8"/>
        <v>7.5707943441470444</v>
      </c>
      <c r="T40" s="20">
        <f t="shared" si="8"/>
        <v>7.7238622058896746</v>
      </c>
      <c r="U40" s="20">
        <f t="shared" si="8"/>
        <v>7.8776494865824951</v>
      </c>
      <c r="V40" s="20">
        <f t="shared" si="8"/>
        <v>8.0321595674945669</v>
      </c>
      <c r="W40" s="20">
        <f t="shared" si="8"/>
        <v>8.1873958457869271</v>
      </c>
      <c r="X40" s="20">
        <f t="shared" si="8"/>
        <v>8.3433617345872566</v>
      </c>
      <c r="Y40" s="20">
        <f t="shared" si="8"/>
        <v>8.5000606630649518</v>
      </c>
      <c r="Z40" s="20">
        <f t="shared" si="8"/>
        <v>8.657496076506499</v>
      </c>
      <c r="AA40" s="20">
        <f t="shared" si="8"/>
        <v>8.8156714363912183</v>
      </c>
      <c r="AB40" s="20">
        <f t="shared" si="8"/>
        <v>8.9745902204673911</v>
      </c>
      <c r="AC40" s="20">
        <f t="shared" si="8"/>
        <v>9.1342559228287197</v>
      </c>
      <c r="AD40" s="20">
        <f t="shared" si="8"/>
        <v>9.2946720539911496</v>
      </c>
      <c r="AE40" s="20">
        <f t="shared" si="8"/>
        <v>9.4558421409700451</v>
      </c>
      <c r="AF40" s="20">
        <f t="shared" si="8"/>
        <v>9.6177697273577447</v>
      </c>
      <c r="AG40" s="20">
        <f t="shared" si="8"/>
        <v>9.7804583734014621</v>
      </c>
      <c r="AH40" s="20">
        <f t="shared" si="8"/>
        <v>9.9439116560815837</v>
      </c>
      <c r="AI40" s="20">
        <f t="shared" si="8"/>
        <v>10.108133169190301</v>
      </c>
      <c r="AJ40" s="20">
        <f t="shared" si="8"/>
        <v>10.273126523410625</v>
      </c>
      <c r="AK40" s="20">
        <f t="shared" si="8"/>
        <v>10.438895346395794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218.4037934888494</v>
      </c>
      <c r="B42" s="141" t="s">
        <v>64</v>
      </c>
      <c r="C42" s="169"/>
      <c r="D42" s="175">
        <v>-64.253656948440025</v>
      </c>
      <c r="E42" s="20">
        <v>-192.25948741406546</v>
      </c>
      <c r="F42" s="20">
        <v>-302.36130988010495</v>
      </c>
      <c r="G42" s="20">
        <v>-295.52998686550376</v>
      </c>
      <c r="H42" s="20">
        <v>-288.53762845290993</v>
      </c>
      <c r="I42" s="20">
        <v>-281.38347777595288</v>
      </c>
      <c r="J42" s="20">
        <v>-274.06677441099015</v>
      </c>
      <c r="K42" s="20">
        <v>-266.58675436038806</v>
      </c>
      <c r="L42" s="20">
        <v>-258.94265003572417</v>
      </c>
      <c r="M42" s="20">
        <v>-251.13369024091034</v>
      </c>
      <c r="N42" s="20">
        <v>-243.15910015523687</v>
      </c>
      <c r="O42" s="20">
        <v>-235.01810131633675</v>
      </c>
      <c r="P42" s="20">
        <v>-226.7099116030698</v>
      </c>
      <c r="Q42" s="20">
        <v>-218.23374521832648</v>
      </c>
      <c r="R42" s="20">
        <v>-209.58881267175084</v>
      </c>
      <c r="S42" s="20">
        <v>-226.7099116030698</v>
      </c>
      <c r="T42" s="20">
        <v>-218.23374521832648</v>
      </c>
      <c r="U42" s="20">
        <v>-209.58881267175084</v>
      </c>
      <c r="V42" s="20">
        <v>-200.7743207623823</v>
      </c>
      <c r="W42" s="20">
        <v>-191.78947256121572</v>
      </c>
      <c r="X42" s="20">
        <v>-182.63346739367967</v>
      </c>
      <c r="Y42" s="20">
        <v>-173.3055008220322</v>
      </c>
      <c r="Z42" s="20">
        <v>-163.80476462767396</v>
      </c>
      <c r="AA42" s="20">
        <v>-154.13044679337824</v>
      </c>
      <c r="AB42" s="20">
        <v>-144.28173148543732</v>
      </c>
      <c r="AC42" s="20">
        <v>-134.25779903572507</v>
      </c>
      <c r="AD42" s="20">
        <v>-124.05782592367518</v>
      </c>
      <c r="AE42" s="20">
        <v>-113.68098475817466</v>
      </c>
      <c r="AF42" s="20">
        <v>-103.12644425937228</v>
      </c>
      <c r="AG42" s="20">
        <v>-92.393369240401512</v>
      </c>
      <c r="AH42" s="20">
        <v>-81.480920589017586</v>
      </c>
      <c r="AI42" s="20">
        <v>-70.388255249148145</v>
      </c>
      <c r="AJ42" s="20">
        <v>-59.114526202357325</v>
      </c>
      <c r="AK42" s="20">
        <v>-47.658882449222581</v>
      </c>
      <c r="AL42" s="20">
        <v>-36.020468990624096</v>
      </c>
      <c r="AM42" s="20">
        <v>-24.198426808946195</v>
      </c>
      <c r="AN42" s="20">
        <v>-12.191892849190406</v>
      </c>
      <c r="AO42" s="20">
        <v>2.3447910280083306E-13</v>
      </c>
      <c r="AP42" s="20">
        <v>12.378122925406082</v>
      </c>
      <c r="AQ42" s="20">
        <v>24.943351208385337</v>
      </c>
      <c r="AR42" s="20">
        <v>37.696564244118591</v>
      </c>
      <c r="AS42" s="20">
        <v>50.6386455609438</v>
      </c>
      <c r="AT42" s="20">
        <v>63.77048283978209</v>
      </c>
      <c r="AU42" s="20">
        <v>77.092967933654933</v>
      </c>
      <c r="AV42" s="20">
        <v>90.606996887292979</v>
      </c>
      <c r="AW42" s="20">
        <v>104.31346995683712</v>
      </c>
      <c r="AX42" s="20">
        <v>118.21329162963212</v>
      </c>
      <c r="AY42" s="20">
        <v>132.30737064411326</v>
      </c>
      <c r="AZ42" s="20">
        <v>146.59662000978648</v>
      </c>
      <c r="BA42" s="20">
        <v>161.08195702730234</v>
      </c>
      <c r="BB42" s="20">
        <v>175.76430330862456</v>
      </c>
      <c r="BC42" s="20">
        <v>190.64458479729299</v>
      </c>
      <c r="BD42" s="20">
        <v>205.72373178878217</v>
      </c>
      <c r="BE42" s="20">
        <v>221.00267895095533</v>
      </c>
      <c r="BF42" s="20">
        <v>236.48236534461472</v>
      </c>
      <c r="BG42" s="20">
        <v>252.1637344441483</v>
      </c>
      <c r="BH42" s="20">
        <v>0</v>
      </c>
    </row>
    <row r="43" spans="1:60" ht="15" hidden="1" customHeight="1" outlineLevel="1" x14ac:dyDescent="0.25">
      <c r="A43" s="172">
        <f>A18+A21+A36</f>
        <v>219.60457291917135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-1.2007794303219441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1873.3681341755828</v>
      </c>
      <c r="D46" s="181" t="s">
        <v>67</v>
      </c>
      <c r="E46" s="181"/>
      <c r="F46" s="182">
        <f>A27</f>
        <v>212.39388315961895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53.00893948801621</v>
      </c>
      <c r="D48" s="181" t="s">
        <v>67</v>
      </c>
      <c r="E48" s="181"/>
      <c r="F48" s="182">
        <f>A30</f>
        <v>6.0099103292304585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1926.377073663599</v>
      </c>
      <c r="D49" s="189" t="s">
        <v>67</v>
      </c>
      <c r="E49" s="189"/>
      <c r="F49" s="190">
        <f>F46+F47+F48</f>
        <v>218.4037934888494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1786.6624297042076</v>
      </c>
      <c r="D50" s="185" t="s">
        <v>67</v>
      </c>
      <c r="E50" s="185"/>
      <c r="F50" s="186">
        <f>A18+A21</f>
        <v>202.56358823316555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150.30582430542836</v>
      </c>
      <c r="D51" s="181" t="s">
        <v>67</v>
      </c>
      <c r="E51" s="181"/>
      <c r="F51" s="192">
        <f>A36</f>
        <v>17.0409846860058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-10.591180346036936</v>
      </c>
      <c r="D53" s="198" t="s">
        <v>67</v>
      </c>
      <c r="E53" s="198"/>
      <c r="F53" s="199">
        <f>F49-F50-F51</f>
        <v>-1.2007794303219441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14370525.845738163</v>
      </c>
      <c r="D57" s="207" t="s">
        <v>9</v>
      </c>
      <c r="E57" s="207"/>
      <c r="F57" s="208">
        <v>61.314400573348294</v>
      </c>
      <c r="G57" s="207" t="s">
        <v>8</v>
      </c>
      <c r="H57" s="56">
        <f>F57/$F$99</f>
        <v>0.26201440385995556</v>
      </c>
    </row>
    <row r="58" spans="1:8" s="164" customFormat="1" ht="15" hidden="1" customHeight="1" outlineLevel="1" x14ac:dyDescent="0.25">
      <c r="B58" s="209" t="s">
        <v>76</v>
      </c>
      <c r="C58" s="210">
        <v>152385.54739200001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94.303732156246411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0.33272361920527033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3845358.5168454838</v>
      </c>
      <c r="D78" s="181" t="s">
        <v>9</v>
      </c>
      <c r="E78" s="181"/>
      <c r="F78" s="192">
        <v>16.406905006884212</v>
      </c>
      <c r="G78" s="181" t="s">
        <v>8</v>
      </c>
      <c r="H78" s="61">
        <f>F78/$F$99</f>
        <v>7.0111513679777832E-2</v>
      </c>
    </row>
    <row r="79" spans="2:8" ht="15" hidden="1" customHeight="1" outlineLevel="1" x14ac:dyDescent="0.25">
      <c r="B79" s="180" t="s">
        <v>81</v>
      </c>
      <c r="C79" s="219">
        <v>5383501.923583677</v>
      </c>
      <c r="D79" s="181" t="s">
        <v>9</v>
      </c>
      <c r="E79" s="181"/>
      <c r="F79" s="192">
        <v>22.969667009637899</v>
      </c>
      <c r="G79" s="181" t="s">
        <v>8</v>
      </c>
      <c r="H79" s="61">
        <f>F79/$F$99</f>
        <v>9.8156119151688981E-2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2984738.0791062969</v>
      </c>
      <c r="D81" s="226" t="s">
        <v>9</v>
      </c>
      <c r="E81" s="226"/>
      <c r="F81" s="227">
        <v>12.734915072236117</v>
      </c>
      <c r="G81" s="226" t="s">
        <v>8</v>
      </c>
      <c r="H81" s="62">
        <f>F81/$F$99</f>
        <v>5.4420024491106181E-2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247.68965966136318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87.748195127656345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6.3679161570386672E-3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9664272.7946758382</v>
      </c>
      <c r="D92" s="226" t="s">
        <v>9</v>
      </c>
      <c r="E92" s="234"/>
      <c r="F92" s="235">
        <v>41.23433615051745</v>
      </c>
      <c r="G92" s="234" t="s">
        <v>8</v>
      </c>
      <c r="H92" s="66">
        <f>F92/$F$99</f>
        <v>0.17620640345516231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247.68965966136318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87.748195127656345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54846320.02681458</v>
      </c>
      <c r="D99" s="238" t="s">
        <v>9</v>
      </c>
      <c r="E99" s="239"/>
      <c r="F99" s="240">
        <v>234.01156451734735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9442.986600000002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168.34204200000005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56.944645817795212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262.78478400000006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88.891558361789492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320.07317399999999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108.27036023008165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260.16497399999997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88.00536171841074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356"/>
      <c r="G5" s="86"/>
      <c r="H5" s="356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88" t="s">
        <v>10</v>
      </c>
      <c r="G6" s="89"/>
      <c r="H6" s="88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285.34190971736228</v>
      </c>
      <c r="N7" s="272"/>
      <c r="O7" s="275">
        <f>M7</f>
        <v>285.34190971736228</v>
      </c>
      <c r="P7" s="276"/>
      <c r="Q7" s="277">
        <f>M7</f>
        <v>285.34190971736228</v>
      </c>
      <c r="R7" s="277"/>
      <c r="S7" s="277"/>
      <c r="T7" s="277"/>
      <c r="U7" s="277"/>
      <c r="V7" s="278">
        <f>Q7</f>
        <v>285.34190971736228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285.34190971736228</v>
      </c>
      <c r="R8" s="281">
        <f>M7</f>
        <v>285.34190971736228</v>
      </c>
      <c r="S8" s="281">
        <f>IF(R8&gt;=0,IF(M8&gt;=0,Q7,Q8),IF(M8&gt;=0,S7,Q8))</f>
        <v>285.34190971736228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4">
        <f>'C-Dados RT3 Simplif.'!C108</f>
        <v>9442.986600000002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MULTICRITÉRIO'!J56</f>
        <v>0</v>
      </c>
      <c r="N9" s="274"/>
      <c r="O9" s="279"/>
      <c r="P9" s="280"/>
      <c r="Q9" s="281">
        <f>Q8+M9</f>
        <v>285.34190971736228</v>
      </c>
      <c r="R9" s="281">
        <f>M8</f>
        <v>0</v>
      </c>
      <c r="S9" s="281">
        <f>IF(R9&gt;=0,IF(M9&gt;=0,Q8,Q9),IF(M9&gt;=0,S8,Q9))</f>
        <v>285.34190971736228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285.34190971736228</v>
      </c>
      <c r="N10" s="272"/>
      <c r="O10" s="275">
        <f>M10</f>
        <v>285.34190971736228</v>
      </c>
      <c r="P10" s="276"/>
      <c r="Q10" s="277">
        <f>M10</f>
        <v>285.34190971736228</v>
      </c>
      <c r="R10" s="277"/>
      <c r="S10" s="277"/>
      <c r="T10" s="277"/>
      <c r="U10" s="277"/>
      <c r="V10" s="278">
        <f>Q10</f>
        <v>285.34190971736228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14.417044591693713</v>
      </c>
      <c r="N11" s="274"/>
      <c r="O11" s="279"/>
      <c r="P11" s="280"/>
      <c r="Q11" s="281">
        <f>Q10+M11</f>
        <v>299.75895430905598</v>
      </c>
      <c r="R11" s="281">
        <f t="shared" ref="R11:R22" si="0">M10</f>
        <v>285.34190971736228</v>
      </c>
      <c r="S11" s="281">
        <f>IF(R11&gt;=0,IF(M11&gt;=0,Q10,Q11),IF(M11&gt;=0,S10,Q11))</f>
        <v>285.34190971736228</v>
      </c>
      <c r="T11" s="281">
        <f>IF(M11&gt;=0,M11,0)</f>
        <v>14.417044591693713</v>
      </c>
      <c r="U11" s="281">
        <f t="shared" ref="U11:U22" si="1">IF(M11&lt;0,M11*-1,0)</f>
        <v>0</v>
      </c>
      <c r="V11" s="282">
        <f>SUM(T11:U11)</f>
        <v>14.417044591693713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299.75895430905598</v>
      </c>
      <c r="R12" s="281">
        <f t="shared" si="0"/>
        <v>14.417044591693713</v>
      </c>
      <c r="S12" s="281">
        <f>IF(R12&gt;=0,IF(M12&gt;=0,Q11,Q12),IF(M12&gt;=0,S11,Q12))</f>
        <v>299.75895430905598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299.75895430905598</v>
      </c>
      <c r="N13" s="272"/>
      <c r="O13" s="283">
        <f>M13</f>
        <v>299.75895430905598</v>
      </c>
      <c r="P13" s="284"/>
      <c r="Q13" s="285">
        <f>Q12+M13-O13</f>
        <v>299.75895430905598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299.75895430905598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299.75895430905598</v>
      </c>
      <c r="R14" s="281">
        <f t="shared" si="0"/>
        <v>299.75895430905598</v>
      </c>
      <c r="S14" s="281">
        <f>IF(R14&gt;=0,IF(M14&gt;=0,Q13,Q14),IF(M14&gt;=0,S13,Q14))</f>
        <v>299.75895430905598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299.75895430905598</v>
      </c>
      <c r="R15" s="281">
        <f t="shared" si="0"/>
        <v>0</v>
      </c>
      <c r="S15" s="281">
        <f>IF(R15&gt;=0,IF(M15&gt;=0,Q14,Q15),IF(M15&gt;=0,S14,Q15))</f>
        <v>299.75895430905598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299.75895430905598</v>
      </c>
      <c r="N16" s="272"/>
      <c r="O16" s="283">
        <f>M16</f>
        <v>299.75895430905598</v>
      </c>
      <c r="P16" s="284"/>
      <c r="Q16" s="285">
        <f>Q15+M16-O16</f>
        <v>299.75895430905598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299.75895430905598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99">
        <f>F23</f>
        <v>88.00536171841074</v>
      </c>
      <c r="G17" s="99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299.75895430905598</v>
      </c>
      <c r="R17" s="281">
        <f t="shared" si="0"/>
        <v>299.75895430905598</v>
      </c>
      <c r="S17" s="281">
        <f>IF(R17&gt;=0,IF(M17&gt;=0,Q16,Q17),IF(M17&gt;=0,S16,Q17))</f>
        <v>299.75895430905598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299.75895430905598</v>
      </c>
      <c r="R18" s="281">
        <f t="shared" si="0"/>
        <v>0</v>
      </c>
      <c r="S18" s="281">
        <f>IF(R18&gt;=0,IF(M18&gt;=0,Q17,Q18),IF(M18&gt;=0,S17,Q18))</f>
        <v>299.75895430905598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20.264998511670896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299.75895430905598</v>
      </c>
      <c r="R19" s="281">
        <f t="shared" si="0"/>
        <v>0</v>
      </c>
      <c r="S19" s="281">
        <f>IF(R19&gt;=0,IF(M19&gt;=0,Q18,Q19),IF(M19&gt;=0,S18,Q19))</f>
        <v>299.75895430905598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299.75895430905598</v>
      </c>
      <c r="R20" s="281">
        <f t="shared" si="0"/>
        <v>0</v>
      </c>
      <c r="S20" s="281">
        <f>IF(R20&gt;=0,IF(M20&gt;=0,Q19,Q20),IF(M20&gt;=0,S19,Q20))</f>
        <v>299.75895430905598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198.29818555905598</v>
      </c>
      <c r="R21" s="281">
        <f t="shared" si="0"/>
        <v>0</v>
      </c>
      <c r="S21" s="281">
        <f>IF(R21&gt;=0,IF(M21&gt;=0,Q20,Q21),IF(M21&gt;=0,S20,Q21))</f>
        <v>198.29818555905598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0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198.29818555905598</v>
      </c>
      <c r="N22" s="272"/>
      <c r="O22" s="289">
        <f>M22</f>
        <v>198.29818555905598</v>
      </c>
      <c r="P22" s="290"/>
      <c r="Q22" s="291">
        <f>Q21+M22-O22</f>
        <v>198.29818555905598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198.29818555905598</v>
      </c>
    </row>
    <row r="23" spans="2:22" ht="15" customHeight="1" outlineLevel="1" thickTop="1" x14ac:dyDescent="0.25">
      <c r="B23" s="1270"/>
      <c r="C23" s="91" t="s">
        <v>39</v>
      </c>
      <c r="D23" s="78" t="s">
        <v>32</v>
      </c>
      <c r="F23" s="99">
        <f>'C-Dados RT3 Simplif.'!C126</f>
        <v>88.00536171841074</v>
      </c>
      <c r="H23" s="107"/>
    </row>
    <row r="24" spans="2:22" ht="15" customHeight="1" outlineLevel="1" x14ac:dyDescent="0.25">
      <c r="B24" s="1270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57" t="s">
        <v>30</v>
      </c>
      <c r="C30" s="1257"/>
      <c r="D30" s="110"/>
      <c r="F30" s="1362" t="s">
        <v>10</v>
      </c>
      <c r="H30" s="1362" t="s">
        <v>10</v>
      </c>
      <c r="J30" s="1362" t="s">
        <v>10</v>
      </c>
    </row>
    <row r="31" spans="2:22" s="110" customFormat="1" ht="15.75" hidden="1" outlineLevel="1" x14ac:dyDescent="0.25">
      <c r="B31" s="1257"/>
      <c r="C31" s="1257"/>
      <c r="F31" s="1362"/>
      <c r="H31" s="1362"/>
      <c r="J31" s="1362"/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14">
        <f>'C-Dados RT3 Simplif.'!C108</f>
        <v>9442.986600000002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14.417044591693713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88.00536171841074</v>
      </c>
      <c r="G41" s="103"/>
      <c r="H41" s="104">
        <f>H17</f>
        <v>0</v>
      </c>
      <c r="I41" s="115"/>
      <c r="J41" s="116">
        <f>-F41*$H$41*1000*(1-'C-Dados RT3 Simplif.'!$C$93)*(1-'C-Dados RT3 Simplif.'!$C$89)/'C-Dados RT3 Simplif.'!$C$105*27/30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63" t="s">
        <v>113</v>
      </c>
      <c r="C46" s="1364"/>
      <c r="D46" s="1364"/>
      <c r="E46" s="1364"/>
      <c r="F46" s="1364"/>
      <c r="G46" s="1364"/>
      <c r="H46" s="1364"/>
      <c r="I46" s="126"/>
      <c r="J46" s="1362" t="s">
        <v>10</v>
      </c>
      <c r="K46" s="126"/>
    </row>
    <row r="47" spans="2:11" s="110" customFormat="1" ht="15.6" customHeight="1" x14ac:dyDescent="0.25">
      <c r="B47" s="1365"/>
      <c r="C47" s="1366"/>
      <c r="D47" s="1366"/>
      <c r="E47" s="1366"/>
      <c r="F47" s="1366"/>
      <c r="G47" s="1366"/>
      <c r="H47" s="1366"/>
      <c r="I47" s="86"/>
      <c r="J47" s="1362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-87.043724158306304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285.34190971736228</v>
      </c>
      <c r="K51" s="416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127"/>
      <c r="E53" s="127"/>
      <c r="F53" s="85"/>
      <c r="H53" s="423"/>
      <c r="I53" s="126"/>
      <c r="J53" s="1272"/>
      <c r="K53" s="1272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198.29818555905598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0" t="s">
        <v>474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8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8"/>
      <c r="M5" s="781"/>
      <c r="N5" s="1058"/>
      <c r="O5" s="1346" t="s">
        <v>378</v>
      </c>
      <c r="P5" s="1058"/>
      <c r="Q5" s="1346" t="s">
        <v>379</v>
      </c>
      <c r="R5" s="1058"/>
      <c r="S5" s="1346" t="s">
        <v>380</v>
      </c>
      <c r="T5" s="1058"/>
      <c r="U5" s="1346" t="s">
        <v>381</v>
      </c>
      <c r="V5" s="1058"/>
      <c r="W5" s="1346" t="s">
        <v>382</v>
      </c>
      <c r="X5" s="1058"/>
      <c r="Y5" s="1346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50.38887066108223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8"/>
      <c r="M6" s="793"/>
      <c r="N6" s="794"/>
      <c r="O6" s="1347"/>
      <c r="P6" s="1058"/>
      <c r="Q6" s="1347"/>
      <c r="R6" s="1058"/>
      <c r="S6" s="1347"/>
      <c r="T6" s="1058"/>
      <c r="U6" s="1347"/>
      <c r="V6" s="1058"/>
      <c r="W6" s="1347"/>
      <c r="X6" s="1058"/>
      <c r="Y6" s="1347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'3)Biosecagem Prod BioCDR'!M22</f>
        <v>198.29818555905598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8"/>
      <c r="M8" s="793"/>
      <c r="N8" s="794"/>
      <c r="O8" s="800">
        <f>(O12-O10)/O10</f>
        <v>0</v>
      </c>
      <c r="P8" s="794"/>
      <c r="Q8" s="800">
        <f>(Q12-Q10)/Q10</f>
        <v>5.9292925928744267E-3</v>
      </c>
      <c r="R8" s="794"/>
      <c r="S8" s="800">
        <f>(S12-S10)/S10</f>
        <v>1.5233061901367322E-2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54.773332269479639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1.9256139530064311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55.098099382792114</v>
      </c>
      <c r="R12" s="794"/>
      <c r="S12" s="806">
        <f>S33</f>
        <v>257977.38543486258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2"/>
      <c r="G16" s="1334"/>
      <c r="H16" s="1336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54.773332269479639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2.0931664370924032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7" t="s">
        <v>419</v>
      </c>
      <c r="G23" s="1338"/>
      <c r="H23" s="1339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319.21237532405718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54.773332269479639</v>
      </c>
      <c r="E25" s="1058"/>
      <c r="F25" s="839" t="s">
        <v>424</v>
      </c>
      <c r="G25" s="816" t="s">
        <v>425</v>
      </c>
      <c r="H25" s="842">
        <f>H24/12</f>
        <v>26.601031277004765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2.0931664370924032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3" t="s">
        <v>427</v>
      </c>
      <c r="C29" s="1314"/>
      <c r="D29" s="1314"/>
      <c r="E29" s="1315"/>
      <c r="F29" s="1058"/>
      <c r="G29" s="1058"/>
      <c r="H29" s="781"/>
      <c r="I29" s="1058"/>
      <c r="J29" s="781"/>
      <c r="K29" s="1316" t="s">
        <v>428</v>
      </c>
      <c r="L29" s="1317"/>
      <c r="M29" s="1318"/>
      <c r="N29" s="1058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8"/>
      <c r="O31" s="1324" t="s">
        <v>433</v>
      </c>
      <c r="P31" s="1058"/>
      <c r="Q31" s="1324" t="s">
        <v>434</v>
      </c>
      <c r="R31" s="1058"/>
      <c r="S31" s="1324" t="s">
        <v>435</v>
      </c>
      <c r="T31" s="1058"/>
      <c r="U31" s="1324" t="s">
        <v>436</v>
      </c>
      <c r="V31" s="1058"/>
      <c r="W31" s="1324" t="s">
        <v>436</v>
      </c>
      <c r="X31" s="1058"/>
      <c r="Y31" s="1324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319.21237532405718</v>
      </c>
      <c r="M32" s="845">
        <f>H25</f>
        <v>26.601031277004765</v>
      </c>
      <c r="N32" s="846"/>
      <c r="O32" s="1325"/>
      <c r="P32" s="846"/>
      <c r="Q32" s="1325"/>
      <c r="R32" s="846"/>
      <c r="S32" s="1325"/>
      <c r="T32" s="1058"/>
      <c r="U32" s="1325"/>
      <c r="V32" s="1058"/>
      <c r="W32" s="1325"/>
      <c r="X32" s="1058"/>
      <c r="Y32" s="1326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55.098099382792114</v>
      </c>
      <c r="R33" s="1058"/>
      <c r="S33" s="806">
        <f>12*S34</f>
        <v>257977.38543486258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1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21498.115452905215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2"/>
      <c r="Z34" s="1058"/>
      <c r="AA34" s="1058"/>
      <c r="AB34" s="777"/>
    </row>
    <row r="35" spans="1:28" s="778" customFormat="1" ht="25.15" customHeight="1" outlineLevel="1" x14ac:dyDescent="0.25">
      <c r="A35" s="1058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39.683335330812966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8"/>
      <c r="O36" s="806">
        <f>O39+O41+O42+O43+O44+O45</f>
        <v>40</v>
      </c>
      <c r="P36" s="1058"/>
      <c r="Q36" s="853">
        <f>Q39+Q41+Q42+Q43+Q44+Q45</f>
        <v>1587.3334132325185</v>
      </c>
      <c r="R36" s="1058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693.8817895079967</v>
      </c>
      <c r="V36" s="1058" t="s">
        <v>449</v>
      </c>
      <c r="W36" s="1283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8"/>
      <c r="O37" s="859" t="s">
        <v>455</v>
      </c>
      <c r="P37" s="1058"/>
      <c r="Q37" s="860">
        <v>0.75</v>
      </c>
      <c r="R37" s="1058"/>
      <c r="S37" s="1284"/>
      <c r="T37" s="1286"/>
      <c r="U37" s="1284"/>
      <c r="V37" s="1058"/>
      <c r="W37" s="1287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79.803093831014294</v>
      </c>
      <c r="K39" s="876">
        <f>$M$32*H39*$B$38*$C$38</f>
        <v>6.6502578192511912</v>
      </c>
      <c r="L39" s="875">
        <f>J39*$D$38</f>
        <v>99.753867288767864</v>
      </c>
      <c r="M39" s="876">
        <f>K39*$D$38</f>
        <v>8.3128222740639899</v>
      </c>
      <c r="N39" s="1058"/>
      <c r="O39" s="877">
        <v>2</v>
      </c>
      <c r="P39" s="1058"/>
      <c r="Q39" s="878">
        <f>O39*$Q$37*M39+O39*(1-$Q$37)*K39</f>
        <v>15.79436232072158</v>
      </c>
      <c r="R39" s="1058"/>
      <c r="S39" s="879">
        <f>IF(AND(Q39&lt;&gt;0,O39&lt;&gt;0),Q39*(1-D17-D18-D19)/O39/30/(($D$25*1000000/$D$8))*1000,0)</f>
        <v>1.1174257151430409</v>
      </c>
      <c r="T39" s="1058" t="s">
        <v>459</v>
      </c>
      <c r="U39" s="880">
        <f>S39*O39*30*$D$11*(1+$D$24)/1000</f>
        <v>6.9042964130148938</v>
      </c>
      <c r="V39" s="1058" t="s">
        <v>460</v>
      </c>
      <c r="W39" s="880">
        <f>IF(O39&lt;&gt;0,U39/O39,0)</f>
        <v>3.4521482065074469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231.42897210994144</v>
      </c>
      <c r="K41" s="876">
        <f>$M$32*(H39+(G41-F41)*H41)*$B$38*$C$38</f>
        <v>19.285747675828453</v>
      </c>
      <c r="L41" s="875">
        <f t="shared" ref="L41:M45" si="0">J41*$D$38</f>
        <v>289.28621513742678</v>
      </c>
      <c r="M41" s="876">
        <f t="shared" si="0"/>
        <v>24.107184594785565</v>
      </c>
      <c r="N41" s="1058"/>
      <c r="O41" s="877">
        <v>2</v>
      </c>
      <c r="P41" s="1058"/>
      <c r="Q41" s="878">
        <f>O41*$Q$37*M41+O41*(1-$Q$37)*K41</f>
        <v>45.803650730092571</v>
      </c>
      <c r="R41" s="1058"/>
      <c r="S41" s="879">
        <f>IF(AND(Q41&lt;&gt;0,O41&lt;&gt;0),Q41*(1-D17-D18-D19)/O41/30/(($D$25*1000000/$D$8))*1000,0)</f>
        <v>3.2405345739148177</v>
      </c>
      <c r="T41" s="1058" t="s">
        <v>459</v>
      </c>
      <c r="U41" s="880">
        <f>S41*O41*30*$D$11*(1+$D$24)/1000</f>
        <v>20.02245959774319</v>
      </c>
      <c r="V41" s="1058" t="s">
        <v>460</v>
      </c>
      <c r="W41" s="880">
        <f>IF(O41&lt;&gt;0,U41/O41,0)</f>
        <v>10.011229798871595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391.03515977197009</v>
      </c>
      <c r="K42" s="876">
        <f>$M$32*(H39+(G41-F41)*H41+(G42-F42)*H42)*$B$38*$C$38</f>
        <v>32.586263314330836</v>
      </c>
      <c r="L42" s="875">
        <f t="shared" si="0"/>
        <v>488.79394971496259</v>
      </c>
      <c r="M42" s="876">
        <f t="shared" si="0"/>
        <v>40.732829142913545</v>
      </c>
      <c r="N42" s="1058"/>
      <c r="O42" s="877">
        <v>28</v>
      </c>
      <c r="P42" s="1058"/>
      <c r="Q42" s="878">
        <f>O42*$Q$37*M42+O42*(1-$Q$37)*K42</f>
        <v>1083.4932552015002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558.62165681710007</v>
      </c>
      <c r="K43" s="876">
        <f>$M$32*(H39+(G41-F41)*H41+(G42-F42)*H42+(G43-F43)*H43)*$B$38*$C$38</f>
        <v>46.551804734758335</v>
      </c>
      <c r="L43" s="875">
        <f t="shared" si="0"/>
        <v>698.27707102137515</v>
      </c>
      <c r="M43" s="876">
        <f t="shared" si="0"/>
        <v>58.189755918447915</v>
      </c>
      <c r="N43" s="1058"/>
      <c r="O43" s="877">
        <v>8</v>
      </c>
      <c r="P43" s="1058"/>
      <c r="Q43" s="878">
        <f>O43*$Q$37*M43+O43*(1-$Q$37)*K43</f>
        <v>442.2421449802041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821.97186645944726</v>
      </c>
      <c r="K44" s="876">
        <f>$M$32*(H39+(G41-F41)*H41+(G42-F42)*H42+(G43-F43)*H43+(G44-F44)*H44)*$B$38*$C$38</f>
        <v>68.497655538287276</v>
      </c>
      <c r="L44" s="875">
        <f t="shared" si="0"/>
        <v>1027.4648330743091</v>
      </c>
      <c r="M44" s="876">
        <f t="shared" si="0"/>
        <v>85.622069422859099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1739.7074455161116</v>
      </c>
      <c r="K45" s="876">
        <f>$M$32*(H39+(G41-F41)*H41+(G42-F42)*H42+(G43-F43)*H43+(G44-F44)*H44+(G45-F45)*H45)*$B$38*$C$38</f>
        <v>144.97562045967598</v>
      </c>
      <c r="L45" s="875">
        <f t="shared" si="0"/>
        <v>2174.6343068951396</v>
      </c>
      <c r="M45" s="876">
        <f t="shared" si="0"/>
        <v>181.21952557459497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31.713175431341984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8"/>
      <c r="O49" s="806">
        <f>O52+O54+O55+O56+O57+O58</f>
        <v>127341</v>
      </c>
      <c r="P49" s="1058"/>
      <c r="Q49" s="894">
        <f>Q52+Q54+Q55+Q56+Q57+Q58</f>
        <v>4038387.4726025197</v>
      </c>
      <c r="R49" s="1058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8" t="s">
        <v>449</v>
      </c>
      <c r="W49" s="1309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8"/>
      <c r="O50" s="895" t="s">
        <v>455</v>
      </c>
      <c r="P50" s="1058"/>
      <c r="Q50" s="860">
        <v>0.75</v>
      </c>
      <c r="R50" s="1058"/>
      <c r="S50" s="1284"/>
      <c r="T50" s="1286"/>
      <c r="U50" s="1284"/>
      <c r="V50" s="1058"/>
      <c r="W50" s="1310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111.92383909799756</v>
      </c>
      <c r="K52" s="876">
        <f>$M$32*H52*$B$51*$C$51</f>
        <v>9.3269865914997947</v>
      </c>
      <c r="L52" s="875">
        <f>J52*$D$51</f>
        <v>139.90479887249694</v>
      </c>
      <c r="M52" s="876">
        <f>K52*$D$51</f>
        <v>11.658733239374744</v>
      </c>
      <c r="N52" s="1058"/>
      <c r="O52" s="877">
        <v>62341</v>
      </c>
      <c r="P52" s="1058"/>
      <c r="Q52" s="878">
        <f>O52*$Q$50*M52+O52*(1-$Q$50)*K52</f>
        <v>690476.23443206784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356.12130622090126</v>
      </c>
      <c r="K54" s="876">
        <f>$M$32*(H52+(G54-F54)*H54)*$B$51*$C$51</f>
        <v>29.676775518408437</v>
      </c>
      <c r="L54" s="875">
        <f t="shared" ref="L54:M58" si="1">J54*$D$51</f>
        <v>445.15163277612658</v>
      </c>
      <c r="M54" s="876">
        <f t="shared" si="1"/>
        <v>37.095969398010546</v>
      </c>
      <c r="N54" s="1058"/>
      <c r="O54" s="877">
        <v>42500</v>
      </c>
      <c r="P54" s="1058"/>
      <c r="Q54" s="878">
        <f>O54*$Q$50*M54+O54*(1-$Q$50)*K54</f>
        <v>1497749.7644446758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610.49366780725938</v>
      </c>
      <c r="K55" s="876">
        <f>$M$32*(H52+(G54-F54)*H54+(G55-F55)*H55)*$B$51*$C$51</f>
        <v>50.874472317271611</v>
      </c>
      <c r="L55" s="875">
        <f t="shared" si="1"/>
        <v>763.11708475907426</v>
      </c>
      <c r="M55" s="876">
        <f t="shared" si="1"/>
        <v>63.593090396589517</v>
      </c>
      <c r="N55" s="1058"/>
      <c r="O55" s="877">
        <v>10000</v>
      </c>
      <c r="P55" s="1058"/>
      <c r="Q55" s="878">
        <f>O55*$Q$50*M55+O55*(1-$Q$50)*K55</f>
        <v>604134.35876760038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1007.3145518819779</v>
      </c>
      <c r="K56" s="876">
        <f>$M$32*(H52+(G54-F54)*H54+(G55-F55)*H55+(G56-F56)*H56)*$B$51*$C$51</f>
        <v>83.942879323498161</v>
      </c>
      <c r="L56" s="875">
        <f t="shared" si="1"/>
        <v>1259.1431898524725</v>
      </c>
      <c r="M56" s="876">
        <f t="shared" si="1"/>
        <v>104.92859915437271</v>
      </c>
      <c r="N56" s="1058"/>
      <c r="O56" s="877">
        <v>12500</v>
      </c>
      <c r="P56" s="1058"/>
      <c r="Q56" s="878">
        <f>O56*$Q$50*M56+O56*(1-$Q$50)*K56</f>
        <v>1246027.1149581759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2075.6784705446817</v>
      </c>
      <c r="K57" s="876">
        <f>$M$32*(H52+(G54-F54)*H54+(G55-F55)*H55+(G56-F56)*H56+(G57-F57)*H57)*$B$51*$C$51</f>
        <v>172.97320587872349</v>
      </c>
      <c r="L57" s="875">
        <f t="shared" si="1"/>
        <v>2594.5980881808518</v>
      </c>
      <c r="M57" s="876">
        <f t="shared" si="1"/>
        <v>216.21650734840438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4365.029724821904</v>
      </c>
      <c r="K58" s="876">
        <f>$M$32*(H52+(G54-F54)*H54+(G55-F55)*H55+(G56-F56)*H56+(G57-F57)*H57+(G58-F58)*H58)*$B$51*$C$51</f>
        <v>363.752477068492</v>
      </c>
      <c r="L58" s="875">
        <f t="shared" si="1"/>
        <v>5456.2871560273798</v>
      </c>
      <c r="M58" s="876">
        <f t="shared" si="1"/>
        <v>454.690596335615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11.142014098176999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8"/>
      <c r="O62" s="806">
        <f>O65+O67+O68+O69+O70+O71</f>
        <v>42447</v>
      </c>
      <c r="P62" s="1058"/>
      <c r="Q62" s="853">
        <f>Q65+Q67+Q68+Q69+Q70+Q71</f>
        <v>472945.07242531906</v>
      </c>
      <c r="R62" s="1058"/>
      <c r="S62" s="1283">
        <f>IF(AND(Q62&lt;&gt;0,O62&lt;&gt;0),Q62*(1-D17-D18-D19)/(H15)/(($D$25*1000000/$D$8)),0)</f>
        <v>4015.2123273876769</v>
      </c>
      <c r="T62" s="1285" t="s">
        <v>448</v>
      </c>
      <c r="U62" s="1283">
        <f>U65+U67+U68+U69+U70+U71</f>
        <v>413483.35574335721</v>
      </c>
      <c r="V62" s="1058" t="s">
        <v>449</v>
      </c>
      <c r="W62" s="1283">
        <f>W65*O65+W67*O67+W68*O68+W69*O69+W70*O70+W71*O71</f>
        <v>413483.35574335721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8"/>
      <c r="O63" s="895" t="s">
        <v>455</v>
      </c>
      <c r="P63" s="1058"/>
      <c r="Q63" s="860">
        <v>0.75</v>
      </c>
      <c r="R63" s="1058"/>
      <c r="S63" s="1284"/>
      <c r="T63" s="1286"/>
      <c r="U63" s="1284"/>
      <c r="V63" s="1058"/>
      <c r="W63" s="1287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55.961919548998779</v>
      </c>
      <c r="K65" s="876">
        <f>$M$32*H65*$B$64*$C$64</f>
        <v>4.6634932957498973</v>
      </c>
      <c r="L65" s="875">
        <f>J65*$D$51</f>
        <v>69.95239943624847</v>
      </c>
      <c r="M65" s="876">
        <f>K65*$D$51</f>
        <v>5.8293666196873719</v>
      </c>
      <c r="N65" s="1058"/>
      <c r="O65" s="877">
        <v>25947</v>
      </c>
      <c r="P65" s="1058"/>
      <c r="Q65" s="878">
        <f>O65*$Q$63*M65+O65*(1-$Q$63)*K65</f>
        <v>143691.84689697684</v>
      </c>
      <c r="R65" s="1058"/>
      <c r="S65" s="879">
        <f>IF(AND(Q65&lt;&gt;0,O65&lt;&gt;0),Q65*(1-D17-D18-D19)/(H15)/O65/30/(($D$25*1000000/$D$8))*1000,0)</f>
        <v>1.5671895654881147</v>
      </c>
      <c r="T65" s="1058" t="s">
        <v>459</v>
      </c>
      <c r="U65" s="880">
        <f>S65*O65*30*$D$11*(1+$D$24)/1000</f>
        <v>125625.97754373384</v>
      </c>
      <c r="V65" s="1058" t="s">
        <v>460</v>
      </c>
      <c r="W65" s="880">
        <f>IF(O65&lt;&gt;0,U65/O65,0)</f>
        <v>4.8416378596266947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178.06065311045063</v>
      </c>
      <c r="K67" s="876">
        <f>$M$32*(H65+(G67-F67)*H67)*$B$64*$C$64</f>
        <v>14.838387759204219</v>
      </c>
      <c r="L67" s="875">
        <f t="shared" ref="L67:M71" si="3">J67*$D$51</f>
        <v>222.57581638806329</v>
      </c>
      <c r="M67" s="876">
        <f t="shared" si="3"/>
        <v>18.547984699005273</v>
      </c>
      <c r="N67" s="1058"/>
      <c r="O67" s="877">
        <v>15000</v>
      </c>
      <c r="P67" s="1058"/>
      <c r="Q67" s="878">
        <f>O67*$Q$63*M67+O67*(1-$Q$63)*K67</f>
        <v>264308.78196082514</v>
      </c>
      <c r="R67" s="1058"/>
      <c r="S67" s="879">
        <f>IF(AND(Q67&lt;&gt;0,O67&lt;&gt;0),Q67*(1-D17-D18-D19)/O67/30/(H15)/(($D$25*1000000/$D$8))*1000,0)</f>
        <v>4.9865122538258184</v>
      </c>
      <c r="T67" s="1058" t="s">
        <v>459</v>
      </c>
      <c r="U67" s="880">
        <f>S67*O67*30*$D$11*(1+$D$24)/1000</f>
        <v>231078.17057309218</v>
      </c>
      <c r="V67" s="1058" t="s">
        <v>460</v>
      </c>
      <c r="W67" s="880">
        <f>IF(O67&lt;&gt;0,U67/O67,0)</f>
        <v>15.40521137153948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305.24683390362969</v>
      </c>
      <c r="K68" s="876">
        <f>$M$32*(H65+(G67-F67)*H67+(G68-F68)*H68)*$B$64*$C$64</f>
        <v>25.437236158635805</v>
      </c>
      <c r="L68" s="875">
        <f t="shared" si="3"/>
        <v>381.55854237953713</v>
      </c>
      <c r="M68" s="876">
        <f t="shared" si="3"/>
        <v>31.796545198294758</v>
      </c>
      <c r="N68" s="1058"/>
      <c r="O68" s="877">
        <v>500</v>
      </c>
      <c r="P68" s="1058"/>
      <c r="Q68" s="878">
        <f>O68*$Q$63*M68+O68*(1-$Q$63)*K68</f>
        <v>15103.358969190009</v>
      </c>
      <c r="R68" s="1058"/>
      <c r="S68" s="879">
        <f>IF(AND(Q68&lt;&gt;0,O68&lt;&gt;0),Q68*(1-D17-D18-D19)/O68/30/(H15)/(($D$25*1000000/$D$8))*1000,0)</f>
        <v>8.5483067208442609</v>
      </c>
      <c r="T68" s="1058" t="s">
        <v>459</v>
      </c>
      <c r="U68" s="880">
        <f>S68*O68*30*$D$11*(1+$D$24)/1000</f>
        <v>13204.466889890982</v>
      </c>
      <c r="V68" s="1058" t="s">
        <v>460</v>
      </c>
      <c r="W68" s="880">
        <f>IF(O68&lt;&gt;0,U68/O68,0)</f>
        <v>26.408933779781965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503.65727594098894</v>
      </c>
      <c r="K69" s="876">
        <f>$M$32*(H65+(G67-F67)*H67+(G68-F68)*H68+(G69-F69)*H69)*$B$64*$C$64</f>
        <v>41.971439661749081</v>
      </c>
      <c r="L69" s="875">
        <f t="shared" si="3"/>
        <v>629.57159492623623</v>
      </c>
      <c r="M69" s="876">
        <f t="shared" si="3"/>
        <v>52.464299577186353</v>
      </c>
      <c r="N69" s="1058"/>
      <c r="O69" s="877">
        <v>1000</v>
      </c>
      <c r="P69" s="1058"/>
      <c r="Q69" s="878">
        <f>O69*$Q$63*M69+O69*(1-$Q$63)*K69</f>
        <v>49841.084598327034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1037.8392352723408</v>
      </c>
      <c r="K70" s="876">
        <f>$M$32*(H65+(G67-F67)*H67+(G68-F68)*H68+(G69-F69)*H69+(G70-F70)*H70)*$B$64*$C$64</f>
        <v>86.486602939361745</v>
      </c>
      <c r="L70" s="875">
        <f t="shared" si="3"/>
        <v>1297.2990440904259</v>
      </c>
      <c r="M70" s="876">
        <f t="shared" si="3"/>
        <v>108.10825367420219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2182.514862410952</v>
      </c>
      <c r="K71" s="876">
        <f>$M$32*(H65+(G67-F67)*H67+(G68-F68)*H68+(G69-F69)*H69+(G70-F70)*H70+(G71-F71)*H71)*$B$64*$C$64</f>
        <v>181.876238534246</v>
      </c>
      <c r="L71" s="875">
        <f t="shared" si="3"/>
        <v>2728.1435780136899</v>
      </c>
      <c r="M71" s="876">
        <f t="shared" si="3"/>
        <v>227.3452981678075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44.040959978273968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8"/>
      <c r="O75" s="806">
        <f>O78+O80+O81+O82+O83+O84</f>
        <v>1741</v>
      </c>
      <c r="P75" s="1058"/>
      <c r="Q75" s="853">
        <f>Q78+Q80+Q81+Q82+Q83+Q84</f>
        <v>76675.311322174981</v>
      </c>
      <c r="R75" s="1058"/>
      <c r="S75" s="1283">
        <f>IF(AND(Q75&lt;&gt;0,O75&lt;&gt;0),Q75*(1-D17-D18-D19)/(($D$25*1000000/$D$8)),0)</f>
        <v>325.4792926040044</v>
      </c>
      <c r="T75" s="1285" t="s">
        <v>448</v>
      </c>
      <c r="U75" s="1283">
        <f>U78+U80+U81+U82+U83+U84</f>
        <v>33517.597366622096</v>
      </c>
      <c r="V75" s="1058" t="s">
        <v>449</v>
      </c>
      <c r="W75" s="1283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8"/>
      <c r="O76" s="895" t="s">
        <v>455</v>
      </c>
      <c r="P76" s="1058"/>
      <c r="Q76" s="860">
        <v>0.75</v>
      </c>
      <c r="R76" s="1058"/>
      <c r="S76" s="1284"/>
      <c r="T76" s="1286"/>
      <c r="U76" s="1284"/>
      <c r="V76" s="1058"/>
      <c r="W76" s="1287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107.73417667186931</v>
      </c>
      <c r="K78" s="876">
        <f>$M$32*H78*$B$77*$C$77</f>
        <v>8.9778480559891083</v>
      </c>
      <c r="L78" s="875">
        <f>J78*$D$77</f>
        <v>134.66772083983665</v>
      </c>
      <c r="M78" s="876">
        <f>K78*$D$77</f>
        <v>11.222310069986385</v>
      </c>
      <c r="N78" s="1058"/>
      <c r="O78" s="877">
        <v>264</v>
      </c>
      <c r="P78" s="1058"/>
      <c r="Q78" s="878">
        <f>O78*$Q$76*M78+O78*(1-$Q$76)*K78</f>
        <v>2814.5553655525855</v>
      </c>
      <c r="R78" s="1058"/>
      <c r="S78" s="879">
        <f>IF(AND(Q78&lt;&gt;0,O78&lt;&gt;0),Q78*(1-D17-D18-D19)/O78/30/(($D$25*1000000/$D$8))*1000,0)</f>
        <v>1.5085247154431054</v>
      </c>
      <c r="T78" s="1058" t="s">
        <v>459</v>
      </c>
      <c r="U78" s="880">
        <f>S78*O78*30*$D$11*(1+$D$24)/1000</f>
        <v>1230.3456207992544</v>
      </c>
      <c r="V78" s="1058" t="s">
        <v>460</v>
      </c>
      <c r="W78" s="880">
        <f>IF(O78&lt;&gt;0,U78/O78,0)</f>
        <v>4.660400078785055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395.02531446352077</v>
      </c>
      <c r="K80" s="876">
        <f>$M$32*(H78+(G80-F80)*H80)*$B$77*$C$77</f>
        <v>32.918776205293398</v>
      </c>
      <c r="L80" s="875">
        <f t="shared" ref="L80:M84" si="4">J80*$D$77</f>
        <v>493.78164307940096</v>
      </c>
      <c r="M80" s="876">
        <f t="shared" si="4"/>
        <v>41.148470256616747</v>
      </c>
      <c r="N80" s="1058"/>
      <c r="O80" s="877">
        <v>994</v>
      </c>
      <c r="P80" s="1058"/>
      <c r="Q80" s="878">
        <f>O80*$Q$76*M80+O80*(1-$Q$76)*K80</f>
        <v>38856.500463323195</v>
      </c>
      <c r="R80" s="1058"/>
      <c r="S80" s="879">
        <f>IF(AND(Q80&lt;&gt;0,O80&lt;&gt;0),Q80*(1-D17-D18-D19)/O80/30/(($D$25*1000000/$D$8))*1000,0)</f>
        <v>5.5312572899580523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598.52320373260716</v>
      </c>
      <c r="K81" s="876">
        <f>$M$32*(H78+(G80-F80)*H80+(G81-F81)*H81)*$B$77*$C$77</f>
        <v>49.876933644383939</v>
      </c>
      <c r="L81" s="875">
        <f t="shared" si="4"/>
        <v>748.15400466575898</v>
      </c>
      <c r="M81" s="876">
        <f t="shared" si="4"/>
        <v>62.346167055479924</v>
      </c>
      <c r="N81" s="1058"/>
      <c r="O81" s="877">
        <v>183</v>
      </c>
      <c r="P81" s="1058"/>
      <c r="Q81" s="878">
        <f>O81*$Q$76*M81+O81*(1-$Q$76)*K81</f>
        <v>10838.881142595184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813.99155707634577</v>
      </c>
      <c r="K82" s="876">
        <f>$M$32*(H78+(G80-F80)*H80+(G81-F81)*H81+(G82-F82)*H82)*$B$77*$C$77</f>
        <v>67.832629756362152</v>
      </c>
      <c r="L82" s="875">
        <f t="shared" si="4"/>
        <v>1017.4894463454323</v>
      </c>
      <c r="M82" s="876">
        <f t="shared" si="4"/>
        <v>84.790787195452694</v>
      </c>
      <c r="N82" s="1058"/>
      <c r="O82" s="877">
        <v>300</v>
      </c>
      <c r="P82" s="1058"/>
      <c r="Q82" s="878">
        <f>O82*$Q$76*M82+O82*(1-$Q$76)*K82</f>
        <v>24165.374350704016</v>
      </c>
      <c r="R82" s="1058"/>
      <c r="S82" s="879">
        <f>IF(AND(Q82&lt;&gt;0,O82&lt;&gt;0),Q82*(1-D17-D18-D19)/O82/30/(($D$25*1000000/$D$8))*1000,0)</f>
        <v>11.397742294459015</v>
      </c>
      <c r="T82" s="1058" t="s">
        <v>459</v>
      </c>
      <c r="U82" s="880">
        <f>S82*O82*30*$D$11*(1+$D$24)/1000</f>
        <v>10563.573511912786</v>
      </c>
      <c r="V82" s="1058" t="s">
        <v>460</v>
      </c>
      <c r="W82" s="880">
        <f>IF(O82&lt;&gt;0,U82/O82,0)</f>
        <v>35.21191170637595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1155.149783203932</v>
      </c>
      <c r="K83" s="876">
        <f>$M$32*(H78+(G80-F80)*H80+(G81-F81)*H81+(G82-F82)*H82+(G83-F83)*H83)*$B$77*$C$77</f>
        <v>96.262481933661007</v>
      </c>
      <c r="L83" s="875">
        <f t="shared" si="4"/>
        <v>1443.937229004915</v>
      </c>
      <c r="M83" s="876">
        <f t="shared" si="4"/>
        <v>120.32810241707625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2232.4915499226245</v>
      </c>
      <c r="K84" s="876">
        <f>$M$32*(H78+(G80-F80)*H80+(G81-F81)*H81+(G82-F82)*H82+(G83-F83)*H83+(G84-F84)*H84)*$B$77*$C$77</f>
        <v>186.04096249355206</v>
      </c>
      <c r="L84" s="875">
        <f t="shared" si="4"/>
        <v>2790.6144374032806</v>
      </c>
      <c r="M84" s="876">
        <f t="shared" si="4"/>
        <v>232.55120311694009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95.65460680487007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8"/>
      <c r="O88" s="881">
        <f>O91+O93+O94+O95+O96</f>
        <v>20</v>
      </c>
      <c r="P88" s="1058"/>
      <c r="Q88" s="853">
        <f>Q91+Q93+Q94+Q95+Q96</f>
        <v>1913.0921360974014</v>
      </c>
      <c r="R88" s="1058"/>
      <c r="S88" s="1283">
        <f>IF(AND(Q88&lt;&gt;0,O88&lt;&gt;0),Q88*(1-D17-D18-D19)/(($D$25*1000000/$D$8)),0)</f>
        <v>8.1208913848020501</v>
      </c>
      <c r="T88" s="1285" t="s">
        <v>448</v>
      </c>
      <c r="U88" s="1283">
        <f>U91+U93+U94+U95+U96+Z97</f>
        <v>836.28290302642904</v>
      </c>
      <c r="V88" s="1058" t="s">
        <v>449</v>
      </c>
      <c r="W88" s="1283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8"/>
      <c r="O89" s="895" t="s">
        <v>455</v>
      </c>
      <c r="P89" s="1058"/>
      <c r="Q89" s="860">
        <v>0.75</v>
      </c>
      <c r="R89" s="1058"/>
      <c r="S89" s="1284"/>
      <c r="T89" s="1286"/>
      <c r="U89" s="1284"/>
      <c r="V89" s="1058"/>
      <c r="W89" s="1287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83.793248522565008</v>
      </c>
      <c r="K91" s="876">
        <f>$M$32*H91*$B$90*$C$90</f>
        <v>6.9827707102137495</v>
      </c>
      <c r="L91" s="875">
        <f>J91*$D$90</f>
        <v>104.74156065320626</v>
      </c>
      <c r="M91" s="876">
        <f>K91*$D$90</f>
        <v>8.7284633877671869</v>
      </c>
      <c r="N91" s="1058"/>
      <c r="O91" s="877">
        <v>1</v>
      </c>
      <c r="P91" s="1058"/>
      <c r="Q91" s="878">
        <f>O91*$Q$76*M91+O91*(1-$Q$76)*K91</f>
        <v>8.292040218378828</v>
      </c>
      <c r="R91" s="1058"/>
      <c r="S91" s="879">
        <f>IF(AND(Q91&lt;&gt;0,O91&lt;&gt;0),Q91*(1-D17-D18-D19)/O91/30/(($D$25*1000000/$D$8))*1000,0)</f>
        <v>1.1732970009001926</v>
      </c>
      <c r="T91" s="1058" t="s">
        <v>459</v>
      </c>
      <c r="U91" s="880">
        <f>S91*O91*30*$D$11*(1+$D$24)/1000</f>
        <v>3.6247556168328185</v>
      </c>
      <c r="V91" s="1058" t="s">
        <v>460</v>
      </c>
      <c r="W91" s="880">
        <f>IF(O91&lt;&gt;0,U91/O91,0)</f>
        <v>3.6247556168328185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263.35020964234718</v>
      </c>
      <c r="K93" s="876">
        <f>$M$32*(H91+(G93-F93)*H93)*$B$90*$C$90</f>
        <v>21.945850803528931</v>
      </c>
      <c r="L93" s="875">
        <f t="shared" ref="L93:M96" si="5">J93*$D$90</f>
        <v>329.18776205293398</v>
      </c>
      <c r="M93" s="876">
        <f t="shared" si="5"/>
        <v>27.432313504411162</v>
      </c>
      <c r="N93" s="1058"/>
      <c r="O93" s="877">
        <v>2</v>
      </c>
      <c r="P93" s="1058"/>
      <c r="Q93" s="878">
        <f>O93*$Q$76*M93+O93*(1-$Q$76)*K93</f>
        <v>52.121395658381211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1101.2826948679972</v>
      </c>
      <c r="K94" s="876">
        <f>$M$32*(H91+(G93-F93)*H93+(G94-F94)*H94)*$B$90*$C$90</f>
        <v>91.773557905666436</v>
      </c>
      <c r="L94" s="875">
        <f t="shared" si="5"/>
        <v>1376.6033685849966</v>
      </c>
      <c r="M94" s="876">
        <f t="shared" si="5"/>
        <v>114.71694738208305</v>
      </c>
      <c r="N94" s="1058"/>
      <c r="O94" s="877">
        <v>17</v>
      </c>
      <c r="P94" s="1058"/>
      <c r="Q94" s="878">
        <f>O94*$Q$76*M94+O94*(1-$Q$76)*K94</f>
        <v>1852.6787002206413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6368.2868877149413</v>
      </c>
      <c r="K95" s="876">
        <f>$M$32*(H91+(G93-F93)*H93+(G94-F94)*H94+(G95-F95)*H95)*$B$90*$C$90</f>
        <v>530.6905739762451</v>
      </c>
      <c r="L95" s="875">
        <f t="shared" si="5"/>
        <v>7960.3586096436766</v>
      </c>
      <c r="M95" s="876">
        <f t="shared" si="5"/>
        <v>663.36321747030638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13550.565332506229</v>
      </c>
      <c r="K96" s="876">
        <f>$M$32*(H91+(G93-F93)*H93+(G94-F94)*H94+(G95-F95)*H95+(G96-F96)*H96)*$B$90*$C$90</f>
        <v>1129.2137777088524</v>
      </c>
      <c r="L96" s="875">
        <f t="shared" si="5"/>
        <v>16938.206665632784</v>
      </c>
      <c r="M96" s="876">
        <f t="shared" si="5"/>
        <v>1411.5172221360654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474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50.38887066108223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'3)Biosecagem Prod BioCDR'!M22-'3)Biosecagem Prod BioCDR'!M8-'3)Biosecagem Prod BioCDR'!M9</f>
        <v>198.29818555905598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5.9292925928744267E-3</v>
      </c>
      <c r="R8" s="794"/>
      <c r="S8" s="800">
        <f>(S12-S10)/S10</f>
        <v>1.5233061901367322E-2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54.773332269479639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1.9256139530064311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55.098099382792114</v>
      </c>
      <c r="R12" s="794"/>
      <c r="S12" s="806">
        <f>S33</f>
        <v>257977.38543486258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54.773332269479639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2.0931664370924032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319.21237532405718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54.773332269479639</v>
      </c>
      <c r="E25" s="1059"/>
      <c r="F25" s="839" t="s">
        <v>424</v>
      </c>
      <c r="G25" s="816" t="s">
        <v>425</v>
      </c>
      <c r="H25" s="842">
        <f>H24/12</f>
        <v>26.601031277004765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2.0931664370924032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319.21237532405718</v>
      </c>
      <c r="M32" s="845">
        <f>H25</f>
        <v>26.601031277004765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55.098099382792114</v>
      </c>
      <c r="R33" s="1059"/>
      <c r="S33" s="806">
        <f>12*S34</f>
        <v>257977.38543486258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21498.115452905215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39.683335330812966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1587.3334132325185</v>
      </c>
      <c r="R36" s="1059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693.8817895079967</v>
      </c>
      <c r="V36" s="1059" t="s">
        <v>449</v>
      </c>
      <c r="W36" s="128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79.803093831014294</v>
      </c>
      <c r="K39" s="876">
        <f>$M$32*H39*$B$38*$C$38</f>
        <v>6.6502578192511912</v>
      </c>
      <c r="L39" s="875">
        <f>J39*$D$38</f>
        <v>99.753867288767864</v>
      </c>
      <c r="M39" s="876">
        <f>K39*$D$38</f>
        <v>8.3128222740639899</v>
      </c>
      <c r="N39" s="1059"/>
      <c r="O39" s="877">
        <v>2</v>
      </c>
      <c r="P39" s="1059"/>
      <c r="Q39" s="878">
        <f>O39*$Q$37*M39+O39*(1-$Q$37)*K39</f>
        <v>15.79436232072158</v>
      </c>
      <c r="R39" s="1059"/>
      <c r="S39" s="879">
        <f>IF(AND(Q39&lt;&gt;0,O39&lt;&gt;0),Q39*(1-D17-D18-D19)/O39/30/(($D$25*1000000/$D$8))*1000,0)</f>
        <v>1.1174257151430409</v>
      </c>
      <c r="T39" s="1059" t="s">
        <v>459</v>
      </c>
      <c r="U39" s="880">
        <f>S39*O39*30*$D$11*(1+$D$24)/1000</f>
        <v>6.9042964130148938</v>
      </c>
      <c r="V39" s="1059" t="s">
        <v>460</v>
      </c>
      <c r="W39" s="880">
        <f>IF(O39&lt;&gt;0,U39/O39,0)</f>
        <v>3.4521482065074469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231.42897210994144</v>
      </c>
      <c r="K41" s="876">
        <f>$M$32*(H39+(G41-F41)*H41)*$B$38*$C$38</f>
        <v>19.285747675828453</v>
      </c>
      <c r="L41" s="875">
        <f t="shared" ref="L41:M45" si="0">J41*$D$38</f>
        <v>289.28621513742678</v>
      </c>
      <c r="M41" s="876">
        <f t="shared" si="0"/>
        <v>24.107184594785565</v>
      </c>
      <c r="N41" s="1059"/>
      <c r="O41" s="877">
        <v>2</v>
      </c>
      <c r="P41" s="1059"/>
      <c r="Q41" s="878">
        <f>O41*$Q$37*M41+O41*(1-$Q$37)*K41</f>
        <v>45.803650730092571</v>
      </c>
      <c r="R41" s="1059"/>
      <c r="S41" s="879">
        <f>IF(AND(Q41&lt;&gt;0,O41&lt;&gt;0),Q41*(1-D17-D18-D19)/O41/30/(($D$25*1000000/$D$8))*1000,0)</f>
        <v>3.2405345739148177</v>
      </c>
      <c r="T41" s="1059" t="s">
        <v>459</v>
      </c>
      <c r="U41" s="880">
        <f>S41*O41*30*$D$11*(1+$D$24)/1000</f>
        <v>20.02245959774319</v>
      </c>
      <c r="V41" s="1059" t="s">
        <v>460</v>
      </c>
      <c r="W41" s="880">
        <f>IF(O41&lt;&gt;0,U41/O41,0)</f>
        <v>10.011229798871595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391.03515977197009</v>
      </c>
      <c r="K42" s="876">
        <f>$M$32*(H39+(G41-F41)*H41+(G42-F42)*H42)*$B$38*$C$38</f>
        <v>32.586263314330836</v>
      </c>
      <c r="L42" s="875">
        <f t="shared" si="0"/>
        <v>488.79394971496259</v>
      </c>
      <c r="M42" s="876">
        <f t="shared" si="0"/>
        <v>40.732829142913545</v>
      </c>
      <c r="N42" s="1059"/>
      <c r="O42" s="877">
        <v>28</v>
      </c>
      <c r="P42" s="1059"/>
      <c r="Q42" s="878">
        <f>O42*$Q$37*M42+O42*(1-$Q$37)*K42</f>
        <v>1083.4932552015002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558.62165681710007</v>
      </c>
      <c r="K43" s="876">
        <f>$M$32*(H39+(G41-F41)*H41+(G42-F42)*H42+(G43-F43)*H43)*$B$38*$C$38</f>
        <v>46.551804734758335</v>
      </c>
      <c r="L43" s="875">
        <f t="shared" si="0"/>
        <v>698.27707102137515</v>
      </c>
      <c r="M43" s="876">
        <f t="shared" si="0"/>
        <v>58.189755918447915</v>
      </c>
      <c r="N43" s="1059"/>
      <c r="O43" s="877">
        <v>8</v>
      </c>
      <c r="P43" s="1059"/>
      <c r="Q43" s="878">
        <f>O43*$Q$37*M43+O43*(1-$Q$37)*K43</f>
        <v>442.2421449802041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821.97186645944726</v>
      </c>
      <c r="K44" s="876">
        <f>$M$32*(H39+(G41-F41)*H41+(G42-F42)*H42+(G43-F43)*H43+(G44-F44)*H44)*$B$38*$C$38</f>
        <v>68.497655538287276</v>
      </c>
      <c r="L44" s="875">
        <f t="shared" si="0"/>
        <v>1027.4648330743091</v>
      </c>
      <c r="M44" s="876">
        <f t="shared" si="0"/>
        <v>85.622069422859099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1739.7074455161116</v>
      </c>
      <c r="K45" s="876">
        <f>$M$32*(H39+(G41-F41)*H41+(G42-F42)*H42+(G43-F43)*H43+(G44-F44)*H44+(G45-F45)*H45)*$B$38*$C$38</f>
        <v>144.97562045967598</v>
      </c>
      <c r="L45" s="875">
        <f t="shared" si="0"/>
        <v>2174.6343068951396</v>
      </c>
      <c r="M45" s="876">
        <f t="shared" si="0"/>
        <v>181.21952557459497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31.713175431341984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4038387.4726025197</v>
      </c>
      <c r="R49" s="1059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9" t="s">
        <v>449</v>
      </c>
      <c r="W49" s="1309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111.92383909799756</v>
      </c>
      <c r="K52" s="876">
        <f>$M$32*H52*$B$51*$C$51</f>
        <v>9.3269865914997947</v>
      </c>
      <c r="L52" s="875">
        <f>J52*$D$51</f>
        <v>139.90479887249694</v>
      </c>
      <c r="M52" s="876">
        <f>K52*$D$51</f>
        <v>11.658733239374744</v>
      </c>
      <c r="N52" s="1059"/>
      <c r="O52" s="877">
        <v>62341</v>
      </c>
      <c r="P52" s="1059"/>
      <c r="Q52" s="878">
        <f>O52*$Q$50*M52+O52*(1-$Q$50)*K52</f>
        <v>690476.23443206784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356.12130622090126</v>
      </c>
      <c r="K54" s="876">
        <f>$M$32*(H52+(G54-F54)*H54)*$B$51*$C$51</f>
        <v>29.676775518408437</v>
      </c>
      <c r="L54" s="875">
        <f t="shared" ref="L54:M58" si="1">J54*$D$51</f>
        <v>445.15163277612658</v>
      </c>
      <c r="M54" s="876">
        <f t="shared" si="1"/>
        <v>37.095969398010546</v>
      </c>
      <c r="N54" s="1059"/>
      <c r="O54" s="877">
        <v>42500</v>
      </c>
      <c r="P54" s="1059"/>
      <c r="Q54" s="878">
        <f>O54*$Q$50*M54+O54*(1-$Q$50)*K54</f>
        <v>1497749.7644446758</v>
      </c>
      <c r="R54" s="1059"/>
      <c r="S54" s="879">
        <f>IF(AND(Q54&lt;&gt;0,O54&lt;&gt;0),Q54*(1-D17-D18-D19)/O54/30/(($D$25*1000000/$D$8))*1000,0)</f>
        <v>4.9865122538258193</v>
      </c>
      <c r="T54" s="1059" t="s">
        <v>459</v>
      </c>
      <c r="U54" s="880">
        <f>S54*O54*30*$D$11*(1+$D$24)/1000</f>
        <v>654721.48329042795</v>
      </c>
      <c r="V54" s="1059" t="s">
        <v>460</v>
      </c>
      <c r="W54" s="898">
        <f>IF(O54&lt;&gt;0,U54/O54,0)</f>
        <v>15.405211371539481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610.49366780725938</v>
      </c>
      <c r="K55" s="876">
        <f>$M$32*(H52+(G54-F54)*H54+(G55-F55)*H55)*$B$51*$C$51</f>
        <v>50.874472317271611</v>
      </c>
      <c r="L55" s="875">
        <f t="shared" si="1"/>
        <v>763.11708475907426</v>
      </c>
      <c r="M55" s="876">
        <f t="shared" si="1"/>
        <v>63.593090396589517</v>
      </c>
      <c r="N55" s="1059"/>
      <c r="O55" s="877">
        <v>10000</v>
      </c>
      <c r="P55" s="1059"/>
      <c r="Q55" s="878">
        <f>O55*$Q$50*M55+O55*(1-$Q$50)*K55</f>
        <v>604134.35876760038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1007.3145518819779</v>
      </c>
      <c r="K56" s="876">
        <f>$M$32*(H52+(G54-F54)*H54+(G55-F55)*H55+(G56-F56)*H56)*$B$51*$C$51</f>
        <v>83.942879323498161</v>
      </c>
      <c r="L56" s="875">
        <f t="shared" si="1"/>
        <v>1259.1431898524725</v>
      </c>
      <c r="M56" s="876">
        <f t="shared" si="1"/>
        <v>104.92859915437271</v>
      </c>
      <c r="N56" s="1059"/>
      <c r="O56" s="877">
        <v>12500</v>
      </c>
      <c r="P56" s="1059"/>
      <c r="Q56" s="878">
        <f>O56*$Q$50*M56+O56*(1-$Q$50)*K56</f>
        <v>1246027.1149581759</v>
      </c>
      <c r="R56" s="1059"/>
      <c r="S56" s="879">
        <f>IF(AND(Q56&lt;&gt;0,O56&lt;&gt;0),Q56*(1-D17-D18-D19)/O56/30/(($D$25*1000000/$D$8))*1000,0)</f>
        <v>14.104706089393034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2075.6784705446817</v>
      </c>
      <c r="K57" s="876">
        <f>$M$32*(H52+(G54-F54)*H54+(G55-F55)*H55+(G56-F56)*H56+(G57-F57)*H57)*$B$51*$C$51</f>
        <v>172.97320587872349</v>
      </c>
      <c r="L57" s="875">
        <f t="shared" si="1"/>
        <v>2594.5980881808518</v>
      </c>
      <c r="M57" s="876">
        <f t="shared" si="1"/>
        <v>216.21650734840438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4365.029724821904</v>
      </c>
      <c r="K58" s="876">
        <f>$M$32*(H52+(G54-F54)*H54+(G55-F55)*H55+(G56-F56)*H56+(G57-F57)*H57+(G58-F58)*H58)*$B$51*$C$51</f>
        <v>363.752477068492</v>
      </c>
      <c r="L58" s="875">
        <f t="shared" si="1"/>
        <v>5456.2871560273798</v>
      </c>
      <c r="M58" s="876">
        <f t="shared" si="1"/>
        <v>454.690596335615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11.142014098176999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472945.07242531906</v>
      </c>
      <c r="R62" s="1059"/>
      <c r="S62" s="1283">
        <f>IF(AND(Q62&lt;&gt;0,O62&lt;&gt;0),Q62*(1-D17-D18-D19)/(H15)/(($D$25*1000000/$D$8)),0)</f>
        <v>4015.2123273876769</v>
      </c>
      <c r="T62" s="1285" t="s">
        <v>448</v>
      </c>
      <c r="U62" s="1283">
        <f>U65+U67+U68+U69+U70+U71</f>
        <v>413483.35574335721</v>
      </c>
      <c r="V62" s="1059" t="s">
        <v>449</v>
      </c>
      <c r="W62" s="1283">
        <f>W65*O65+W67*O67+W68*O68+W69*O69+W70*O70+W71*O71</f>
        <v>413483.35574335721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55.961919548998779</v>
      </c>
      <c r="K65" s="876">
        <f>$M$32*H65*$B$64*$C$64</f>
        <v>4.6634932957498973</v>
      </c>
      <c r="L65" s="875">
        <f>J65*$D$51</f>
        <v>69.95239943624847</v>
      </c>
      <c r="M65" s="876">
        <f>K65*$D$51</f>
        <v>5.8293666196873719</v>
      </c>
      <c r="N65" s="1059"/>
      <c r="O65" s="877">
        <v>25947</v>
      </c>
      <c r="P65" s="1059"/>
      <c r="Q65" s="878">
        <f>O65*$Q$63*M65+O65*(1-$Q$63)*K65</f>
        <v>143691.84689697684</v>
      </c>
      <c r="R65" s="1059"/>
      <c r="S65" s="879">
        <f>IF(AND(Q65&lt;&gt;0,O65&lt;&gt;0),Q65*(1-D17-D18-D19)/(H15)/O65/30/(($D$25*1000000/$D$8))*1000,0)</f>
        <v>1.5671895654881147</v>
      </c>
      <c r="T65" s="1059" t="s">
        <v>459</v>
      </c>
      <c r="U65" s="880">
        <f>S65*O65*30*$D$11*(1+$D$24)/1000</f>
        <v>125625.97754373384</v>
      </c>
      <c r="V65" s="1059" t="s">
        <v>460</v>
      </c>
      <c r="W65" s="880">
        <f>IF(O65&lt;&gt;0,U65/O65,0)</f>
        <v>4.8416378596266947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178.06065311045063</v>
      </c>
      <c r="K67" s="876">
        <f>$M$32*(H65+(G67-F67)*H67)*$B$64*$C$64</f>
        <v>14.838387759204219</v>
      </c>
      <c r="L67" s="875">
        <f t="shared" ref="L67:M71" si="3">J67*$D$51</f>
        <v>222.57581638806329</v>
      </c>
      <c r="M67" s="876">
        <f t="shared" si="3"/>
        <v>18.547984699005273</v>
      </c>
      <c r="N67" s="1059"/>
      <c r="O67" s="877">
        <v>15000</v>
      </c>
      <c r="P67" s="1059"/>
      <c r="Q67" s="878">
        <f>O67*$Q$63*M67+O67*(1-$Q$63)*K67</f>
        <v>264308.78196082514</v>
      </c>
      <c r="R67" s="1059"/>
      <c r="S67" s="879">
        <f>IF(AND(Q67&lt;&gt;0,O67&lt;&gt;0),Q67*(1-D17-D18-D19)/O67/30/(H15)/(($D$25*1000000/$D$8))*1000,0)</f>
        <v>4.9865122538258184</v>
      </c>
      <c r="T67" s="1059" t="s">
        <v>459</v>
      </c>
      <c r="U67" s="880">
        <f>S67*O67*30*$D$11*(1+$D$24)/1000</f>
        <v>231078.17057309218</v>
      </c>
      <c r="V67" s="1059" t="s">
        <v>460</v>
      </c>
      <c r="W67" s="880">
        <f>IF(O67&lt;&gt;0,U67/O67,0)</f>
        <v>15.40521137153948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305.24683390362969</v>
      </c>
      <c r="K68" s="876">
        <f>$M$32*(H65+(G67-F67)*H67+(G68-F68)*H68)*$B$64*$C$64</f>
        <v>25.437236158635805</v>
      </c>
      <c r="L68" s="875">
        <f t="shared" si="3"/>
        <v>381.55854237953713</v>
      </c>
      <c r="M68" s="876">
        <f t="shared" si="3"/>
        <v>31.796545198294758</v>
      </c>
      <c r="N68" s="1059"/>
      <c r="O68" s="877">
        <v>500</v>
      </c>
      <c r="P68" s="1059"/>
      <c r="Q68" s="878">
        <f>O68*$Q$63*M68+O68*(1-$Q$63)*K68</f>
        <v>15103.358969190009</v>
      </c>
      <c r="R68" s="1059"/>
      <c r="S68" s="879">
        <f>IF(AND(Q68&lt;&gt;0,O68&lt;&gt;0),Q68*(1-D17-D18-D19)/O68/30/(H15)/(($D$25*1000000/$D$8))*1000,0)</f>
        <v>8.5483067208442609</v>
      </c>
      <c r="T68" s="1059" t="s">
        <v>459</v>
      </c>
      <c r="U68" s="880">
        <f>S68*O68*30*$D$11*(1+$D$24)/1000</f>
        <v>13204.466889890982</v>
      </c>
      <c r="V68" s="1059" t="s">
        <v>460</v>
      </c>
      <c r="W68" s="880">
        <f>IF(O68&lt;&gt;0,U68/O68,0)</f>
        <v>26.408933779781965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503.65727594098894</v>
      </c>
      <c r="K69" s="876">
        <f>$M$32*(H65+(G67-F67)*H67+(G68-F68)*H68+(G69-F69)*H69)*$B$64*$C$64</f>
        <v>41.971439661749081</v>
      </c>
      <c r="L69" s="875">
        <f t="shared" si="3"/>
        <v>629.57159492623623</v>
      </c>
      <c r="M69" s="876">
        <f t="shared" si="3"/>
        <v>52.464299577186353</v>
      </c>
      <c r="N69" s="1059"/>
      <c r="O69" s="877">
        <v>1000</v>
      </c>
      <c r="P69" s="1059"/>
      <c r="Q69" s="878">
        <f>O69*$Q$63*M69+O69*(1-$Q$63)*K69</f>
        <v>49841.084598327034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1037.8392352723408</v>
      </c>
      <c r="K70" s="876">
        <f>$M$32*(H65+(G67-F67)*H67+(G68-F68)*H68+(G69-F69)*H69+(G70-F70)*H70)*$B$64*$C$64</f>
        <v>86.486602939361745</v>
      </c>
      <c r="L70" s="875">
        <f t="shared" si="3"/>
        <v>1297.2990440904259</v>
      </c>
      <c r="M70" s="876">
        <f t="shared" si="3"/>
        <v>108.10825367420219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2182.514862410952</v>
      </c>
      <c r="K71" s="876">
        <f>$M$32*(H65+(G67-F67)*H67+(G68-F68)*H68+(G69-F69)*H69+(G70-F70)*H70+(G71-F71)*H71)*$B$64*$C$64</f>
        <v>181.876238534246</v>
      </c>
      <c r="L71" s="875">
        <f t="shared" si="3"/>
        <v>2728.1435780136899</v>
      </c>
      <c r="M71" s="876">
        <f t="shared" si="3"/>
        <v>227.3452981678075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44.040959978273968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76675.311322174981</v>
      </c>
      <c r="R75" s="1059"/>
      <c r="S75" s="1283">
        <f>IF(AND(Q75&lt;&gt;0,O75&lt;&gt;0),Q75*(1-D17-D18-D19)/(($D$25*1000000/$D$8)),0)</f>
        <v>325.4792926040044</v>
      </c>
      <c r="T75" s="1285" t="s">
        <v>448</v>
      </c>
      <c r="U75" s="1283">
        <f>U78+U80+U81+U82+U83+U84</f>
        <v>33517.597366622096</v>
      </c>
      <c r="V75" s="1059" t="s">
        <v>449</v>
      </c>
      <c r="W75" s="128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107.73417667186931</v>
      </c>
      <c r="K78" s="876">
        <f>$M$32*H78*$B$77*$C$77</f>
        <v>8.9778480559891083</v>
      </c>
      <c r="L78" s="875">
        <f>J78*$D$77</f>
        <v>134.66772083983665</v>
      </c>
      <c r="M78" s="876">
        <f>K78*$D$77</f>
        <v>11.222310069986385</v>
      </c>
      <c r="N78" s="1059"/>
      <c r="O78" s="877">
        <v>264</v>
      </c>
      <c r="P78" s="1059"/>
      <c r="Q78" s="878">
        <f>O78*$Q$76*M78+O78*(1-$Q$76)*K78</f>
        <v>2814.5553655525855</v>
      </c>
      <c r="R78" s="1059"/>
      <c r="S78" s="879">
        <f>IF(AND(Q78&lt;&gt;0,O78&lt;&gt;0),Q78*(1-D17-D18-D19)/O78/30/(($D$25*1000000/$D$8))*1000,0)</f>
        <v>1.5085247154431054</v>
      </c>
      <c r="T78" s="1059" t="s">
        <v>459</v>
      </c>
      <c r="U78" s="880">
        <f>S78*O78*30*$D$11*(1+$D$24)/1000</f>
        <v>1230.3456207992544</v>
      </c>
      <c r="V78" s="1059" t="s">
        <v>460</v>
      </c>
      <c r="W78" s="880">
        <f>IF(O78&lt;&gt;0,U78/O78,0)</f>
        <v>4.660400078785055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395.02531446352077</v>
      </c>
      <c r="K80" s="876">
        <f>$M$32*(H78+(G80-F80)*H80)*$B$77*$C$77</f>
        <v>32.918776205293398</v>
      </c>
      <c r="L80" s="875">
        <f t="shared" ref="L80:M84" si="4">J80*$D$77</f>
        <v>493.78164307940096</v>
      </c>
      <c r="M80" s="876">
        <f t="shared" si="4"/>
        <v>41.148470256616747</v>
      </c>
      <c r="N80" s="1059"/>
      <c r="O80" s="877">
        <v>994</v>
      </c>
      <c r="P80" s="1059"/>
      <c r="Q80" s="878">
        <f>O80*$Q$76*M80+O80*(1-$Q$76)*K80</f>
        <v>38856.500463323195</v>
      </c>
      <c r="R80" s="1059"/>
      <c r="S80" s="879">
        <f>IF(AND(Q80&lt;&gt;0,O80&lt;&gt;0),Q80*(1-D17-D18-D19)/O80/30/(($D$25*1000000/$D$8))*1000,0)</f>
        <v>5.5312572899580523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598.52320373260716</v>
      </c>
      <c r="K81" s="876">
        <f>$M$32*(H78+(G80-F80)*H80+(G81-F81)*H81)*$B$77*$C$77</f>
        <v>49.876933644383939</v>
      </c>
      <c r="L81" s="875">
        <f t="shared" si="4"/>
        <v>748.15400466575898</v>
      </c>
      <c r="M81" s="876">
        <f t="shared" si="4"/>
        <v>62.346167055479924</v>
      </c>
      <c r="N81" s="1059"/>
      <c r="O81" s="877">
        <v>183</v>
      </c>
      <c r="P81" s="1059"/>
      <c r="Q81" s="878">
        <f>O81*$Q$76*M81+O81*(1-$Q$76)*K81</f>
        <v>10838.881142595184</v>
      </c>
      <c r="R81" s="1059"/>
      <c r="S81" s="879">
        <f>IF(AND(Q81&lt;&gt;0,O81&lt;&gt;0),Q81*(1-D17-D18-D19)/O81/30/(($D$25*1000000/$D$8))*1000,0)</f>
        <v>8.380692863572806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813.99155707634577</v>
      </c>
      <c r="K82" s="876">
        <f>$M$32*(H78+(G80-F80)*H80+(G81-F81)*H81+(G82-F82)*H82)*$B$77*$C$77</f>
        <v>67.832629756362152</v>
      </c>
      <c r="L82" s="875">
        <f t="shared" si="4"/>
        <v>1017.4894463454323</v>
      </c>
      <c r="M82" s="876">
        <f t="shared" si="4"/>
        <v>84.790787195452694</v>
      </c>
      <c r="N82" s="1059"/>
      <c r="O82" s="877">
        <v>300</v>
      </c>
      <c r="P82" s="1059"/>
      <c r="Q82" s="878">
        <f>O82*$Q$76*M82+O82*(1-$Q$76)*K82</f>
        <v>24165.374350704016</v>
      </c>
      <c r="R82" s="1059"/>
      <c r="S82" s="879">
        <f>IF(AND(Q82&lt;&gt;0,O82&lt;&gt;0),Q82*(1-D17-D18-D19)/O82/30/(($D$25*1000000/$D$8))*1000,0)</f>
        <v>11.397742294459015</v>
      </c>
      <c r="T82" s="1059" t="s">
        <v>459</v>
      </c>
      <c r="U82" s="880">
        <f>S82*O82*30*$D$11*(1+$D$24)/1000</f>
        <v>10563.573511912786</v>
      </c>
      <c r="V82" s="1059" t="s">
        <v>460</v>
      </c>
      <c r="W82" s="880">
        <f>IF(O82&lt;&gt;0,U82/O82,0)</f>
        <v>35.21191170637595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1155.149783203932</v>
      </c>
      <c r="K83" s="876">
        <f>$M$32*(H78+(G80-F80)*H80+(G81-F81)*H81+(G82-F82)*H82+(G83-F83)*H83)*$B$77*$C$77</f>
        <v>96.262481933661007</v>
      </c>
      <c r="L83" s="875">
        <f t="shared" si="4"/>
        <v>1443.937229004915</v>
      </c>
      <c r="M83" s="876">
        <f t="shared" si="4"/>
        <v>120.32810241707625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2232.4915499226245</v>
      </c>
      <c r="K84" s="876">
        <f>$M$32*(H78+(G80-F80)*H80+(G81-F81)*H81+(G82-F82)*H82+(G83-F83)*H83+(G84-F84)*H84)*$B$77*$C$77</f>
        <v>186.04096249355206</v>
      </c>
      <c r="L84" s="875">
        <f t="shared" si="4"/>
        <v>2790.6144374032806</v>
      </c>
      <c r="M84" s="876">
        <f t="shared" si="4"/>
        <v>232.55120311694009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95.65460680487007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1913.0921360974014</v>
      </c>
      <c r="R88" s="1059"/>
      <c r="S88" s="1283">
        <f>IF(AND(Q88&lt;&gt;0,O88&lt;&gt;0),Q88*(1-D17-D18-D19)/(($D$25*1000000/$D$8)),0)</f>
        <v>8.1208913848020501</v>
      </c>
      <c r="T88" s="1285" t="s">
        <v>448</v>
      </c>
      <c r="U88" s="1283">
        <f>U91+U93+U94+U95+U96+Z97</f>
        <v>836.28290302642904</v>
      </c>
      <c r="V88" s="1059" t="s">
        <v>449</v>
      </c>
      <c r="W88" s="1283">
        <f>W91*O91+W93*O93+W94*O94+W95*O95+W96*O96</f>
        <v>836.28290302642904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83.793248522565008</v>
      </c>
      <c r="K91" s="876">
        <f>$M$32*H91*$B$90*$C$90</f>
        <v>6.9827707102137495</v>
      </c>
      <c r="L91" s="875">
        <f>J91*$D$90</f>
        <v>104.74156065320626</v>
      </c>
      <c r="M91" s="876">
        <f>K91*$D$90</f>
        <v>8.7284633877671869</v>
      </c>
      <c r="N91" s="1059"/>
      <c r="O91" s="877">
        <v>1</v>
      </c>
      <c r="P91" s="1059"/>
      <c r="Q91" s="878">
        <f>O91*$Q$76*M91+O91*(1-$Q$76)*K91</f>
        <v>8.292040218378828</v>
      </c>
      <c r="R91" s="1059"/>
      <c r="S91" s="879">
        <f>IF(AND(Q91&lt;&gt;0,O91&lt;&gt;0),Q91*(1-D17-D18-D19)/O91/30/(($D$25*1000000/$D$8))*1000,0)</f>
        <v>1.1732970009001926</v>
      </c>
      <c r="T91" s="1059" t="s">
        <v>459</v>
      </c>
      <c r="U91" s="880">
        <f>S91*O91*30*$D$11*(1+$D$24)/1000</f>
        <v>3.6247556168328185</v>
      </c>
      <c r="V91" s="1059" t="s">
        <v>460</v>
      </c>
      <c r="W91" s="880">
        <f>IF(O91&lt;&gt;0,U91/O91,0)</f>
        <v>3.6247556168328185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263.35020964234718</v>
      </c>
      <c r="K93" s="876">
        <f>$M$32*(H91+(G93-F93)*H93)*$B$90*$C$90</f>
        <v>21.945850803528931</v>
      </c>
      <c r="L93" s="875">
        <f t="shared" ref="L93:M96" si="5">J93*$D$90</f>
        <v>329.18776205293398</v>
      </c>
      <c r="M93" s="876">
        <f t="shared" si="5"/>
        <v>27.432313504411162</v>
      </c>
      <c r="N93" s="1059"/>
      <c r="O93" s="877">
        <v>2</v>
      </c>
      <c r="P93" s="1059"/>
      <c r="Q93" s="878">
        <f>O93*$Q$76*M93+O93*(1-$Q$76)*K93</f>
        <v>52.121395658381211</v>
      </c>
      <c r="R93" s="1059"/>
      <c r="S93" s="879">
        <f>IF(AND(Q93&lt;&gt;0,O93&lt;&gt;0),Q93*(1-D17-D18-D19)/O93/30/(($D$25*1000000/$D$8))*1000,0)</f>
        <v>3.687504859972035</v>
      </c>
      <c r="T93" s="1059" t="s">
        <v>459</v>
      </c>
      <c r="U93" s="880">
        <f>S93*O93*30*$D$11*(1+$D$24)/1000</f>
        <v>22.784178162949154</v>
      </c>
      <c r="V93" s="1059" t="s">
        <v>460</v>
      </c>
      <c r="W93" s="880">
        <f>IF(O93&lt;&gt;0,U93/O93,0)</f>
        <v>11.392089081474577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1101.2826948679972</v>
      </c>
      <c r="K94" s="876">
        <f>$M$32*(H91+(G93-F93)*H93+(G94-F94)*H94)*$B$90*$C$90</f>
        <v>91.773557905666436</v>
      </c>
      <c r="L94" s="875">
        <f t="shared" si="5"/>
        <v>1376.6033685849966</v>
      </c>
      <c r="M94" s="876">
        <f t="shared" si="5"/>
        <v>114.71694738208305</v>
      </c>
      <c r="N94" s="1059"/>
      <c r="O94" s="877">
        <v>17</v>
      </c>
      <c r="P94" s="1059"/>
      <c r="Q94" s="878">
        <f>O94*$Q$76*M94+O94*(1-$Q$76)*K94</f>
        <v>1852.6787002206413</v>
      </c>
      <c r="R94" s="1059"/>
      <c r="S94" s="879">
        <f>IF(AND(Q94&lt;&gt;0,O94&lt;&gt;0),Q94*(1-D17-D18-D19)/O94/30/(($D$25*1000000/$D$8))*1000,0)</f>
        <v>15.420474868973963</v>
      </c>
      <c r="T94" s="1059" t="s">
        <v>459</v>
      </c>
      <c r="U94" s="880">
        <f>S94*O94*30*$D$11*(1+$D$24)/1000</f>
        <v>809.87396924664711</v>
      </c>
      <c r="V94" s="1059" t="s">
        <v>460</v>
      </c>
      <c r="W94" s="880">
        <f>IF(O94&lt;&gt;0,U94/O94,0)</f>
        <v>47.639645249802768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6368.2868877149413</v>
      </c>
      <c r="K95" s="876">
        <f>$M$32*(H91+(G93-F93)*H93+(G94-F94)*H94+(G95-F95)*H95)*$B$90*$C$90</f>
        <v>530.6905739762451</v>
      </c>
      <c r="L95" s="875">
        <f t="shared" si="5"/>
        <v>7960.3586096436766</v>
      </c>
      <c r="M95" s="876">
        <f t="shared" si="5"/>
        <v>663.36321747030638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13550.565332506229</v>
      </c>
      <c r="K96" s="876">
        <f>$M$32*(H91+(G93-F93)*H93+(G94-F94)*H94+(G95-F95)*H95+(G96-F96)*H96)*$B$90*$C$90</f>
        <v>1129.2137777088524</v>
      </c>
      <c r="L96" s="875">
        <f t="shared" si="5"/>
        <v>16938.206665632784</v>
      </c>
      <c r="M96" s="876">
        <f t="shared" si="5"/>
        <v>1411.5172221360654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48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7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8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677.95413101682379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914"/>
      <c r="G5" s="86"/>
      <c r="H5" s="914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917" t="s">
        <v>10</v>
      </c>
      <c r="G6" s="89"/>
      <c r="H6" s="917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516.88162273991293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4">
        <f>'C-Dados RT4 Simplif.'!C108</f>
        <v>23121.152356682058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MULTICRITÉRIO'!K56</f>
        <v>0</v>
      </c>
      <c r="N9" s="274"/>
      <c r="O9" s="279"/>
      <c r="P9" s="280"/>
      <c r="Q9" s="281">
        <f>Q8+M9</f>
        <v>516.88162273991293</v>
      </c>
      <c r="R9" s="281">
        <f>M8</f>
        <v>0</v>
      </c>
      <c r="S9" s="281">
        <f>IF(R9&gt;=0,IF(M9&gt;=0,Q8,Q9),IF(M9&gt;=0,S8,Q9))</f>
        <v>516.88162273991293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516.88162273991293</v>
      </c>
      <c r="N10" s="272"/>
      <c r="O10" s="275">
        <f>M10</f>
        <v>516.88162273991293</v>
      </c>
      <c r="P10" s="276"/>
      <c r="Q10" s="277">
        <f>M10</f>
        <v>516.88162273991293</v>
      </c>
      <c r="R10" s="277"/>
      <c r="S10" s="277"/>
      <c r="T10" s="277"/>
      <c r="U10" s="277"/>
      <c r="V10" s="278">
        <f>Q10</f>
        <v>516.88162273991293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480.35870932504702</v>
      </c>
      <c r="R11" s="281">
        <f t="shared" ref="R11:R22" si="0">M10</f>
        <v>516.88162273991293</v>
      </c>
      <c r="S11" s="281">
        <f>IF(R11&gt;=0,IF(M11&gt;=0,Q10,Q11),IF(M11&gt;=0,S10,Q11))</f>
        <v>480.35870932504702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480.35870932504702</v>
      </c>
      <c r="R12" s="281">
        <f t="shared" si="0"/>
        <v>-36.522913414865883</v>
      </c>
      <c r="S12" s="281">
        <f>IF(R12&gt;=0,IF(M12&gt;=0,Q11,Q12),IF(M12&gt;=0,S11,Q12))</f>
        <v>480.35870932504702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480.35870932504702</v>
      </c>
      <c r="N13" s="272"/>
      <c r="O13" s="283">
        <f>M13</f>
        <v>480.35870932504702</v>
      </c>
      <c r="P13" s="284"/>
      <c r="Q13" s="285">
        <f>Q12+M13-O13</f>
        <v>480.35870932504702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480.35870932504702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430.01816482903666</v>
      </c>
      <c r="R14" s="281">
        <f t="shared" si="0"/>
        <v>480.35870932504702</v>
      </c>
      <c r="S14" s="281">
        <f>IF(R14&gt;=0,IF(M14&gt;=0,Q13,Q14),IF(M14&gt;=0,S13,Q14))</f>
        <v>430.01816482903666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430.01816482903666</v>
      </c>
      <c r="R15" s="281">
        <f t="shared" si="0"/>
        <v>-50.340544496010359</v>
      </c>
      <c r="S15" s="281">
        <f>IF(R15&gt;=0,IF(M15&gt;=0,Q14,Q15),IF(M15&gt;=0,S14,Q15))</f>
        <v>430.01816482903666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430.01816482903666</v>
      </c>
      <c r="N16" s="272"/>
      <c r="O16" s="283">
        <f>M16</f>
        <v>430.01816482903666</v>
      </c>
      <c r="P16" s="284"/>
      <c r="Q16" s="285">
        <f>Q15+M16-O16</f>
        <v>430.01816482903666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430.01816482903666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219.27045424886151</v>
      </c>
      <c r="R17" s="281">
        <f t="shared" si="0"/>
        <v>430.01816482903666</v>
      </c>
      <c r="S17" s="281">
        <f>IF(R17&gt;=0,IF(M17&gt;=0,Q16,Q17),IF(M17&gt;=0,S16,Q17))</f>
        <v>219.27045424886151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219.27045424886151</v>
      </c>
      <c r="R18" s="281">
        <f t="shared" si="0"/>
        <v>-210.74771058017515</v>
      </c>
      <c r="S18" s="281">
        <f>IF(R18&gt;=0,IF(M18&gt;=0,Q17,Q18),IF(M18&gt;=0,S17,Q18))</f>
        <v>219.27045424886151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219.27045424886151</v>
      </c>
      <c r="R19" s="281">
        <f t="shared" si="0"/>
        <v>0</v>
      </c>
      <c r="S19" s="281">
        <f>IF(R19&gt;=0,IF(M19&gt;=0,Q18,Q19),IF(M19&gt;=0,S18,Q19))</f>
        <v>219.27045424886151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219.27045424886151</v>
      </c>
      <c r="R20" s="281">
        <f t="shared" si="0"/>
        <v>0</v>
      </c>
      <c r="S20" s="281">
        <f>IF(R20&gt;=0,IF(M20&gt;=0,Q19,Q20),IF(M20&gt;=0,S19,Q20))</f>
        <v>219.27045424886151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37</v>
      </c>
      <c r="D21" s="78" t="s">
        <v>33</v>
      </c>
      <c r="F21" s="94">
        <f>'C-Dados RT4 Simplif.'!C105*'C-Dados RT4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162.26838817229134</v>
      </c>
      <c r="R21" s="281">
        <f t="shared" si="0"/>
        <v>0</v>
      </c>
      <c r="S21" s="281">
        <f>IF(R21&gt;=0,IF(M21&gt;=0,Q20,Q21),IF(M21&gt;=0,S20,Q21))</f>
        <v>162.26838817229134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0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162.26838817229134</v>
      </c>
      <c r="N22" s="272"/>
      <c r="O22" s="289">
        <f>M22</f>
        <v>162.26838817229134</v>
      </c>
      <c r="P22" s="290"/>
      <c r="Q22" s="291">
        <f>Q21+M22-O22</f>
        <v>162.26838817229134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162.26838817229134</v>
      </c>
    </row>
    <row r="23" spans="2:22" ht="15" customHeight="1" outlineLevel="1" thickTop="1" x14ac:dyDescent="0.25">
      <c r="B23" s="1270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0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915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7" t="s">
        <v>30</v>
      </c>
      <c r="C30" s="1257"/>
      <c r="D30" s="110"/>
      <c r="F30" s="355"/>
      <c r="H30" s="355"/>
      <c r="J30" s="355"/>
    </row>
    <row r="31" spans="2:22" s="110" customFormat="1" ht="15.75" hidden="1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3" t="s">
        <v>27</v>
      </c>
      <c r="C33" s="98" t="s">
        <v>4</v>
      </c>
      <c r="D33" s="113" t="s">
        <v>33</v>
      </c>
      <c r="E33" s="103"/>
      <c r="F33" s="114">
        <f>'C-Dados RT4 Simplif.'!C108</f>
        <v>23121.152356682058</v>
      </c>
      <c r="G33" s="103"/>
      <c r="H33" s="104">
        <f>H9</f>
        <v>500</v>
      </c>
      <c r="I33" s="115"/>
      <c r="J33" s="116">
        <f>-'RT4)Custos Valoriz E.Elétrica'!C20</f>
        <v>-36.522913414865883</v>
      </c>
      <c r="K33" s="115"/>
    </row>
    <row r="34" spans="2:11" hidden="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3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-50.340544496010359</v>
      </c>
      <c r="K36" s="115"/>
    </row>
    <row r="37" spans="2:11" hidden="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3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-'RT4)Custos Valoriz E.Elétrica'!C30</f>
        <v>-210.74771058017515</v>
      </c>
      <c r="K39" s="115"/>
    </row>
    <row r="40" spans="2:11" hidden="1" outlineLevel="1" x14ac:dyDescent="0.25">
      <c r="B40" s="1273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-57.002066076570166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72"/>
      <c r="K53" s="1272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0" t="s">
        <v>475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8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8"/>
      <c r="M5" s="781"/>
      <c r="N5" s="1058"/>
      <c r="O5" s="1346" t="s">
        <v>378</v>
      </c>
      <c r="P5" s="1058"/>
      <c r="Q5" s="1346" t="s">
        <v>379</v>
      </c>
      <c r="R5" s="1058"/>
      <c r="S5" s="1346" t="s">
        <v>380</v>
      </c>
      <c r="T5" s="1058"/>
      <c r="U5" s="1346" t="s">
        <v>381</v>
      </c>
      <c r="V5" s="1058"/>
      <c r="W5" s="1346" t="s">
        <v>382</v>
      </c>
      <c r="X5" s="1058"/>
      <c r="Y5" s="1346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8"/>
      <c r="M6" s="793"/>
      <c r="N6" s="794"/>
      <c r="O6" s="1347"/>
      <c r="P6" s="1058"/>
      <c r="Q6" s="1347"/>
      <c r="R6" s="1058"/>
      <c r="S6" s="1347"/>
      <c r="T6" s="1058"/>
      <c r="U6" s="1347"/>
      <c r="V6" s="1058"/>
      <c r="W6" s="1347"/>
      <c r="X6" s="1058"/>
      <c r="Y6" s="1347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'4)Incineração - E Elétrica'!M22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8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1.5757394426756925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2"/>
      <c r="G16" s="1334"/>
      <c r="H16" s="1336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44.821289297913665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1.712848470931511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7" t="s">
        <v>419</v>
      </c>
      <c r="G23" s="1338"/>
      <c r="H23" s="1339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261.21306900741695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44.821289297913665</v>
      </c>
      <c r="E25" s="1058"/>
      <c r="F25" s="839" t="s">
        <v>424</v>
      </c>
      <c r="G25" s="816" t="s">
        <v>425</v>
      </c>
      <c r="H25" s="842">
        <f>H24/12</f>
        <v>21.767755750618079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1.712848470931511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3" t="s">
        <v>427</v>
      </c>
      <c r="C29" s="1314"/>
      <c r="D29" s="1314"/>
      <c r="E29" s="1315"/>
      <c r="F29" s="1058"/>
      <c r="G29" s="1058"/>
      <c r="H29" s="781"/>
      <c r="I29" s="1058"/>
      <c r="J29" s="781"/>
      <c r="K29" s="1316" t="s">
        <v>428</v>
      </c>
      <c r="L29" s="1317"/>
      <c r="M29" s="1318"/>
      <c r="N29" s="1058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8"/>
      <c r="O31" s="1324" t="s">
        <v>433</v>
      </c>
      <c r="P31" s="1058"/>
      <c r="Q31" s="1324" t="s">
        <v>434</v>
      </c>
      <c r="R31" s="1058"/>
      <c r="S31" s="1324" t="s">
        <v>435</v>
      </c>
      <c r="T31" s="1058"/>
      <c r="U31" s="1324" t="s">
        <v>436</v>
      </c>
      <c r="V31" s="1058"/>
      <c r="W31" s="1324" t="s">
        <v>436</v>
      </c>
      <c r="X31" s="1058"/>
      <c r="Y31" s="1324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261.21306900741695</v>
      </c>
      <c r="M32" s="845">
        <f>H25</f>
        <v>21.767755750618079</v>
      </c>
      <c r="N32" s="846"/>
      <c r="O32" s="1325"/>
      <c r="P32" s="846"/>
      <c r="Q32" s="1325"/>
      <c r="R32" s="846"/>
      <c r="S32" s="1325"/>
      <c r="T32" s="1058"/>
      <c r="U32" s="1325"/>
      <c r="V32" s="1058"/>
      <c r="W32" s="1325"/>
      <c r="X32" s="1058"/>
      <c r="Y32" s="1326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45.087047836550859</v>
      </c>
      <c r="R33" s="1058"/>
      <c r="S33" s="806">
        <f>12*S34</f>
        <v>257977.38543486263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1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2"/>
      <c r="Z34" s="1058"/>
      <c r="AA34" s="1058"/>
      <c r="AB34" s="777"/>
    </row>
    <row r="35" spans="1:28" s="778" customFormat="1" ht="25.15" customHeight="1" outlineLevel="1" x14ac:dyDescent="0.25">
      <c r="A35" s="1058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32.47307000453533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8"/>
      <c r="O36" s="806">
        <f>O39+O41+O42+O43+O44+O45</f>
        <v>40</v>
      </c>
      <c r="P36" s="1058"/>
      <c r="Q36" s="853">
        <f>Q39+Q41+Q42+Q43+Q44+Q45</f>
        <v>1298.9228001814131</v>
      </c>
      <c r="R36" s="1058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058" t="s">
        <v>449</v>
      </c>
      <c r="W36" s="1283">
        <f>W39*O39+W41*O41+W42*O42+W43*O43+W44*O44+W45*O45</f>
        <v>693.88178950799693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8"/>
      <c r="O37" s="859" t="s">
        <v>455</v>
      </c>
      <c r="P37" s="1058"/>
      <c r="Q37" s="860">
        <v>0.75</v>
      </c>
      <c r="R37" s="1058"/>
      <c r="S37" s="1284"/>
      <c r="T37" s="1286"/>
      <c r="U37" s="1284"/>
      <c r="V37" s="1058"/>
      <c r="W37" s="1287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058"/>
      <c r="O39" s="877">
        <v>2</v>
      </c>
      <c r="P39" s="1058"/>
      <c r="Q39" s="878">
        <f>O39*$Q$37*M39+O39*(1-$Q$37)*K39</f>
        <v>12.924604976929484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058"/>
      <c r="O41" s="877">
        <v>2</v>
      </c>
      <c r="P41" s="1058"/>
      <c r="Q41" s="878">
        <f>O41*$Q$37*M41+O41*(1-$Q$37)*K41</f>
        <v>37.481354433095504</v>
      </c>
      <c r="R41" s="1058"/>
      <c r="S41" s="879">
        <f>IF(AND(Q41&lt;&gt;0,O41&lt;&gt;0),Q41*(1-D17-D18-D19)/O41/30/(($D$25*1000000/$D$8))*1000,0)</f>
        <v>3.2405345739148186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058"/>
      <c r="O42" s="877">
        <v>28</v>
      </c>
      <c r="P42" s="1058"/>
      <c r="Q42" s="878">
        <f>O42*$Q$37*M42+O42*(1-$Q$37)*K42</f>
        <v>886.62790141736264</v>
      </c>
      <c r="R42" s="1058"/>
      <c r="S42" s="879">
        <f>IF(AND(Q42&lt;&gt;0,O42&lt;&gt;0),Q42*(1-D17-D18-D19)/O42/30/(($D$25*1000000/$D$8))*1000,0)</f>
        <v>5.4753860042009004</v>
      </c>
      <c r="T42" s="1058" t="s">
        <v>459</v>
      </c>
      <c r="U42" s="880">
        <f>S42*O42*30*$D$11*(1+$D$24)/1000</f>
        <v>473.6347339328218</v>
      </c>
      <c r="V42" s="1058" t="s">
        <v>460</v>
      </c>
      <c r="W42" s="880">
        <f>IF(O42&lt;&gt;0,U42/O42,0)</f>
        <v>16.915526211886494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058"/>
      <c r="O43" s="877">
        <v>8</v>
      </c>
      <c r="P43" s="1058"/>
      <c r="Q43" s="878">
        <f>O43*$Q$37*M43+O43*(1-$Q$37)*K43</f>
        <v>361.88893935402552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8"/>
      <c r="O49" s="806">
        <f>O52+O54+O55+O56+O57+O58</f>
        <v>127341</v>
      </c>
      <c r="P49" s="1058"/>
      <c r="Q49" s="894">
        <f>Q52+Q54+Q55+Q56+Q57+Q58</f>
        <v>3304632.4864088376</v>
      </c>
      <c r="R49" s="1058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8" t="s">
        <v>449</v>
      </c>
      <c r="W49" s="1309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8"/>
      <c r="O50" s="895" t="s">
        <v>455</v>
      </c>
      <c r="P50" s="1058"/>
      <c r="Q50" s="860">
        <v>0.75</v>
      </c>
      <c r="R50" s="1058"/>
      <c r="S50" s="1284"/>
      <c r="T50" s="1286"/>
      <c r="U50" s="1284"/>
      <c r="V50" s="1058"/>
      <c r="W50" s="1310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058"/>
      <c r="O52" s="877">
        <v>62341</v>
      </c>
      <c r="P52" s="1058"/>
      <c r="Q52" s="878">
        <f>O52*$Q$50*M52+O52*(1-$Q$50)*K52</f>
        <v>565020.12520531612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058"/>
      <c r="O54" s="877">
        <v>42500</v>
      </c>
      <c r="P54" s="1058"/>
      <c r="Q54" s="878">
        <f>O54*$Q$50*M54+O54*(1-$Q$50)*K54</f>
        <v>1225616.0563278911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058"/>
      <c r="O55" s="877">
        <v>10000</v>
      </c>
      <c r="P55" s="1058"/>
      <c r="Q55" s="878">
        <f>O55*$Q$50*M55+O55*(1-$Q$50)*K55</f>
        <v>494366.14036755275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058"/>
      <c r="O56" s="877">
        <v>12500</v>
      </c>
      <c r="P56" s="1058"/>
      <c r="Q56" s="878">
        <f>O56*$Q$50*M56+O56*(1-$Q$50)*K56</f>
        <v>1019630.1645080777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8"/>
      <c r="O62" s="806">
        <f>O65+O67+O68+O69+O70+O71</f>
        <v>42447</v>
      </c>
      <c r="P62" s="1058"/>
      <c r="Q62" s="853">
        <f>Q65+Q67+Q68+Q69+Q70+Q71</f>
        <v>387013.29707138776</v>
      </c>
      <c r="R62" s="1058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413483.35574335727</v>
      </c>
      <c r="V62" s="1058" t="s">
        <v>449</v>
      </c>
      <c r="W62" s="1283">
        <f>W65*O65+W67*O67+W68*O68+W69*O69+W70*O70+W71*O71</f>
        <v>413483.35574335727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8"/>
      <c r="O63" s="895" t="s">
        <v>455</v>
      </c>
      <c r="P63" s="1058"/>
      <c r="Q63" s="860">
        <v>0.75</v>
      </c>
      <c r="R63" s="1058"/>
      <c r="S63" s="1284"/>
      <c r="T63" s="1286"/>
      <c r="U63" s="1284"/>
      <c r="V63" s="1058"/>
      <c r="W63" s="1287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058"/>
      <c r="O65" s="877">
        <v>25947</v>
      </c>
      <c r="P65" s="1058"/>
      <c r="Q65" s="878">
        <f>O65*$Q$63*M65+O65*(1-$Q$63)*K65</f>
        <v>117583.75057107152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058"/>
      <c r="O67" s="877">
        <v>15000</v>
      </c>
      <c r="P67" s="1058"/>
      <c r="Q67" s="878">
        <f>O67*$Q$63*M67+O67*(1-$Q$63)*K67</f>
        <v>216285.18641080434</v>
      </c>
      <c r="R67" s="1058"/>
      <c r="S67" s="879">
        <f>IF(AND(Q67&lt;&gt;0,O67&lt;&gt;0),Q67*(1-D17-D18-D19)/O67/30/(H15)/(($D$25*1000000/$D$8))*1000,0)</f>
        <v>4.9865122538258202</v>
      </c>
      <c r="T67" s="1058" t="s">
        <v>459</v>
      </c>
      <c r="U67" s="880">
        <f>S67*O67*30*$D$11*(1+$D$24)/1000</f>
        <v>231078.17057309227</v>
      </c>
      <c r="V67" s="1058" t="s">
        <v>460</v>
      </c>
      <c r="W67" s="880">
        <f>IF(O67&lt;&gt;0,U67/O67,0)</f>
        <v>15.405211371539485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058"/>
      <c r="O68" s="877">
        <v>500</v>
      </c>
      <c r="P68" s="1058"/>
      <c r="Q68" s="878">
        <f>O68*$Q$63*M68+O68*(1-$Q$63)*K68</f>
        <v>12359.15350918882</v>
      </c>
      <c r="R68" s="1058"/>
      <c r="S68" s="879">
        <f>IF(AND(Q68&lt;&gt;0,O68&lt;&gt;0),Q68*(1-D17-D18-D19)/O68/30/(H15)/(($D$25*1000000/$D$8))*1000,0)</f>
        <v>8.5483067208442627</v>
      </c>
      <c r="T68" s="1058" t="s">
        <v>459</v>
      </c>
      <c r="U68" s="880">
        <f>S68*O68*30*$D$11*(1+$D$24)/1000</f>
        <v>13204.466889890984</v>
      </c>
      <c r="V68" s="1058" t="s">
        <v>460</v>
      </c>
      <c r="W68" s="880">
        <f>IF(O68&lt;&gt;0,U68/O68,0)</f>
        <v>26.408933779781968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058"/>
      <c r="O69" s="877">
        <v>1000</v>
      </c>
      <c r="P69" s="1058"/>
      <c r="Q69" s="878">
        <f>O69*$Q$63*M69+O69*(1-$Q$63)*K69</f>
        <v>40785.206580323109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8"/>
      <c r="O75" s="806">
        <f>O78+O80+O81+O82+O83+O84</f>
        <v>1741</v>
      </c>
      <c r="P75" s="1058"/>
      <c r="Q75" s="853">
        <f>Q78+Q80+Q81+Q82+Q83+Q84</f>
        <v>62743.787321001873</v>
      </c>
      <c r="R75" s="1058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058" t="s">
        <v>449</v>
      </c>
      <c r="W75" s="1283">
        <f>W78*O78+W80*O80+W81*O81+W82*O82+W83*O83+W84*O84</f>
        <v>33517.597366622103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8"/>
      <c r="O76" s="895" t="s">
        <v>455</v>
      </c>
      <c r="P76" s="1058"/>
      <c r="Q76" s="860">
        <v>0.75</v>
      </c>
      <c r="R76" s="1058"/>
      <c r="S76" s="1284"/>
      <c r="T76" s="1286"/>
      <c r="U76" s="1284"/>
      <c r="V76" s="1058"/>
      <c r="W76" s="1287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058"/>
      <c r="O78" s="877">
        <v>264</v>
      </c>
      <c r="P78" s="1058"/>
      <c r="Q78" s="878">
        <f>O78*$Q$76*M78+O78*(1-$Q$76)*K78</f>
        <v>2303.1646068888344</v>
      </c>
      <c r="R78" s="1058"/>
      <c r="S78" s="879">
        <f>IF(AND(Q78&lt;&gt;0,O78&lt;&gt;0),Q78*(1-D17-D18-D19)/O78/30/(($D$25*1000000/$D$8))*1000,0)</f>
        <v>1.5085247154431052</v>
      </c>
      <c r="T78" s="1058" t="s">
        <v>459</v>
      </c>
      <c r="U78" s="880">
        <f>S78*O78*30*$D$11*(1+$D$24)/1000</f>
        <v>1230.3456207992542</v>
      </c>
      <c r="V78" s="1058" t="s">
        <v>460</v>
      </c>
      <c r="W78" s="880">
        <f>IF(O78&lt;&gt;0,U78/O78,0)</f>
        <v>4.6604000787850541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058"/>
      <c r="O80" s="877">
        <v>994</v>
      </c>
      <c r="P80" s="1058"/>
      <c r="Q80" s="878">
        <f>O80*$Q$76*M80+O80*(1-$Q$76)*K80</f>
        <v>31796.46693399307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058"/>
      <c r="O81" s="877">
        <v>183</v>
      </c>
      <c r="P81" s="1058"/>
      <c r="Q81" s="878">
        <f>O81*$Q$76*M81+O81*(1-$Q$76)*K81</f>
        <v>8869.5101654178579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058"/>
      <c r="O82" s="877">
        <v>300</v>
      </c>
      <c r="P82" s="1058"/>
      <c r="Q82" s="878">
        <f>O82*$Q$76*M82+O82*(1-$Q$76)*K82</f>
        <v>19774.645614702113</v>
      </c>
      <c r="R82" s="1058"/>
      <c r="S82" s="879">
        <f>IF(AND(Q82&lt;&gt;0,O82&lt;&gt;0),Q82*(1-D17-D18-D19)/O82/30/(($D$25*1000000/$D$8))*1000,0)</f>
        <v>11.397742294459016</v>
      </c>
      <c r="T82" s="1058" t="s">
        <v>459</v>
      </c>
      <c r="U82" s="880">
        <f>S82*O82*30*$D$11*(1+$D$24)/1000</f>
        <v>10563.573511912788</v>
      </c>
      <c r="V82" s="1058" t="s">
        <v>460</v>
      </c>
      <c r="W82" s="880">
        <f>IF(O82&lt;&gt;0,U82/O82,0)</f>
        <v>35.211911706375957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8"/>
      <c r="O88" s="881">
        <f>O91+O93+O94+O95+O96</f>
        <v>20</v>
      </c>
      <c r="P88" s="1058"/>
      <c r="Q88" s="853">
        <f>Q91+Q93+Q94+Q95+Q96</f>
        <v>1565.4927778305835</v>
      </c>
      <c r="R88" s="1058"/>
      <c r="S88" s="1283">
        <f>IF(AND(Q88&lt;&gt;0,O88&lt;&gt;0),Q88*(1-D17-D18-D19)/(($D$25*1000000/$D$8)),0)</f>
        <v>8.1208913848020465</v>
      </c>
      <c r="T88" s="1285" t="s">
        <v>448</v>
      </c>
      <c r="U88" s="1283">
        <f>U91+U93+U94+U95+U96+Z97</f>
        <v>836.28290302642858</v>
      </c>
      <c r="V88" s="1058" t="s">
        <v>449</v>
      </c>
      <c r="W88" s="1283">
        <f>W91*O91+W93*O93+W94*O94+W95*O95+W96*O96</f>
        <v>836.28290302642858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8"/>
      <c r="O89" s="895" t="s">
        <v>455</v>
      </c>
      <c r="P89" s="1058"/>
      <c r="Q89" s="860">
        <v>0.75</v>
      </c>
      <c r="R89" s="1058"/>
      <c r="S89" s="1284"/>
      <c r="T89" s="1286"/>
      <c r="U89" s="1284"/>
      <c r="V89" s="1058"/>
      <c r="W89" s="1287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058"/>
      <c r="O91" s="877">
        <v>1</v>
      </c>
      <c r="P91" s="1058"/>
      <c r="Q91" s="878">
        <f>O91*$Q$76*M91+O91*(1-$Q$76)*K91</f>
        <v>6.7854176128879793</v>
      </c>
      <c r="R91" s="1058"/>
      <c r="S91" s="879">
        <f>IF(AND(Q91&lt;&gt;0,O91&lt;&gt;0),Q91*(1-D17-D18-D19)/O91/30/(($D$25*1000000/$D$8))*1000,0)</f>
        <v>1.1732970009001928</v>
      </c>
      <c r="T91" s="1058" t="s">
        <v>459</v>
      </c>
      <c r="U91" s="880">
        <f>S91*O91*30*$D$11*(1+$D$24)/1000</f>
        <v>3.624755616832819</v>
      </c>
      <c r="V91" s="1058" t="s">
        <v>460</v>
      </c>
      <c r="W91" s="880">
        <f>IF(O91&lt;&gt;0,U91/O91,0)</f>
        <v>3.624755616832819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058"/>
      <c r="O93" s="877">
        <v>2</v>
      </c>
      <c r="P93" s="1058"/>
      <c r="Q93" s="878">
        <f>O93*$Q$76*M93+O93*(1-$Q$76)*K93</f>
        <v>42.651196423867304</v>
      </c>
      <c r="R93" s="1058"/>
      <c r="S93" s="879">
        <f>IF(AND(Q93&lt;&gt;0,O93&lt;&gt;0),Q93*(1-D17-D18-D19)/O93/30/(($D$25*1000000/$D$8))*1000,0)</f>
        <v>3.6875048599720359</v>
      </c>
      <c r="T93" s="1058" t="s">
        <v>459</v>
      </c>
      <c r="U93" s="880">
        <f>S93*O93*30*$D$11*(1+$D$24)/1000</f>
        <v>22.784178162949157</v>
      </c>
      <c r="V93" s="1058" t="s">
        <v>460</v>
      </c>
      <c r="W93" s="880">
        <f>IF(O93&lt;&gt;0,U93/O93,0)</f>
        <v>11.392089081474579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058"/>
      <c r="O94" s="877">
        <v>17</v>
      </c>
      <c r="P94" s="1058"/>
      <c r="Q94" s="878">
        <f>O94*$Q$76*M94+O94*(1-$Q$76)*K94</f>
        <v>1516.0561637938281</v>
      </c>
      <c r="R94" s="1058"/>
      <c r="S94" s="879">
        <f>IF(AND(Q94&lt;&gt;0,O94&lt;&gt;0),Q94*(1-D17-D18-D19)/O94/30/(($D$25*1000000/$D$8))*1000,0)</f>
        <v>15.420474868973958</v>
      </c>
      <c r="T94" s="1058" t="s">
        <v>459</v>
      </c>
      <c r="U94" s="880">
        <f>S94*O94*30*$D$11*(1+$D$24)/1000</f>
        <v>809.87396924664665</v>
      </c>
      <c r="V94" s="1058" t="s">
        <v>460</v>
      </c>
      <c r="W94" s="880">
        <f>IF(O94&lt;&gt;0,U94/O94,0)</f>
        <v>47.639645249802747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340" t="s">
        <v>475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059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342" t="s">
        <v>376</v>
      </c>
      <c r="K5" s="1344" t="s">
        <v>377</v>
      </c>
      <c r="L5" s="1059"/>
      <c r="M5" s="781"/>
      <c r="N5" s="1059"/>
      <c r="O5" s="1346" t="s">
        <v>378</v>
      </c>
      <c r="P5" s="1059"/>
      <c r="Q5" s="1346" t="s">
        <v>379</v>
      </c>
      <c r="R5" s="1059"/>
      <c r="S5" s="1346" t="s">
        <v>380</v>
      </c>
      <c r="T5" s="1059"/>
      <c r="U5" s="1346" t="s">
        <v>381</v>
      </c>
      <c r="V5" s="1059"/>
      <c r="W5" s="1346" t="s">
        <v>382</v>
      </c>
      <c r="X5" s="1059"/>
      <c r="Y5" s="1346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343"/>
      <c r="K6" s="1345"/>
      <c r="L6" s="1059"/>
      <c r="M6" s="793"/>
      <c r="N6" s="794"/>
      <c r="O6" s="1347"/>
      <c r="P6" s="1059"/>
      <c r="Q6" s="1347"/>
      <c r="R6" s="1059"/>
      <c r="S6" s="1347"/>
      <c r="T6" s="1059"/>
      <c r="U6" s="1347"/>
      <c r="V6" s="1059"/>
      <c r="W6" s="1347"/>
      <c r="X6" s="1059"/>
      <c r="Y6" s="1347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'4)Incineração - E Elétrica'!M22-'4)Incineração - E Elétrica'!M8-'4)Incineração - E Elétrica'!M9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327">
        <f>126090+43698</f>
        <v>169788</v>
      </c>
      <c r="K7" s="1329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328"/>
      <c r="K8" s="1330"/>
      <c r="L8" s="1059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1.5757394426756925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331" t="s">
        <v>411</v>
      </c>
      <c r="G15" s="1333" t="s">
        <v>1</v>
      </c>
      <c r="H15" s="1335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332"/>
      <c r="G16" s="1334"/>
      <c r="H16" s="1336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44.821289297913665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1.712848470931511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337" t="s">
        <v>419</v>
      </c>
      <c r="G23" s="1338"/>
      <c r="H23" s="1339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261.21306900741695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44.821289297913665</v>
      </c>
      <c r="E25" s="1059"/>
      <c r="F25" s="839" t="s">
        <v>424</v>
      </c>
      <c r="G25" s="816" t="s">
        <v>425</v>
      </c>
      <c r="H25" s="842">
        <f>H24/12</f>
        <v>21.767755750618079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1.712848470931511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313" t="s">
        <v>427</v>
      </c>
      <c r="C29" s="1314"/>
      <c r="D29" s="1314"/>
      <c r="E29" s="1315"/>
      <c r="F29" s="1059"/>
      <c r="G29" s="1059"/>
      <c r="H29" s="781"/>
      <c r="I29" s="1059"/>
      <c r="J29" s="781"/>
      <c r="K29" s="1316" t="s">
        <v>428</v>
      </c>
      <c r="L29" s="1317"/>
      <c r="M29" s="1318"/>
      <c r="N29" s="1059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059"/>
      <c r="O31" s="1324" t="s">
        <v>433</v>
      </c>
      <c r="P31" s="1059"/>
      <c r="Q31" s="1324" t="s">
        <v>434</v>
      </c>
      <c r="R31" s="1059"/>
      <c r="S31" s="1324" t="s">
        <v>435</v>
      </c>
      <c r="T31" s="1059"/>
      <c r="U31" s="1324" t="s">
        <v>436</v>
      </c>
      <c r="V31" s="1059"/>
      <c r="W31" s="1324" t="s">
        <v>436</v>
      </c>
      <c r="X31" s="1059"/>
      <c r="Y31" s="1324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261.21306900741695</v>
      </c>
      <c r="M32" s="845">
        <f>H25</f>
        <v>21.767755750618079</v>
      </c>
      <c r="N32" s="846"/>
      <c r="O32" s="1325"/>
      <c r="P32" s="846"/>
      <c r="Q32" s="1325"/>
      <c r="R32" s="846"/>
      <c r="S32" s="1325"/>
      <c r="T32" s="1059"/>
      <c r="U32" s="1325"/>
      <c r="V32" s="1059"/>
      <c r="W32" s="1325"/>
      <c r="X32" s="1059"/>
      <c r="Y32" s="1326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45.087047836550859</v>
      </c>
      <c r="R33" s="1059"/>
      <c r="S33" s="806">
        <f>12*S34</f>
        <v>257977.38543486263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11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12"/>
      <c r="Z34" s="1059"/>
      <c r="AA34" s="1059"/>
      <c r="AB34" s="777"/>
    </row>
    <row r="35" spans="1:28" s="778" customFormat="1" ht="25.15" customHeight="1" outlineLevel="1" x14ac:dyDescent="0.25">
      <c r="A35" s="1059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32.47307000453533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059"/>
      <c r="O36" s="806">
        <f>O39+O41+O42+O43+O44+O45</f>
        <v>40</v>
      </c>
      <c r="P36" s="1059"/>
      <c r="Q36" s="853">
        <f>Q39+Q41+Q42+Q43+Q44+Q45</f>
        <v>1298.9228001814131</v>
      </c>
      <c r="R36" s="1059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059" t="s">
        <v>449</v>
      </c>
      <c r="W36" s="1283">
        <f>W39*O39+W41*O41+W42*O42+W43*O43+W44*O44+W45*O45</f>
        <v>693.88178950799693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059"/>
      <c r="O37" s="859" t="s">
        <v>455</v>
      </c>
      <c r="P37" s="1059"/>
      <c r="Q37" s="860">
        <v>0.75</v>
      </c>
      <c r="R37" s="1059"/>
      <c r="S37" s="1284"/>
      <c r="T37" s="1286"/>
      <c r="U37" s="1284"/>
      <c r="V37" s="1059"/>
      <c r="W37" s="1287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059"/>
      <c r="O39" s="877">
        <v>2</v>
      </c>
      <c r="P39" s="1059"/>
      <c r="Q39" s="878">
        <f>O39*$Q$37*M39+O39*(1-$Q$37)*K39</f>
        <v>12.924604976929484</v>
      </c>
      <c r="R39" s="1059"/>
      <c r="S39" s="879">
        <f>IF(AND(Q39&lt;&gt;0,O39&lt;&gt;0),Q39*(1-D17-D18-D19)/O39/30/(($D$25*1000000/$D$8))*1000,0)</f>
        <v>1.1174257151430407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059"/>
      <c r="O41" s="877">
        <v>2</v>
      </c>
      <c r="P41" s="1059"/>
      <c r="Q41" s="878">
        <f>O41*$Q$37*M41+O41*(1-$Q$37)*K41</f>
        <v>37.481354433095504</v>
      </c>
      <c r="R41" s="1059"/>
      <c r="S41" s="879">
        <f>IF(AND(Q41&lt;&gt;0,O41&lt;&gt;0),Q41*(1-D17-D18-D19)/O41/30/(($D$25*1000000/$D$8))*1000,0)</f>
        <v>3.2405345739148186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059"/>
      <c r="O42" s="877">
        <v>28</v>
      </c>
      <c r="P42" s="1059"/>
      <c r="Q42" s="878">
        <f>O42*$Q$37*M42+O42*(1-$Q$37)*K42</f>
        <v>886.62790141736264</v>
      </c>
      <c r="R42" s="1059"/>
      <c r="S42" s="879">
        <f>IF(AND(Q42&lt;&gt;0,O42&lt;&gt;0),Q42*(1-D17-D18-D19)/O42/30/(($D$25*1000000/$D$8))*1000,0)</f>
        <v>5.4753860042009004</v>
      </c>
      <c r="T42" s="1059" t="s">
        <v>459</v>
      </c>
      <c r="U42" s="880">
        <f>S42*O42*30*$D$11*(1+$D$24)/1000</f>
        <v>473.6347339328218</v>
      </c>
      <c r="V42" s="1059" t="s">
        <v>460</v>
      </c>
      <c r="W42" s="880">
        <f>IF(O42&lt;&gt;0,U42/O42,0)</f>
        <v>16.915526211886494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059"/>
      <c r="O43" s="877">
        <v>8</v>
      </c>
      <c r="P43" s="1059"/>
      <c r="Q43" s="878">
        <f>O43*$Q$37*M43+O43*(1-$Q$37)*K43</f>
        <v>361.88893935402552</v>
      </c>
      <c r="R43" s="1059"/>
      <c r="S43" s="879">
        <f>IF(AND(Q43&lt;&gt;0,O43&lt;&gt;0),Q43*(1-D17-D18-D19)/O43/30/(($D$25*1000000/$D$8))*1000,0)</f>
        <v>7.8219800060012856</v>
      </c>
      <c r="T43" s="1059" t="s">
        <v>459</v>
      </c>
      <c r="U43" s="880">
        <f>S43*O43*30*$D$11*(1+$D$24)/1000</f>
        <v>193.32029956441701</v>
      </c>
      <c r="V43" s="1059" t="s">
        <v>460</v>
      </c>
      <c r="W43" s="880">
        <f>IF(O43&lt;&gt;0,U43/O43,0)</f>
        <v>24.165037445552127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059"/>
      <c r="O49" s="806">
        <f>O52+O54+O55+O56+O57+O58</f>
        <v>127341</v>
      </c>
      <c r="P49" s="1059"/>
      <c r="Q49" s="894">
        <f>Q52+Q54+Q55+Q56+Q57+Q58</f>
        <v>3304632.4864088376</v>
      </c>
      <c r="R49" s="1059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059" t="s">
        <v>449</v>
      </c>
      <c r="W49" s="1309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059"/>
      <c r="O50" s="895" t="s">
        <v>455</v>
      </c>
      <c r="P50" s="1059"/>
      <c r="Q50" s="860">
        <v>0.75</v>
      </c>
      <c r="R50" s="1059"/>
      <c r="S50" s="1284"/>
      <c r="T50" s="1286"/>
      <c r="U50" s="1284"/>
      <c r="V50" s="1059"/>
      <c r="W50" s="1310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059"/>
      <c r="O52" s="877">
        <v>62341</v>
      </c>
      <c r="P52" s="1059"/>
      <c r="Q52" s="878">
        <f>O52*$Q$50*M52+O52*(1-$Q$50)*K52</f>
        <v>565020.12520531612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059"/>
      <c r="O54" s="877">
        <v>42500</v>
      </c>
      <c r="P54" s="1059"/>
      <c r="Q54" s="878">
        <f>O54*$Q$50*M54+O54*(1-$Q$50)*K54</f>
        <v>1225616.0563278911</v>
      </c>
      <c r="R54" s="1059"/>
      <c r="S54" s="879">
        <f>IF(AND(Q54&lt;&gt;0,O54&lt;&gt;0),Q54*(1-D17-D18-D19)/O54/30/(($D$25*1000000/$D$8))*1000,0)</f>
        <v>4.9865122538258193</v>
      </c>
      <c r="T54" s="1059" t="s">
        <v>459</v>
      </c>
      <c r="U54" s="880">
        <f>S54*O54*30*$D$11*(1+$D$24)/1000</f>
        <v>654721.48329042795</v>
      </c>
      <c r="V54" s="1059" t="s">
        <v>460</v>
      </c>
      <c r="W54" s="898">
        <f>IF(O54&lt;&gt;0,U54/O54,0)</f>
        <v>15.405211371539481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059"/>
      <c r="O55" s="877">
        <v>10000</v>
      </c>
      <c r="P55" s="1059"/>
      <c r="Q55" s="878">
        <f>O55*$Q$50*M55+O55*(1-$Q$50)*K55</f>
        <v>494366.14036755275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059"/>
      <c r="O56" s="877">
        <v>12500</v>
      </c>
      <c r="P56" s="1059"/>
      <c r="Q56" s="878">
        <f>O56*$Q$50*M56+O56*(1-$Q$50)*K56</f>
        <v>1019630.1645080777</v>
      </c>
      <c r="R56" s="1059"/>
      <c r="S56" s="879">
        <f>IF(AND(Q56&lt;&gt;0,O56&lt;&gt;0),Q56*(1-D17-D18-D19)/O56/30/(($D$25*1000000/$D$8))*1000,0)</f>
        <v>14.104706089393032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059"/>
      <c r="O62" s="806">
        <f>O65+O67+O68+O69+O70+O71</f>
        <v>42447</v>
      </c>
      <c r="P62" s="1059"/>
      <c r="Q62" s="853">
        <f>Q65+Q67+Q68+Q69+Q70+Q71</f>
        <v>387013.29707138776</v>
      </c>
      <c r="R62" s="1059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413483.35574335727</v>
      </c>
      <c r="V62" s="1059" t="s">
        <v>449</v>
      </c>
      <c r="W62" s="1283">
        <f>W65*O65+W67*O67+W68*O68+W69*O69+W70*O70+W71*O71</f>
        <v>413483.35574335727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059"/>
      <c r="O63" s="895" t="s">
        <v>455</v>
      </c>
      <c r="P63" s="1059"/>
      <c r="Q63" s="860">
        <v>0.75</v>
      </c>
      <c r="R63" s="1059"/>
      <c r="S63" s="1284"/>
      <c r="T63" s="1286"/>
      <c r="U63" s="1284"/>
      <c r="V63" s="1059"/>
      <c r="W63" s="1287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059"/>
      <c r="O65" s="877">
        <v>25947</v>
      </c>
      <c r="P65" s="1059"/>
      <c r="Q65" s="878">
        <f>O65*$Q$63*M65+O65*(1-$Q$63)*K65</f>
        <v>117583.75057107152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059"/>
      <c r="O67" s="877">
        <v>15000</v>
      </c>
      <c r="P67" s="1059"/>
      <c r="Q67" s="878">
        <f>O67*$Q$63*M67+O67*(1-$Q$63)*K67</f>
        <v>216285.18641080434</v>
      </c>
      <c r="R67" s="1059"/>
      <c r="S67" s="879">
        <f>IF(AND(Q67&lt;&gt;0,O67&lt;&gt;0),Q67*(1-D17-D18-D19)/O67/30/(H15)/(($D$25*1000000/$D$8))*1000,0)</f>
        <v>4.9865122538258202</v>
      </c>
      <c r="T67" s="1059" t="s">
        <v>459</v>
      </c>
      <c r="U67" s="880">
        <f>S67*O67*30*$D$11*(1+$D$24)/1000</f>
        <v>231078.17057309227</v>
      </c>
      <c r="V67" s="1059" t="s">
        <v>460</v>
      </c>
      <c r="W67" s="880">
        <f>IF(O67&lt;&gt;0,U67/O67,0)</f>
        <v>15.405211371539485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059"/>
      <c r="O68" s="877">
        <v>500</v>
      </c>
      <c r="P68" s="1059"/>
      <c r="Q68" s="878">
        <f>O68*$Q$63*M68+O68*(1-$Q$63)*K68</f>
        <v>12359.15350918882</v>
      </c>
      <c r="R68" s="1059"/>
      <c r="S68" s="879">
        <f>IF(AND(Q68&lt;&gt;0,O68&lt;&gt;0),Q68*(1-D17-D18-D19)/O68/30/(H15)/(($D$25*1000000/$D$8))*1000,0)</f>
        <v>8.5483067208442627</v>
      </c>
      <c r="T68" s="1059" t="s">
        <v>459</v>
      </c>
      <c r="U68" s="880">
        <f>S68*O68*30*$D$11*(1+$D$24)/1000</f>
        <v>13204.466889890984</v>
      </c>
      <c r="V68" s="1059" t="s">
        <v>460</v>
      </c>
      <c r="W68" s="880">
        <f>IF(O68&lt;&gt;0,U68/O68,0)</f>
        <v>26.408933779781968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059"/>
      <c r="O69" s="877">
        <v>1000</v>
      </c>
      <c r="P69" s="1059"/>
      <c r="Q69" s="878">
        <f>O69*$Q$63*M69+O69*(1-$Q$63)*K69</f>
        <v>40785.206580323109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059"/>
      <c r="O75" s="806">
        <f>O78+O80+O81+O82+O83+O84</f>
        <v>1741</v>
      </c>
      <c r="P75" s="1059"/>
      <c r="Q75" s="853">
        <f>Q78+Q80+Q81+Q82+Q83+Q84</f>
        <v>62743.787321001873</v>
      </c>
      <c r="R75" s="1059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059" t="s">
        <v>449</v>
      </c>
      <c r="W75" s="1283">
        <f>W78*O78+W80*O80+W81*O81+W82*O82+W83*O83+W84*O84</f>
        <v>33517.597366622103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059"/>
      <c r="O76" s="895" t="s">
        <v>455</v>
      </c>
      <c r="P76" s="1059"/>
      <c r="Q76" s="860">
        <v>0.75</v>
      </c>
      <c r="R76" s="1059"/>
      <c r="S76" s="1284"/>
      <c r="T76" s="1286"/>
      <c r="U76" s="1284"/>
      <c r="V76" s="1059"/>
      <c r="W76" s="1287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059"/>
      <c r="O78" s="877">
        <v>264</v>
      </c>
      <c r="P78" s="1059"/>
      <c r="Q78" s="878">
        <f>O78*$Q$76*M78+O78*(1-$Q$76)*K78</f>
        <v>2303.1646068888344</v>
      </c>
      <c r="R78" s="1059"/>
      <c r="S78" s="879">
        <f>IF(AND(Q78&lt;&gt;0,O78&lt;&gt;0),Q78*(1-D17-D18-D19)/O78/30/(($D$25*1000000/$D$8))*1000,0)</f>
        <v>1.5085247154431052</v>
      </c>
      <c r="T78" s="1059" t="s">
        <v>459</v>
      </c>
      <c r="U78" s="880">
        <f>S78*O78*30*$D$11*(1+$D$24)/1000</f>
        <v>1230.3456207992542</v>
      </c>
      <c r="V78" s="1059" t="s">
        <v>460</v>
      </c>
      <c r="W78" s="880">
        <f>IF(O78&lt;&gt;0,U78/O78,0)</f>
        <v>4.6604000787850541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059"/>
      <c r="O80" s="877">
        <v>994</v>
      </c>
      <c r="P80" s="1059"/>
      <c r="Q80" s="878">
        <f>O80*$Q$76*M80+O80*(1-$Q$76)*K80</f>
        <v>31796.46693399307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059"/>
      <c r="O81" s="877">
        <v>183</v>
      </c>
      <c r="P81" s="1059"/>
      <c r="Q81" s="878">
        <f>O81*$Q$76*M81+O81*(1-$Q$76)*K81</f>
        <v>8869.5101654178579</v>
      </c>
      <c r="R81" s="1059"/>
      <c r="S81" s="879">
        <f>IF(AND(Q81&lt;&gt;0,O81&lt;&gt;0),Q81*(1-D17-D18-D19)/O81/30/(($D$25*1000000/$D$8))*1000,0)</f>
        <v>8.380692863572806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059"/>
      <c r="O82" s="877">
        <v>300</v>
      </c>
      <c r="P82" s="1059"/>
      <c r="Q82" s="878">
        <f>O82*$Q$76*M82+O82*(1-$Q$76)*K82</f>
        <v>19774.645614702113</v>
      </c>
      <c r="R82" s="1059"/>
      <c r="S82" s="879">
        <f>IF(AND(Q82&lt;&gt;0,O82&lt;&gt;0),Q82*(1-D17-D18-D19)/O82/30/(($D$25*1000000/$D$8))*1000,0)</f>
        <v>11.397742294459016</v>
      </c>
      <c r="T82" s="1059" t="s">
        <v>459</v>
      </c>
      <c r="U82" s="880">
        <f>S82*O82*30*$D$11*(1+$D$24)/1000</f>
        <v>10563.573511912788</v>
      </c>
      <c r="V82" s="1059" t="s">
        <v>460</v>
      </c>
      <c r="W82" s="880">
        <f>IF(O82&lt;&gt;0,U82/O82,0)</f>
        <v>35.211911706375957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059"/>
      <c r="O88" s="881">
        <f>O91+O93+O94+O95+O96</f>
        <v>20</v>
      </c>
      <c r="P88" s="1059"/>
      <c r="Q88" s="853">
        <f>Q91+Q93+Q94+Q95+Q96</f>
        <v>1565.4927778305835</v>
      </c>
      <c r="R88" s="1059"/>
      <c r="S88" s="1283">
        <f>IF(AND(Q88&lt;&gt;0,O88&lt;&gt;0),Q88*(1-D17-D18-D19)/(($D$25*1000000/$D$8)),0)</f>
        <v>8.1208913848020465</v>
      </c>
      <c r="T88" s="1285" t="s">
        <v>448</v>
      </c>
      <c r="U88" s="1283">
        <f>U91+U93+U94+U95+U96+Z97</f>
        <v>836.28290302642858</v>
      </c>
      <c r="V88" s="1059" t="s">
        <v>449</v>
      </c>
      <c r="W88" s="1283">
        <f>W91*O91+W93*O93+W94*O94+W95*O95+W96*O96</f>
        <v>836.28290302642858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059"/>
      <c r="O89" s="895" t="s">
        <v>455</v>
      </c>
      <c r="P89" s="1059"/>
      <c r="Q89" s="860">
        <v>0.75</v>
      </c>
      <c r="R89" s="1059"/>
      <c r="S89" s="1284"/>
      <c r="T89" s="1286"/>
      <c r="U89" s="1284"/>
      <c r="V89" s="1059"/>
      <c r="W89" s="1287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059"/>
      <c r="O91" s="877">
        <v>1</v>
      </c>
      <c r="P91" s="1059"/>
      <c r="Q91" s="878">
        <f>O91*$Q$76*M91+O91*(1-$Q$76)*K91</f>
        <v>6.7854176128879793</v>
      </c>
      <c r="R91" s="1059"/>
      <c r="S91" s="879">
        <f>IF(AND(Q91&lt;&gt;0,O91&lt;&gt;0),Q91*(1-D17-D18-D19)/O91/30/(($D$25*1000000/$D$8))*1000,0)</f>
        <v>1.1732970009001928</v>
      </c>
      <c r="T91" s="1059" t="s">
        <v>459</v>
      </c>
      <c r="U91" s="880">
        <f>S91*O91*30*$D$11*(1+$D$24)/1000</f>
        <v>3.624755616832819</v>
      </c>
      <c r="V91" s="1059" t="s">
        <v>460</v>
      </c>
      <c r="W91" s="880">
        <f>IF(O91&lt;&gt;0,U91/O91,0)</f>
        <v>3.624755616832819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059"/>
      <c r="O93" s="877">
        <v>2</v>
      </c>
      <c r="P93" s="1059"/>
      <c r="Q93" s="878">
        <f>O93*$Q$76*M93+O93*(1-$Q$76)*K93</f>
        <v>42.651196423867304</v>
      </c>
      <c r="R93" s="1059"/>
      <c r="S93" s="879">
        <f>IF(AND(Q93&lt;&gt;0,O93&lt;&gt;0),Q93*(1-D17-D18-D19)/O93/30/(($D$25*1000000/$D$8))*1000,0)</f>
        <v>3.6875048599720359</v>
      </c>
      <c r="T93" s="1059" t="s">
        <v>459</v>
      </c>
      <c r="U93" s="880">
        <f>S93*O93*30*$D$11*(1+$D$24)/1000</f>
        <v>22.784178162949157</v>
      </c>
      <c r="V93" s="1059" t="s">
        <v>460</v>
      </c>
      <c r="W93" s="880">
        <f>IF(O93&lt;&gt;0,U93/O93,0)</f>
        <v>11.392089081474579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059"/>
      <c r="O94" s="877">
        <v>17</v>
      </c>
      <c r="P94" s="1059"/>
      <c r="Q94" s="878">
        <f>O94*$Q$76*M94+O94*(1-$Q$76)*K94</f>
        <v>1516.0561637938281</v>
      </c>
      <c r="R94" s="1059"/>
      <c r="S94" s="879">
        <f>IF(AND(Q94&lt;&gt;0,O94&lt;&gt;0),Q94*(1-D17-D18-D19)/O94/30/(($D$25*1000000/$D$8))*1000,0)</f>
        <v>15.420474868973958</v>
      </c>
      <c r="T94" s="1059" t="s">
        <v>459</v>
      </c>
      <c r="U94" s="880">
        <f>S94*O94*30*$D$11*(1+$D$24)/1000</f>
        <v>809.87396924664665</v>
      </c>
      <c r="V94" s="1059" t="s">
        <v>460</v>
      </c>
      <c r="W94" s="880">
        <f>IF(O94&lt;&gt;0,U94/O94,0)</f>
        <v>47.639645249802747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1" t="s">
        <v>120</v>
      </c>
      <c r="C4" s="519">
        <f>'C-Dados RT4 Simplif.'!C106</f>
        <v>814.4441166976485</v>
      </c>
      <c r="D4" s="513" t="s">
        <v>44</v>
      </c>
    </row>
    <row r="5" spans="2:17" ht="15" customHeight="1" outlineLevel="1" x14ac:dyDescent="0.25">
      <c r="B5" s="1352"/>
      <c r="C5" s="520">
        <f>'C-Dados RT4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RT4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RT4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50">
        <v>0.2</v>
      </c>
      <c r="D9" s="516"/>
    </row>
    <row r="10" spans="2:17" ht="15" customHeight="1" outlineLevel="1" x14ac:dyDescent="0.25">
      <c r="B10" s="1048" t="s">
        <v>123</v>
      </c>
      <c r="C10" s="1049">
        <f>'C-Dados RT4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1">
        <v>0.2</v>
      </c>
      <c r="D11" s="517"/>
    </row>
    <row r="12" spans="2:17" ht="15" customHeight="1" outlineLevel="1" x14ac:dyDescent="0.25">
      <c r="B12" s="1048" t="s">
        <v>123</v>
      </c>
      <c r="C12" s="1049">
        <f>'C-Dados RT4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RT4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8" t="s">
        <v>358</v>
      </c>
      <c r="C18" s="561">
        <f>'4)Incineração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9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0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8" t="s">
        <v>318</v>
      </c>
      <c r="C23" s="561">
        <f>'4)Incineração - E Elétrica'!F12*(C22-C15)/1000000</f>
        <v>12.791862812393131</v>
      </c>
      <c r="D23" s="452" t="s">
        <v>289</v>
      </c>
    </row>
    <row r="24" spans="2:17" s="2" customFormat="1" x14ac:dyDescent="0.25">
      <c r="B24" s="1349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0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'4)Incineração - E Elétrica'!H15</f>
        <v>549.4</v>
      </c>
      <c r="D27" s="518" t="s">
        <v>0</v>
      </c>
    </row>
    <row r="28" spans="2:17" s="2" customFormat="1" ht="15.75" thickTop="1" x14ac:dyDescent="0.25">
      <c r="B28" s="1348" t="s">
        <v>355</v>
      </c>
      <c r="C28" s="561">
        <f>'4)Incineração - E Elétrica'!F15*(C27-C15)/1000000</f>
        <v>53.552376692731002</v>
      </c>
      <c r="D28" s="452" t="s">
        <v>289</v>
      </c>
    </row>
    <row r="29" spans="2:17" s="2" customFormat="1" x14ac:dyDescent="0.25">
      <c r="B29" s="1349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0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48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7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8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677.95413101682379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8" t="s">
        <v>26</v>
      </c>
      <c r="C3" s="1258"/>
      <c r="D3" s="1258"/>
      <c r="E3" s="1258"/>
      <c r="F3" s="1258"/>
      <c r="G3" s="1258"/>
      <c r="H3" s="1258"/>
      <c r="L3" s="1259" t="s">
        <v>159</v>
      </c>
      <c r="M3" s="1260"/>
      <c r="N3" s="301"/>
      <c r="O3" s="1261" t="s">
        <v>169</v>
      </c>
      <c r="P3" s="1261"/>
      <c r="Q3" s="1261"/>
      <c r="R3" s="1261"/>
      <c r="S3" s="1261"/>
      <c r="T3" s="1261"/>
      <c r="U3" s="1261"/>
      <c r="V3" s="1261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2" t="s">
        <v>106</v>
      </c>
      <c r="C5" s="1262"/>
      <c r="D5" s="86"/>
      <c r="E5" s="86"/>
      <c r="F5" s="1140"/>
      <c r="G5" s="86"/>
      <c r="H5" s="1140"/>
      <c r="L5" s="1263" t="s">
        <v>171</v>
      </c>
      <c r="M5" s="1264"/>
      <c r="N5"/>
      <c r="O5" s="1267" t="s">
        <v>158</v>
      </c>
      <c r="P5" s="1268"/>
      <c r="Q5" s="1268"/>
      <c r="R5" s="1268"/>
      <c r="S5" s="1268"/>
      <c r="T5" s="1268"/>
      <c r="U5" s="1268"/>
      <c r="V5" s="1269"/>
    </row>
    <row r="6" spans="2:22" s="90" customFormat="1" ht="15" customHeight="1" outlineLevel="1" thickTop="1" thickBot="1" x14ac:dyDescent="0.3">
      <c r="B6" s="1262"/>
      <c r="C6" s="1262"/>
      <c r="D6" s="87"/>
      <c r="E6" s="89"/>
      <c r="F6" s="1146" t="s">
        <v>10</v>
      </c>
      <c r="G6" s="89"/>
      <c r="H6" s="1146" t="s">
        <v>10</v>
      </c>
      <c r="L6" s="1265"/>
      <c r="M6" s="1266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0</v>
      </c>
      <c r="N8" s="274"/>
      <c r="O8" s="279"/>
      <c r="P8" s="280"/>
      <c r="Q8" s="281">
        <f>Q7+M8</f>
        <v>516.88162273991293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0</v>
      </c>
      <c r="U8" s="281">
        <f>IF(M8&lt;0,M8*-1,0)</f>
        <v>0</v>
      </c>
      <c r="V8" s="282">
        <f>SUM(T8:U8)</f>
        <v>0</v>
      </c>
    </row>
    <row r="9" spans="2:22" s="84" customFormat="1" ht="15" customHeight="1" outlineLevel="1" x14ac:dyDescent="0.25">
      <c r="B9" s="1270" t="s">
        <v>107</v>
      </c>
      <c r="C9" s="84" t="s">
        <v>4</v>
      </c>
      <c r="D9" s="78" t="s">
        <v>33</v>
      </c>
      <c r="E9" s="97"/>
      <c r="F9" s="94">
        <f>'C-Dados RT5 Simplif.'!C108</f>
        <v>23121.152356682058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MULTICRITÉRIO'!K56</f>
        <v>0</v>
      </c>
      <c r="N9" s="274"/>
      <c r="O9" s="279"/>
      <c r="P9" s="280"/>
      <c r="Q9" s="281">
        <f>Q8+M9</f>
        <v>516.88162273991293</v>
      </c>
      <c r="R9" s="281">
        <f>M8</f>
        <v>0</v>
      </c>
      <c r="S9" s="281">
        <f>IF(R9&gt;=0,IF(M9&gt;=0,Q8,Q9),IF(M9&gt;=0,S8,Q9))</f>
        <v>516.88162273991293</v>
      </c>
      <c r="T9" s="281">
        <f>IF(M9&gt;=0,M9,0)</f>
        <v>0</v>
      </c>
      <c r="U9" s="281">
        <f>IF(M9&lt;0,M9*-1,0)</f>
        <v>0</v>
      </c>
      <c r="V9" s="282">
        <f>SUM(T9:U9)</f>
        <v>0</v>
      </c>
    </row>
    <row r="10" spans="2:22" s="84" customFormat="1" ht="15" customHeight="1" outlineLevel="1" x14ac:dyDescent="0.25">
      <c r="B10" s="1270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516.88162273991293</v>
      </c>
      <c r="N10" s="272"/>
      <c r="O10" s="275">
        <f>M10</f>
        <v>516.88162273991293</v>
      </c>
      <c r="P10" s="276"/>
      <c r="Q10" s="277">
        <f>M10</f>
        <v>516.88162273991293</v>
      </c>
      <c r="R10" s="277"/>
      <c r="S10" s="277"/>
      <c r="T10" s="277"/>
      <c r="U10" s="277"/>
      <c r="V10" s="278">
        <f>Q10</f>
        <v>516.88162273991293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480.35870932504702</v>
      </c>
      <c r="R11" s="281">
        <f t="shared" ref="R11:R22" si="0">M10</f>
        <v>516.88162273991293</v>
      </c>
      <c r="S11" s="281">
        <f>IF(R11&gt;=0,IF(M11&gt;=0,Q10,Q11),IF(M11&gt;=0,S10,Q11))</f>
        <v>480.35870932504702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0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480.35870932504702</v>
      </c>
      <c r="R12" s="281">
        <f t="shared" si="0"/>
        <v>-36.522913414865883</v>
      </c>
      <c r="S12" s="281">
        <f>IF(R12&gt;=0,IF(M12&gt;=0,Q11,Q12),IF(M12&gt;=0,S11,Q12))</f>
        <v>480.35870932504702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0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480.35870932504702</v>
      </c>
      <c r="N13" s="272"/>
      <c r="O13" s="283">
        <f>M13</f>
        <v>480.35870932504702</v>
      </c>
      <c r="P13" s="284"/>
      <c r="Q13" s="285">
        <f>Q12+M13-O13</f>
        <v>480.35870932504702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480.35870932504702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430.01816482903666</v>
      </c>
      <c r="R14" s="281">
        <f t="shared" si="0"/>
        <v>480.35870932504702</v>
      </c>
      <c r="S14" s="281">
        <f>IF(R14&gt;=0,IF(M14&gt;=0,Q13,Q14),IF(M14&gt;=0,S13,Q14))</f>
        <v>430.01816482903666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0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430.01816482903666</v>
      </c>
      <c r="R15" s="281">
        <f t="shared" si="0"/>
        <v>-50.340544496010359</v>
      </c>
      <c r="S15" s="281">
        <f>IF(R15&gt;=0,IF(M15&gt;=0,Q14,Q15),IF(M15&gt;=0,S14,Q15))</f>
        <v>430.01816482903666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0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430.01816482903666</v>
      </c>
      <c r="N16" s="272"/>
      <c r="O16" s="283">
        <f>M16</f>
        <v>430.01816482903666</v>
      </c>
      <c r="P16" s="284"/>
      <c r="Q16" s="285">
        <f>Q15+M16-O16</f>
        <v>430.01816482903666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430.01816482903666</v>
      </c>
    </row>
    <row r="17" spans="2:22" s="84" customFormat="1" ht="15" customHeight="1" outlineLevel="1" x14ac:dyDescent="0.25">
      <c r="B17" s="1270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219.27045424886151</v>
      </c>
      <c r="R17" s="281">
        <f t="shared" si="0"/>
        <v>430.01816482903666</v>
      </c>
      <c r="S17" s="281">
        <f>IF(R17&gt;=0,IF(M17&gt;=0,Q16,Q17),IF(M17&gt;=0,S16,Q17))</f>
        <v>219.27045424886151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0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219.27045424886151</v>
      </c>
      <c r="R18" s="281">
        <f t="shared" si="0"/>
        <v>-210.74771058017515</v>
      </c>
      <c r="S18" s="281">
        <f>IF(R18&gt;=0,IF(M18&gt;=0,Q17,Q18),IF(M18&gt;=0,S17,Q18))</f>
        <v>219.27045424886151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1141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219.27045424886151</v>
      </c>
      <c r="R19" s="281">
        <f t="shared" si="0"/>
        <v>0</v>
      </c>
      <c r="S19" s="281">
        <f>IF(R19&gt;=0,IF(M19&gt;=0,Q18,Q19),IF(M19&gt;=0,S18,Q19))</f>
        <v>219.27045424886151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219.27045424886151</v>
      </c>
      <c r="R20" s="281">
        <f t="shared" si="0"/>
        <v>0</v>
      </c>
      <c r="S20" s="281">
        <f>IF(R20&gt;=0,IF(M20&gt;=0,Q19,Q20),IF(M20&gt;=0,S19,Q20))</f>
        <v>219.27045424886151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0" t="s">
        <v>110</v>
      </c>
      <c r="C21" s="91" t="s">
        <v>37</v>
      </c>
      <c r="D21" s="78" t="s">
        <v>33</v>
      </c>
      <c r="F21" s="94">
        <f>'C-Dados RT5 Simplif.'!C105*'C-Dados RT5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162.26838817229134</v>
      </c>
      <c r="R21" s="281">
        <f t="shared" si="0"/>
        <v>0</v>
      </c>
      <c r="S21" s="281">
        <f>IF(R21&gt;=0,IF(M21&gt;=0,Q20,Q21),IF(M21&gt;=0,S20,Q21))</f>
        <v>162.26838817229134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0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162.26838817229134</v>
      </c>
      <c r="N22" s="272"/>
      <c r="O22" s="289">
        <f>M22</f>
        <v>162.26838817229134</v>
      </c>
      <c r="P22" s="290"/>
      <c r="Q22" s="291">
        <f>Q21+M22-O22</f>
        <v>162.26838817229134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162.26838817229134</v>
      </c>
    </row>
    <row r="23" spans="2:22" ht="15" customHeight="1" outlineLevel="1" thickTop="1" x14ac:dyDescent="0.25">
      <c r="B23" s="1270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0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1141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x14ac:dyDescent="0.25">
      <c r="B28" s="1271" t="s">
        <v>112</v>
      </c>
      <c r="C28" s="1271"/>
      <c r="D28" s="1271"/>
      <c r="E28" s="1271"/>
      <c r="F28" s="1271"/>
      <c r="G28" s="1271"/>
      <c r="H28" s="1271"/>
      <c r="I28" s="1271"/>
      <c r="J28" s="1271"/>
      <c r="K28" s="9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57" t="s">
        <v>30</v>
      </c>
      <c r="C30" s="1257"/>
      <c r="D30" s="110"/>
      <c r="F30" s="355"/>
      <c r="H30" s="355"/>
      <c r="J30" s="355"/>
    </row>
    <row r="31" spans="2:22" s="110" customFormat="1" ht="15.75" outlineLevel="1" x14ac:dyDescent="0.25">
      <c r="B31" s="1257"/>
      <c r="C31" s="1257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73" t="s">
        <v>27</v>
      </c>
      <c r="C33" s="98" t="s">
        <v>4</v>
      </c>
      <c r="D33" s="113" t="s">
        <v>33</v>
      </c>
      <c r="E33" s="103"/>
      <c r="F33" s="114">
        <f>'C-Dados RT5 Simplif.'!C108</f>
        <v>23121.152356682058</v>
      </c>
      <c r="G33" s="103"/>
      <c r="H33" s="104">
        <f>H9</f>
        <v>500</v>
      </c>
      <c r="I33" s="115"/>
      <c r="J33" s="116">
        <f>-'RT5)Custos Valoriz E.Elétrica'!C20</f>
        <v>-36.522913414865883</v>
      </c>
      <c r="K33" s="115"/>
    </row>
    <row r="34" spans="2:11" outlineLevel="1" x14ac:dyDescent="0.25">
      <c r="B34" s="1273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73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-50.340544496010359</v>
      </c>
      <c r="K36" s="115"/>
    </row>
    <row r="37" spans="2:11" outlineLevel="1" x14ac:dyDescent="0.25">
      <c r="B37" s="1273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73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-'RT5)Custos Valoriz E.Elétrica'!C30</f>
        <v>-210.74771058017515</v>
      </c>
      <c r="K39" s="115"/>
    </row>
    <row r="40" spans="2:11" outlineLevel="1" x14ac:dyDescent="0.25">
      <c r="B40" s="1273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outlineLevel="1" x14ac:dyDescent="0.25">
      <c r="B41" s="1273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outlineLevel="1" x14ac:dyDescent="0.25">
      <c r="B42" s="1273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outlineLevel="1" x14ac:dyDescent="0.25">
      <c r="B43" s="1139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-57.002066076570166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1146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72"/>
      <c r="K53" s="1272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4"/>
      <c r="B2" s="1340" t="s">
        <v>642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144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144"/>
      <c r="B4" s="1144"/>
      <c r="C4" s="781"/>
      <c r="D4" s="1144"/>
      <c r="E4" s="1144"/>
      <c r="F4" s="1144"/>
      <c r="G4" s="1144"/>
      <c r="H4" s="781"/>
      <c r="I4" s="1144"/>
      <c r="J4" s="781"/>
      <c r="K4" s="781"/>
      <c r="L4" s="781"/>
      <c r="M4" s="781"/>
      <c r="N4" s="1144"/>
      <c r="O4" s="1144"/>
      <c r="P4" s="1144"/>
      <c r="Q4" s="1144"/>
      <c r="R4" s="1144"/>
      <c r="S4" s="1144"/>
      <c r="T4" s="1144"/>
      <c r="U4" s="1144"/>
      <c r="V4" s="1144"/>
      <c r="W4" s="781"/>
      <c r="X4" s="1144"/>
      <c r="Y4" s="781"/>
      <c r="Z4" s="1144"/>
      <c r="AA4" s="1144"/>
      <c r="AB4" s="777"/>
    </row>
    <row r="5" spans="1:28" s="778" customFormat="1" ht="19.899999999999999" customHeight="1" thickTop="1" x14ac:dyDescent="0.25">
      <c r="A5" s="1144"/>
      <c r="B5" s="782" t="s">
        <v>370</v>
      </c>
      <c r="C5" s="783" t="s">
        <v>371</v>
      </c>
      <c r="D5" s="784" t="s">
        <v>372</v>
      </c>
      <c r="E5" s="1144"/>
      <c r="F5" s="785" t="s">
        <v>373</v>
      </c>
      <c r="G5" s="783" t="s">
        <v>374</v>
      </c>
      <c r="H5" s="784" t="s">
        <v>375</v>
      </c>
      <c r="I5" s="1144"/>
      <c r="J5" s="1342" t="s">
        <v>376</v>
      </c>
      <c r="K5" s="1344" t="s">
        <v>377</v>
      </c>
      <c r="L5" s="1144"/>
      <c r="M5" s="781"/>
      <c r="N5" s="1144"/>
      <c r="O5" s="1346" t="s">
        <v>378</v>
      </c>
      <c r="P5" s="1144"/>
      <c r="Q5" s="1346" t="s">
        <v>379</v>
      </c>
      <c r="R5" s="1144"/>
      <c r="S5" s="1346" t="s">
        <v>380</v>
      </c>
      <c r="T5" s="1144"/>
      <c r="U5" s="1346" t="s">
        <v>381</v>
      </c>
      <c r="V5" s="1144"/>
      <c r="W5" s="1346" t="s">
        <v>382</v>
      </c>
      <c r="X5" s="1144"/>
      <c r="Y5" s="1346" t="s">
        <v>383</v>
      </c>
      <c r="Z5" s="1144"/>
      <c r="AA5" s="1144"/>
      <c r="AB5" s="777"/>
    </row>
    <row r="6" spans="1:28" s="778" customFormat="1" ht="19.899999999999999" customHeight="1" outlineLevel="1" x14ac:dyDescent="0.25">
      <c r="A6" s="1144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4"/>
      <c r="J6" s="1343"/>
      <c r="K6" s="1345"/>
      <c r="L6" s="1144"/>
      <c r="M6" s="793"/>
      <c r="N6" s="794"/>
      <c r="O6" s="1347"/>
      <c r="P6" s="1144"/>
      <c r="Q6" s="1347"/>
      <c r="R6" s="1144"/>
      <c r="S6" s="1347"/>
      <c r="T6" s="1144"/>
      <c r="U6" s="1347"/>
      <c r="V6" s="1144"/>
      <c r="W6" s="1347"/>
      <c r="X6" s="1144"/>
      <c r="Y6" s="1347"/>
      <c r="Z6" s="1144"/>
      <c r="AA6" s="1144"/>
      <c r="AB6" s="777"/>
    </row>
    <row r="7" spans="1:28" s="778" customFormat="1" ht="19.899999999999999" customHeight="1" outlineLevel="1" x14ac:dyDescent="0.25">
      <c r="A7" s="1144"/>
      <c r="B7" s="790" t="s">
        <v>387</v>
      </c>
      <c r="C7" s="795" t="s">
        <v>8</v>
      </c>
      <c r="D7" s="796">
        <f>'5)Incineração - E Elétrica'!M22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4"/>
      <c r="J7" s="1327">
        <f>126090+43698</f>
        <v>169788</v>
      </c>
      <c r="K7" s="1329">
        <v>0.25</v>
      </c>
      <c r="L7" s="1144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4"/>
      <c r="AB7" s="777"/>
    </row>
    <row r="8" spans="1:28" s="778" customFormat="1" ht="19.899999999999999" customHeight="1" outlineLevel="1" thickBot="1" x14ac:dyDescent="0.3">
      <c r="A8" s="1144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4"/>
      <c r="J8" s="1328"/>
      <c r="K8" s="1330"/>
      <c r="L8" s="1144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144"/>
      <c r="U8" s="800">
        <f>(U12-U10)/U10</f>
        <v>1.5233061901367381E-2</v>
      </c>
      <c r="V8" s="1144"/>
      <c r="W8" s="800">
        <f>(W12-W10)/W10</f>
        <v>1.5233061901367381E-2</v>
      </c>
      <c r="X8" s="1144"/>
      <c r="Y8" s="801" t="s">
        <v>393</v>
      </c>
      <c r="Z8" s="1144"/>
      <c r="AA8" s="1144"/>
      <c r="AB8" s="777"/>
    </row>
    <row r="9" spans="1:28" s="778" customFormat="1" ht="19.899999999999999" customHeight="1" outlineLevel="1" thickTop="1" x14ac:dyDescent="0.25">
      <c r="A9" s="1144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4"/>
      <c r="J9" s="1144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4"/>
      <c r="W9" s="803" t="s">
        <v>397</v>
      </c>
      <c r="X9" s="1144"/>
      <c r="Y9" s="803" t="s">
        <v>397</v>
      </c>
      <c r="Z9" s="1144"/>
      <c r="AA9" s="1144"/>
      <c r="AB9" s="777"/>
    </row>
    <row r="10" spans="1:28" s="778" customFormat="1" ht="19.899999999999999" customHeight="1" outlineLevel="1" x14ac:dyDescent="0.25">
      <c r="A10" s="1144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4"/>
      <c r="J10" s="1144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144"/>
      <c r="U10" s="806">
        <f>D10*(1+D24)</f>
        <v>26167690.872000001</v>
      </c>
      <c r="V10" s="1144"/>
      <c r="W10" s="806">
        <f>D10*(1+D24)</f>
        <v>26167690.872000001</v>
      </c>
      <c r="X10" s="1144"/>
      <c r="Y10" s="808">
        <f>Y7</f>
        <v>0.05</v>
      </c>
      <c r="Z10" s="1144"/>
      <c r="AA10" s="1144"/>
      <c r="AB10" s="777"/>
    </row>
    <row r="11" spans="1:28" s="778" customFormat="1" ht="19.899999999999999" customHeight="1" outlineLevel="1" thickBot="1" x14ac:dyDescent="0.3">
      <c r="A11" s="1144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4"/>
      <c r="J11" s="1144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4"/>
      <c r="U11" s="814" t="s">
        <v>405</v>
      </c>
      <c r="V11" s="1144"/>
      <c r="W11" s="814" t="s">
        <v>405</v>
      </c>
      <c r="X11" s="1144"/>
      <c r="Y11" s="814" t="s">
        <v>405</v>
      </c>
      <c r="Z11" s="1144"/>
      <c r="AA11" s="1144"/>
      <c r="AB11" s="777"/>
    </row>
    <row r="12" spans="1:28" s="778" customFormat="1" ht="19.899999999999999" customHeight="1" outlineLevel="1" thickTop="1" thickBot="1" x14ac:dyDescent="0.3">
      <c r="A12" s="1144"/>
      <c r="B12" s="815" t="s">
        <v>406</v>
      </c>
      <c r="C12" s="816" t="s">
        <v>407</v>
      </c>
      <c r="D12" s="817">
        <f>D7/D11</f>
        <v>1.5757394426756925</v>
      </c>
      <c r="E12" s="1144"/>
      <c r="F12" s="1144"/>
      <c r="G12" s="1144"/>
      <c r="H12" s="781"/>
      <c r="I12" s="1144"/>
      <c r="J12" s="781"/>
      <c r="K12" s="781"/>
      <c r="L12" s="781"/>
      <c r="M12" s="781"/>
      <c r="N12" s="1144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144"/>
      <c r="U12" s="806">
        <f>U33</f>
        <v>26566304.926869024</v>
      </c>
      <c r="V12" s="1144"/>
      <c r="W12" s="806">
        <f>W33</f>
        <v>26566304.926869024</v>
      </c>
      <c r="X12" s="1144"/>
      <c r="Y12" s="818">
        <f>1-((AA39+AA41+AA42+AA43+AA44+AA45+AA52+AA54+AA55+AA56+AA57+AA58+AA65+AA67+AA68+AA69+AA70+AA71+AA78+AA80+AA81+AA82+AA83+AA84+AA91+AA93+AA94+AA95+AA96)/29)</f>
        <v>0</v>
      </c>
      <c r="Z12" s="1144"/>
      <c r="AA12" s="1144"/>
      <c r="AB12" s="777"/>
    </row>
    <row r="13" spans="1:28" s="778" customFormat="1" ht="10.15" customHeight="1" outlineLevel="1" thickTop="1" thickBot="1" x14ac:dyDescent="0.3">
      <c r="A13" s="1144"/>
      <c r="B13" s="1144"/>
      <c r="C13" s="781"/>
      <c r="D13" s="1144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4"/>
      <c r="AB13" s="777"/>
    </row>
    <row r="14" spans="1:28" s="778" customFormat="1" ht="19.899999999999999" customHeight="1" outlineLevel="1" thickTop="1" x14ac:dyDescent="0.25">
      <c r="A14" s="1144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4"/>
      <c r="J14" s="1144"/>
      <c r="K14" s="793"/>
      <c r="L14" s="793"/>
      <c r="M14" s="793"/>
      <c r="N14" s="794"/>
      <c r="O14" s="820"/>
      <c r="P14" s="794"/>
      <c r="Q14" s="827"/>
      <c r="R14" s="794"/>
      <c r="S14" s="820"/>
      <c r="T14" s="1144"/>
      <c r="U14" s="820"/>
      <c r="V14" s="1144"/>
      <c r="W14" s="781"/>
      <c r="X14" s="1144"/>
      <c r="Y14" s="781"/>
      <c r="Z14" s="1144"/>
      <c r="AA14" s="1144"/>
      <c r="AB14" s="777"/>
    </row>
    <row r="15" spans="1:28" s="778" customFormat="1" ht="19.899999999999999" customHeight="1" outlineLevel="1" x14ac:dyDescent="0.25">
      <c r="A15" s="1144"/>
      <c r="B15" s="828" t="s">
        <v>410</v>
      </c>
      <c r="C15" s="787" t="s">
        <v>1</v>
      </c>
      <c r="D15" s="829">
        <v>1</v>
      </c>
      <c r="E15" s="1144"/>
      <c r="F15" s="1331" t="s">
        <v>411</v>
      </c>
      <c r="G15" s="1333" t="s">
        <v>1</v>
      </c>
      <c r="H15" s="1335">
        <v>0.5</v>
      </c>
      <c r="I15" s="1144"/>
      <c r="J15" s="830"/>
      <c r="K15" s="793"/>
      <c r="L15" s="793"/>
      <c r="M15" s="793"/>
      <c r="N15" s="794"/>
      <c r="O15" s="794"/>
      <c r="P15" s="794"/>
      <c r="R15" s="794"/>
      <c r="S15" s="1144"/>
      <c r="T15" s="1144"/>
      <c r="U15" s="793"/>
      <c r="V15" s="1144"/>
      <c r="W15" s="781"/>
      <c r="X15" s="1144"/>
      <c r="Y15" s="781"/>
      <c r="Z15" s="1144"/>
      <c r="AA15" s="1144"/>
      <c r="AB15" s="777"/>
    </row>
    <row r="16" spans="1:28" s="778" customFormat="1" ht="19.899999999999999" customHeight="1" outlineLevel="1" thickBot="1" x14ac:dyDescent="0.3">
      <c r="A16" s="1144"/>
      <c r="B16" s="831" t="s">
        <v>412</v>
      </c>
      <c r="C16" s="795" t="s">
        <v>385</v>
      </c>
      <c r="D16" s="832">
        <f>D10*D12*(1-D15)/1000000</f>
        <v>0</v>
      </c>
      <c r="E16" s="1144"/>
      <c r="F16" s="1332"/>
      <c r="G16" s="1334"/>
      <c r="H16" s="1336"/>
      <c r="I16" s="1144"/>
      <c r="J16" s="833"/>
      <c r="K16" s="781"/>
      <c r="L16" s="781"/>
      <c r="M16" s="781"/>
      <c r="N16" s="1144"/>
      <c r="O16" s="1144"/>
      <c r="P16" s="1144"/>
      <c r="Q16" s="1144"/>
      <c r="R16" s="1144"/>
      <c r="S16" s="1144"/>
      <c r="T16" s="1144"/>
      <c r="U16" s="793"/>
      <c r="V16" s="1144"/>
      <c r="W16" s="781"/>
      <c r="X16" s="1144"/>
      <c r="Y16" s="781"/>
      <c r="Z16" s="1144"/>
      <c r="AA16" s="1144"/>
      <c r="AB16" s="777"/>
    </row>
    <row r="17" spans="1:28" s="778" customFormat="1" ht="19.899999999999999" customHeight="1" outlineLevel="1" thickTop="1" x14ac:dyDescent="0.25">
      <c r="A17" s="1144"/>
      <c r="B17" s="786" t="s">
        <v>413</v>
      </c>
      <c r="C17" s="787" t="s">
        <v>1</v>
      </c>
      <c r="D17" s="1142">
        <v>0.01</v>
      </c>
      <c r="E17" s="1144"/>
      <c r="F17" s="1144"/>
      <c r="G17" s="1144"/>
      <c r="H17" s="781"/>
      <c r="I17" s="1144"/>
      <c r="J17" s="1144"/>
      <c r="K17" s="1144"/>
      <c r="L17" s="1144"/>
      <c r="M17" s="1144"/>
      <c r="N17" s="1144"/>
      <c r="O17" s="1144"/>
      <c r="P17" s="1144"/>
      <c r="Q17" s="1144"/>
      <c r="R17" s="1144"/>
      <c r="S17" s="1144"/>
      <c r="T17" s="1144"/>
      <c r="U17" s="793"/>
      <c r="V17" s="1144"/>
      <c r="W17" s="781"/>
      <c r="X17" s="1144"/>
      <c r="Y17" s="781"/>
      <c r="Z17" s="1144"/>
      <c r="AA17" s="1144"/>
      <c r="AB17" s="777"/>
    </row>
    <row r="18" spans="1:28" s="778" customFormat="1" ht="19.899999999999999" customHeight="1" outlineLevel="1" x14ac:dyDescent="0.25">
      <c r="A18" s="1144"/>
      <c r="B18" s="786" t="s">
        <v>414</v>
      </c>
      <c r="C18" s="787" t="s">
        <v>1</v>
      </c>
      <c r="D18" s="1142">
        <v>0.05</v>
      </c>
      <c r="E18" s="1144"/>
      <c r="F18" s="1144"/>
      <c r="G18" s="1144"/>
      <c r="H18" s="781"/>
      <c r="I18" s="1144"/>
      <c r="J18" s="1144"/>
      <c r="K18" s="1144"/>
      <c r="L18" s="1144"/>
      <c r="M18" s="1144"/>
      <c r="N18" s="1144"/>
      <c r="O18" s="1144"/>
      <c r="P18" s="1144"/>
      <c r="Q18" s="1144"/>
      <c r="R18" s="1144"/>
      <c r="S18" s="1144"/>
      <c r="T18" s="1144"/>
      <c r="U18" s="793"/>
      <c r="V18" s="1144"/>
      <c r="W18" s="781"/>
      <c r="X18" s="1144"/>
      <c r="Y18" s="781"/>
      <c r="Z18" s="1144"/>
      <c r="AA18" s="1144"/>
      <c r="AB18" s="777"/>
    </row>
    <row r="19" spans="1:28" s="778" customFormat="1" ht="19.899999999999999" customHeight="1" outlineLevel="1" x14ac:dyDescent="0.25">
      <c r="A19" s="1144"/>
      <c r="B19" s="786" t="s">
        <v>415</v>
      </c>
      <c r="C19" s="835" t="s">
        <v>1</v>
      </c>
      <c r="D19" s="836">
        <v>2.5000000000000001E-2</v>
      </c>
      <c r="E19" s="1144"/>
      <c r="F19" s="1144"/>
      <c r="G19" s="1144"/>
      <c r="H19" s="781"/>
      <c r="I19" s="1144"/>
      <c r="J19" s="1144"/>
      <c r="K19" s="1144"/>
      <c r="L19" s="1144"/>
      <c r="M19" s="1144"/>
      <c r="N19" s="1144"/>
      <c r="O19" s="1144"/>
      <c r="P19" s="1144"/>
      <c r="Q19" s="1144"/>
      <c r="R19" s="1144"/>
      <c r="S19" s="1144"/>
      <c r="T19" s="1144"/>
      <c r="U19" s="793"/>
      <c r="V19" s="1144"/>
      <c r="W19" s="781"/>
      <c r="X19" s="1144"/>
      <c r="Y19" s="781"/>
      <c r="Z19" s="1144"/>
      <c r="AA19" s="1144"/>
      <c r="AB19" s="777"/>
    </row>
    <row r="20" spans="1:28" s="778" customFormat="1" ht="34.9" customHeight="1" outlineLevel="1" x14ac:dyDescent="0.25">
      <c r="A20" s="1144"/>
      <c r="B20" s="837" t="s">
        <v>416</v>
      </c>
      <c r="C20" s="787" t="s">
        <v>385</v>
      </c>
      <c r="D20" s="838">
        <f>D10*D12*(1+D17)*(1+D18)*(1+D19)*D15/1000000</f>
        <v>44.821289297913665</v>
      </c>
      <c r="E20" s="1144"/>
      <c r="F20" s="1144"/>
      <c r="G20" s="1144"/>
      <c r="H20" s="781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793"/>
      <c r="V20" s="1144"/>
      <c r="W20" s="781"/>
      <c r="X20" s="1144"/>
      <c r="Y20" s="781"/>
      <c r="Z20" s="1144"/>
      <c r="AA20" s="1144"/>
      <c r="AB20" s="777"/>
    </row>
    <row r="21" spans="1:28" s="778" customFormat="1" ht="34.9" customHeight="1" outlineLevel="1" thickBot="1" x14ac:dyDescent="0.3">
      <c r="A21" s="1144"/>
      <c r="B21" s="839" t="s">
        <v>417</v>
      </c>
      <c r="C21" s="816" t="s">
        <v>407</v>
      </c>
      <c r="D21" s="817">
        <f>D20*1000000/D10</f>
        <v>1.712848470931511</v>
      </c>
      <c r="E21" s="1144"/>
      <c r="F21" s="1144"/>
      <c r="G21" s="1144"/>
      <c r="H21" s="781"/>
      <c r="I21" s="1144"/>
      <c r="J21" s="781"/>
      <c r="K21" s="781"/>
      <c r="L21" s="781"/>
      <c r="M21" s="781"/>
      <c r="N21" s="1144"/>
      <c r="O21" s="820"/>
      <c r="P21" s="1144"/>
      <c r="Q21" s="827"/>
      <c r="R21" s="1144"/>
      <c r="S21" s="820"/>
      <c r="T21" s="1144"/>
      <c r="U21" s="820"/>
      <c r="V21" s="1144"/>
      <c r="W21" s="781"/>
      <c r="X21" s="1144"/>
      <c r="Y21" s="781"/>
      <c r="Z21" s="1144"/>
      <c r="AA21" s="1144"/>
      <c r="AB21" s="777"/>
    </row>
    <row r="22" spans="1:28" s="778" customFormat="1" ht="7.5" customHeight="1" outlineLevel="1" thickTop="1" thickBot="1" x14ac:dyDescent="0.3">
      <c r="A22" s="1144"/>
      <c r="B22" s="1144"/>
      <c r="C22" s="781"/>
      <c r="D22" s="1144"/>
      <c r="E22" s="789"/>
      <c r="F22" s="1144"/>
      <c r="G22" s="1144"/>
      <c r="H22" s="781"/>
      <c r="I22" s="1144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4"/>
      <c r="U22" s="820"/>
      <c r="V22" s="1144"/>
      <c r="W22" s="781"/>
      <c r="X22" s="1144"/>
      <c r="Y22" s="781"/>
      <c r="Z22" s="1144"/>
      <c r="AA22" s="1144"/>
      <c r="AB22" s="777"/>
    </row>
    <row r="23" spans="1:28" s="778" customFormat="1" ht="19.899999999999999" customHeight="1" outlineLevel="1" thickTop="1" x14ac:dyDescent="0.25">
      <c r="A23" s="1144"/>
      <c r="B23" s="822" t="s">
        <v>418</v>
      </c>
      <c r="C23" s="823" t="s">
        <v>371</v>
      </c>
      <c r="D23" s="824" t="s">
        <v>372</v>
      </c>
      <c r="E23" s="1144"/>
      <c r="F23" s="1337" t="s">
        <v>419</v>
      </c>
      <c r="G23" s="1338"/>
      <c r="H23" s="1339"/>
      <c r="I23" s="1144"/>
      <c r="J23" s="1144"/>
      <c r="K23" s="781"/>
      <c r="L23" s="781"/>
      <c r="M23" s="781"/>
      <c r="N23" s="1144"/>
      <c r="O23" s="1144"/>
      <c r="P23" s="1144"/>
      <c r="Q23" s="1144"/>
      <c r="R23" s="1144"/>
      <c r="S23" s="1144"/>
      <c r="T23" s="1144"/>
      <c r="U23" s="793"/>
      <c r="V23" s="1144"/>
      <c r="W23" s="781"/>
      <c r="X23" s="1144"/>
      <c r="Y23" s="781"/>
      <c r="Z23" s="1144"/>
      <c r="AA23" s="1144"/>
      <c r="AB23" s="777"/>
    </row>
    <row r="24" spans="1:28" s="778" customFormat="1" ht="19.899999999999999" customHeight="1" outlineLevel="1" x14ac:dyDescent="0.25">
      <c r="A24" s="1144"/>
      <c r="B24" s="837" t="s">
        <v>420</v>
      </c>
      <c r="C24" s="787" t="s">
        <v>1</v>
      </c>
      <c r="D24" s="840">
        <v>0</v>
      </c>
      <c r="E24" s="1144"/>
      <c r="F24" s="805" t="s">
        <v>421</v>
      </c>
      <c r="G24" s="795" t="s">
        <v>422</v>
      </c>
      <c r="H24" s="841">
        <f>D26*(D10)/G11</f>
        <v>261.21306900741695</v>
      </c>
      <c r="I24" s="1144"/>
      <c r="J24" s="1144"/>
      <c r="K24" s="781"/>
      <c r="L24" s="781"/>
      <c r="M24" s="781"/>
      <c r="N24" s="794"/>
      <c r="O24" s="794"/>
      <c r="P24" s="794"/>
      <c r="Q24" s="794"/>
      <c r="R24" s="794"/>
      <c r="S24" s="1144"/>
      <c r="T24" s="1144"/>
      <c r="U24" s="793"/>
      <c r="V24" s="1144"/>
      <c r="W24" s="781"/>
      <c r="X24" s="1144"/>
      <c r="Y24" s="781"/>
      <c r="Z24" s="1144"/>
      <c r="AA24" s="1144"/>
      <c r="AB24" s="777"/>
    </row>
    <row r="25" spans="1:28" s="778" customFormat="1" ht="34.9" customHeight="1" outlineLevel="1" thickBot="1" x14ac:dyDescent="0.3">
      <c r="A25" s="1144"/>
      <c r="B25" s="805" t="s">
        <v>423</v>
      </c>
      <c r="C25" s="795" t="s">
        <v>385</v>
      </c>
      <c r="D25" s="832">
        <f>D20</f>
        <v>44.821289297913665</v>
      </c>
      <c r="E25" s="1144"/>
      <c r="F25" s="839" t="s">
        <v>424</v>
      </c>
      <c r="G25" s="816" t="s">
        <v>425</v>
      </c>
      <c r="H25" s="842">
        <f>H24/12</f>
        <v>21.767755750618079</v>
      </c>
      <c r="I25" s="1144"/>
      <c r="J25" s="1144"/>
      <c r="K25" s="793"/>
      <c r="L25" s="793"/>
      <c r="M25" s="793"/>
      <c r="N25" s="794"/>
      <c r="O25" s="794"/>
      <c r="P25" s="794"/>
      <c r="Q25" s="794"/>
      <c r="R25" s="794"/>
      <c r="S25" s="1144"/>
      <c r="T25" s="1144"/>
      <c r="U25" s="793"/>
      <c r="V25" s="1144"/>
      <c r="W25" s="781"/>
      <c r="X25" s="1144"/>
      <c r="Y25" s="781"/>
      <c r="Z25" s="1144"/>
      <c r="AA25" s="1144"/>
      <c r="AB25" s="777"/>
    </row>
    <row r="26" spans="1:28" s="778" customFormat="1" ht="34.9" customHeight="1" outlineLevel="1" thickTop="1" thickBot="1" x14ac:dyDescent="0.3">
      <c r="A26" s="1144"/>
      <c r="B26" s="839" t="s">
        <v>426</v>
      </c>
      <c r="C26" s="816" t="s">
        <v>407</v>
      </c>
      <c r="D26" s="817">
        <f>(D25*1000000/(D8*D11))*(1-D24)</f>
        <v>1.712848470931511</v>
      </c>
      <c r="E26" s="1144"/>
      <c r="F26" s="1144"/>
      <c r="G26" s="1144"/>
      <c r="H26" s="781"/>
      <c r="I26" s="1144"/>
      <c r="J26" s="781"/>
      <c r="K26" s="793"/>
      <c r="L26" s="793"/>
      <c r="M26" s="793"/>
      <c r="N26" s="794"/>
      <c r="O26" s="794"/>
      <c r="P26" s="794"/>
      <c r="Q26" s="794"/>
      <c r="R26" s="794"/>
      <c r="S26" s="1144"/>
      <c r="T26" s="1144"/>
      <c r="U26" s="793"/>
      <c r="V26" s="1144"/>
      <c r="W26" s="781"/>
      <c r="X26" s="1144"/>
      <c r="Y26" s="781"/>
      <c r="Z26" s="1144"/>
      <c r="AA26" s="1144"/>
      <c r="AB26" s="777"/>
    </row>
    <row r="27" spans="1:28" s="778" customFormat="1" ht="7.15" customHeight="1" thickTop="1" x14ac:dyDescent="0.25">
      <c r="A27" s="1144"/>
      <c r="B27" s="1144"/>
      <c r="C27" s="781"/>
      <c r="D27" s="1144"/>
      <c r="E27" s="1144"/>
      <c r="F27" s="1144"/>
      <c r="G27" s="1144"/>
      <c r="H27" s="781"/>
      <c r="I27" s="781"/>
      <c r="J27" s="781"/>
      <c r="K27" s="781"/>
      <c r="L27" s="781"/>
      <c r="M27" s="781"/>
      <c r="N27" s="1144"/>
      <c r="O27" s="1144"/>
      <c r="P27" s="1144"/>
      <c r="Q27" s="1144"/>
      <c r="R27" s="1144"/>
      <c r="S27" s="1144"/>
      <c r="T27" s="1144"/>
      <c r="U27" s="793"/>
      <c r="V27" s="1144"/>
      <c r="W27" s="781"/>
      <c r="X27" s="1144"/>
      <c r="Y27" s="781"/>
      <c r="Z27" s="1144"/>
      <c r="AA27" s="1144"/>
      <c r="AB27" s="777"/>
    </row>
    <row r="28" spans="1:28" s="778" customFormat="1" ht="7.15" customHeight="1" x14ac:dyDescent="0.25">
      <c r="A28" s="1144"/>
      <c r="B28" s="1144"/>
      <c r="C28" s="781"/>
      <c r="D28" s="1144"/>
      <c r="E28" s="1144"/>
      <c r="F28" s="1144"/>
      <c r="G28" s="1144"/>
      <c r="H28" s="781"/>
      <c r="I28" s="1144"/>
      <c r="J28" s="781"/>
      <c r="K28" s="781"/>
      <c r="L28" s="781"/>
      <c r="M28" s="781"/>
      <c r="N28" s="1144"/>
      <c r="O28" s="1144"/>
      <c r="P28" s="1144"/>
      <c r="Q28" s="1144"/>
      <c r="R28" s="1144"/>
      <c r="S28" s="1144"/>
      <c r="T28" s="1144"/>
      <c r="U28" s="793"/>
      <c r="V28" s="1144"/>
      <c r="W28" s="781"/>
      <c r="X28" s="1144"/>
      <c r="Y28" s="781"/>
      <c r="Z28" s="1144"/>
      <c r="AA28" s="1144"/>
      <c r="AB28" s="777"/>
    </row>
    <row r="29" spans="1:28" s="778" customFormat="1" ht="61.15" customHeight="1" x14ac:dyDescent="0.25">
      <c r="A29" s="1144"/>
      <c r="B29" s="1313" t="s">
        <v>427</v>
      </c>
      <c r="C29" s="1314"/>
      <c r="D29" s="1314"/>
      <c r="E29" s="1315"/>
      <c r="F29" s="1144"/>
      <c r="G29" s="1144"/>
      <c r="H29" s="781"/>
      <c r="I29" s="1144"/>
      <c r="J29" s="781"/>
      <c r="K29" s="1316" t="s">
        <v>428</v>
      </c>
      <c r="L29" s="1317"/>
      <c r="M29" s="1318"/>
      <c r="N29" s="1144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144"/>
      <c r="AB29" s="777"/>
    </row>
    <row r="30" spans="1:28" s="778" customFormat="1" ht="4.9000000000000004" customHeight="1" x14ac:dyDescent="0.25">
      <c r="A30" s="1144"/>
      <c r="B30" s="1144"/>
      <c r="C30" s="781"/>
      <c r="D30" s="1144"/>
      <c r="E30" s="1144"/>
      <c r="F30" s="1144"/>
      <c r="G30" s="1144"/>
      <c r="H30" s="781"/>
      <c r="I30" s="1144"/>
      <c r="J30" s="781"/>
      <c r="K30" s="781"/>
      <c r="L30" s="781"/>
      <c r="M30" s="781"/>
      <c r="N30" s="1144"/>
      <c r="O30" s="1144"/>
      <c r="P30" s="1144"/>
      <c r="Q30" s="1144"/>
      <c r="R30" s="1144"/>
      <c r="S30" s="1144"/>
      <c r="T30" s="1144"/>
      <c r="U30" s="793"/>
      <c r="V30" s="1144"/>
      <c r="W30" s="781"/>
      <c r="X30" s="1144"/>
      <c r="Y30" s="781"/>
      <c r="Z30" s="1144"/>
      <c r="AA30" s="1144"/>
      <c r="AB30" s="777"/>
    </row>
    <row r="31" spans="1:28" s="778" customFormat="1" ht="19.899999999999999" customHeight="1" x14ac:dyDescent="0.25">
      <c r="A31" s="1144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144"/>
      <c r="O31" s="1324" t="s">
        <v>433</v>
      </c>
      <c r="P31" s="1144"/>
      <c r="Q31" s="1324" t="s">
        <v>434</v>
      </c>
      <c r="R31" s="1144"/>
      <c r="S31" s="1324" t="s">
        <v>435</v>
      </c>
      <c r="T31" s="1144"/>
      <c r="U31" s="1324" t="s">
        <v>436</v>
      </c>
      <c r="V31" s="1144"/>
      <c r="W31" s="1324" t="s">
        <v>436</v>
      </c>
      <c r="X31" s="1144"/>
      <c r="Y31" s="1324" t="s">
        <v>437</v>
      </c>
      <c r="Z31" s="1144"/>
      <c r="AA31" s="1144"/>
      <c r="AB31" s="777"/>
    </row>
    <row r="32" spans="1:28" s="778" customFormat="1" ht="19.899999999999999" customHeight="1" x14ac:dyDescent="0.25">
      <c r="A32" s="1144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261.21306900741695</v>
      </c>
      <c r="M32" s="845">
        <f>H25</f>
        <v>21.767755750618079</v>
      </c>
      <c r="N32" s="846"/>
      <c r="O32" s="1325"/>
      <c r="P32" s="846"/>
      <c r="Q32" s="1325"/>
      <c r="R32" s="846"/>
      <c r="S32" s="1325"/>
      <c r="T32" s="1144"/>
      <c r="U32" s="1325"/>
      <c r="V32" s="1144"/>
      <c r="W32" s="1325"/>
      <c r="X32" s="1144"/>
      <c r="Y32" s="1326"/>
      <c r="Z32" s="1144"/>
      <c r="AA32" s="1144"/>
      <c r="AB32" s="777"/>
    </row>
    <row r="33" spans="1:28" s="778" customFormat="1" ht="15" customHeight="1" x14ac:dyDescent="0.25">
      <c r="A33" s="1144"/>
      <c r="B33" s="1144"/>
      <c r="C33" s="781"/>
      <c r="D33" s="1144"/>
      <c r="E33" s="1144"/>
      <c r="F33" s="1144"/>
      <c r="G33" s="1144"/>
      <c r="H33" s="781"/>
      <c r="I33" s="1144"/>
      <c r="J33" s="781"/>
      <c r="K33" s="781"/>
      <c r="L33" s="781"/>
      <c r="M33" s="781"/>
      <c r="N33" s="1144"/>
      <c r="O33" s="806">
        <f>O36+O49+O62+O75+O88</f>
        <v>171589</v>
      </c>
      <c r="P33" s="1144"/>
      <c r="Q33" s="806">
        <f>(Q36+Q49+Q62+Q75+Q88)*12/1000000</f>
        <v>45.087047836550859</v>
      </c>
      <c r="R33" s="1144"/>
      <c r="S33" s="806">
        <f>12*S34</f>
        <v>257977.38543486263</v>
      </c>
      <c r="T33" s="1144" t="s">
        <v>438</v>
      </c>
      <c r="U33" s="806">
        <f>12*U34</f>
        <v>26566304.926869024</v>
      </c>
      <c r="V33" s="1144" t="s">
        <v>439</v>
      </c>
      <c r="W33" s="806">
        <f>12*W34</f>
        <v>26566304.926869024</v>
      </c>
      <c r="X33" s="1144" t="s">
        <v>439</v>
      </c>
      <c r="Y33" s="1311">
        <v>0.1</v>
      </c>
      <c r="Z33" s="1144"/>
      <c r="AA33" s="1144"/>
      <c r="AB33" s="777"/>
    </row>
    <row r="34" spans="1:28" s="778" customFormat="1" ht="34.9" customHeight="1" outlineLevel="1" x14ac:dyDescent="0.25">
      <c r="A34" s="1144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144" t="s">
        <v>441</v>
      </c>
      <c r="U34" s="806">
        <f>U36+U49+U62+U75+U88</f>
        <v>2213858.743905752</v>
      </c>
      <c r="V34" s="1144" t="s">
        <v>442</v>
      </c>
      <c r="W34" s="806">
        <f>W36+W49+W62+W75+W88</f>
        <v>2213858.743905752</v>
      </c>
      <c r="X34" s="1144" t="s">
        <v>442</v>
      </c>
      <c r="Y34" s="1312"/>
      <c r="Z34" s="1144"/>
      <c r="AA34" s="1144"/>
      <c r="AB34" s="777"/>
    </row>
    <row r="35" spans="1:28" s="778" customFormat="1" ht="25.15" customHeight="1" outlineLevel="1" x14ac:dyDescent="0.25">
      <c r="A35" s="1144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32.47307000453533</v>
      </c>
      <c r="R35" s="846"/>
      <c r="S35" s="847"/>
      <c r="T35" s="1144"/>
      <c r="U35" s="849"/>
      <c r="V35" s="1144"/>
      <c r="W35" s="849"/>
      <c r="X35" s="1144"/>
      <c r="Y35" s="850"/>
      <c r="Z35" s="1144"/>
      <c r="AA35" s="1144"/>
      <c r="AB35" s="777"/>
    </row>
    <row r="36" spans="1:28" s="778" customFormat="1" ht="36" customHeight="1" outlineLevel="1" x14ac:dyDescent="0.25">
      <c r="A36" s="1144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144"/>
      <c r="O36" s="806">
        <f>O39+O41+O42+O43+O44+O45</f>
        <v>40</v>
      </c>
      <c r="P36" s="1144"/>
      <c r="Q36" s="853">
        <f>Q39+Q41+Q42+Q43+Q44+Q45</f>
        <v>1298.9228001814131</v>
      </c>
      <c r="R36" s="1144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144" t="s">
        <v>449</v>
      </c>
      <c r="W36" s="1283">
        <f>W39*O39+W41*O41+W42*O42+W43*O43+W44*O44+W45*O45</f>
        <v>693.88178950799693</v>
      </c>
      <c r="X36" s="1144" t="s">
        <v>449</v>
      </c>
      <c r="Y36" s="854" t="s">
        <v>450</v>
      </c>
      <c r="Z36" s="1144"/>
      <c r="AA36" s="1144"/>
      <c r="AB36" s="777"/>
    </row>
    <row r="37" spans="1:28" s="778" customFormat="1" ht="24" customHeight="1" outlineLevel="1" x14ac:dyDescent="0.25">
      <c r="A37" s="1144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144"/>
      <c r="O37" s="859" t="s">
        <v>455</v>
      </c>
      <c r="P37" s="1144"/>
      <c r="Q37" s="860">
        <v>0.75</v>
      </c>
      <c r="R37" s="1144"/>
      <c r="S37" s="1284"/>
      <c r="T37" s="1286"/>
      <c r="U37" s="1284"/>
      <c r="V37" s="1144"/>
      <c r="W37" s="1287"/>
      <c r="X37" s="1144"/>
      <c r="Y37" s="861">
        <f>$Y$33</f>
        <v>0.1</v>
      </c>
      <c r="Z37" s="1144"/>
      <c r="AA37" s="1144"/>
      <c r="AB37" s="777"/>
    </row>
    <row r="38" spans="1:28" s="778" customFormat="1" ht="24" customHeight="1" outlineLevel="1" x14ac:dyDescent="0.25">
      <c r="A38" s="1144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4"/>
      <c r="O38" s="868"/>
      <c r="P38" s="1144"/>
      <c r="Q38" s="869"/>
      <c r="R38" s="1144"/>
      <c r="S38" s="870"/>
      <c r="T38" s="1144"/>
      <c r="U38" s="870"/>
      <c r="V38" s="1144"/>
      <c r="W38" s="871"/>
      <c r="X38" s="1144"/>
      <c r="Y38" s="871"/>
      <c r="Z38" s="1144"/>
      <c r="AA38" s="1144"/>
      <c r="AB38" s="777"/>
    </row>
    <row r="39" spans="1:28" s="778" customFormat="1" ht="24" customHeight="1" outlineLevel="1" x14ac:dyDescent="0.25">
      <c r="A39" s="1144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144"/>
      <c r="O39" s="877">
        <v>2</v>
      </c>
      <c r="P39" s="1144"/>
      <c r="Q39" s="878">
        <f>O39*$Q$37*M39+O39*(1-$Q$37)*K39</f>
        <v>12.924604976929484</v>
      </c>
      <c r="R39" s="1144"/>
      <c r="S39" s="879">
        <f>IF(AND(Q39&lt;&gt;0,O39&lt;&gt;0),Q39*(1-D17-D18-D19)/O39/30/(($D$25*1000000/$D$8))*1000,0)</f>
        <v>1.1174257151430407</v>
      </c>
      <c r="T39" s="1144" t="s">
        <v>459</v>
      </c>
      <c r="U39" s="880">
        <f>S39*O39*30*$D$11*(1+$D$24)/1000</f>
        <v>6.9042964130148921</v>
      </c>
      <c r="V39" s="1144" t="s">
        <v>460</v>
      </c>
      <c r="W39" s="880">
        <f>IF(O39&lt;&gt;0,U39/O39,0)</f>
        <v>3.452148206507446</v>
      </c>
      <c r="X39" s="1144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4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4"/>
      <c r="O40" s="868"/>
      <c r="P40" s="1144"/>
      <c r="Q40" s="869"/>
      <c r="R40" s="1144"/>
      <c r="S40" s="885"/>
      <c r="T40" s="1144"/>
      <c r="U40" s="886"/>
      <c r="V40" s="1144"/>
      <c r="W40" s="886"/>
      <c r="X40" s="1144"/>
      <c r="Y40" s="871"/>
      <c r="Z40" s="1144"/>
      <c r="AA40" s="781"/>
      <c r="AB40" s="777"/>
    </row>
    <row r="41" spans="1:28" s="778" customFormat="1" ht="24" customHeight="1" outlineLevel="1" x14ac:dyDescent="0.25">
      <c r="A41" s="1144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144"/>
      <c r="O41" s="877">
        <v>2</v>
      </c>
      <c r="P41" s="1144"/>
      <c r="Q41" s="878">
        <f>O41*$Q$37*M41+O41*(1-$Q$37)*K41</f>
        <v>37.481354433095504</v>
      </c>
      <c r="R41" s="1144"/>
      <c r="S41" s="879">
        <f>IF(AND(Q41&lt;&gt;0,O41&lt;&gt;0),Q41*(1-D17-D18-D19)/O41/30/(($D$25*1000000/$D$8))*1000,0)</f>
        <v>3.2405345739148186</v>
      </c>
      <c r="T41" s="1144" t="s">
        <v>459</v>
      </c>
      <c r="U41" s="880">
        <f>S41*O41*30*$D$11*(1+$D$24)/1000</f>
        <v>20.022459597743193</v>
      </c>
      <c r="V41" s="1144" t="s">
        <v>460</v>
      </c>
      <c r="W41" s="880">
        <f>IF(O41&lt;&gt;0,U41/O41,0)</f>
        <v>10.011229798871597</v>
      </c>
      <c r="X41" s="1144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4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144"/>
      <c r="O42" s="877">
        <v>28</v>
      </c>
      <c r="P42" s="1144"/>
      <c r="Q42" s="878">
        <f>O42*$Q$37*M42+O42*(1-$Q$37)*K42</f>
        <v>886.62790141736264</v>
      </c>
      <c r="R42" s="1144"/>
      <c r="S42" s="879">
        <f>IF(AND(Q42&lt;&gt;0,O42&lt;&gt;0),Q42*(1-D17-D18-D19)/O42/30/(($D$25*1000000/$D$8))*1000,0)</f>
        <v>5.4753860042009004</v>
      </c>
      <c r="T42" s="1144" t="s">
        <v>459</v>
      </c>
      <c r="U42" s="880">
        <f>S42*O42*30*$D$11*(1+$D$24)/1000</f>
        <v>473.6347339328218</v>
      </c>
      <c r="V42" s="1144" t="s">
        <v>460</v>
      </c>
      <c r="W42" s="880">
        <f>IF(O42&lt;&gt;0,U42/O42,0)</f>
        <v>16.915526211886494</v>
      </c>
      <c r="X42" s="1144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4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144"/>
      <c r="O43" s="877">
        <v>8</v>
      </c>
      <c r="P43" s="1144"/>
      <c r="Q43" s="878">
        <f>O43*$Q$37*M43+O43*(1-$Q$37)*K43</f>
        <v>361.88893935402552</v>
      </c>
      <c r="R43" s="1144"/>
      <c r="S43" s="879">
        <f>IF(AND(Q43&lt;&gt;0,O43&lt;&gt;0),Q43*(1-D17-D18-D19)/O43/30/(($D$25*1000000/$D$8))*1000,0)</f>
        <v>7.8219800060012856</v>
      </c>
      <c r="T43" s="1144" t="s">
        <v>459</v>
      </c>
      <c r="U43" s="880">
        <f>S43*O43*30*$D$11*(1+$D$24)/1000</f>
        <v>193.32029956441701</v>
      </c>
      <c r="V43" s="1144" t="s">
        <v>460</v>
      </c>
      <c r="W43" s="880">
        <f>IF(O43&lt;&gt;0,U43/O43,0)</f>
        <v>24.165037445552127</v>
      </c>
      <c r="X43" s="1144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4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144"/>
      <c r="O44" s="877">
        <v>0</v>
      </c>
      <c r="P44" s="1144"/>
      <c r="Q44" s="878">
        <f>O44*$Q$37*M44+O44*(1-$Q$37)*K44</f>
        <v>0</v>
      </c>
      <c r="R44" s="1144"/>
      <c r="S44" s="879">
        <f>IF(AND(Q44&lt;&gt;0,O44&lt;&gt;0),Q44*(1-D17-D18-D19)/O44/30/(($D$25*1000000/$D$8))*1000,0)</f>
        <v>0</v>
      </c>
      <c r="T44" s="1144" t="s">
        <v>459</v>
      </c>
      <c r="U44" s="880">
        <f>S44*O44*30*$D$11*(1+$D$24)/1000</f>
        <v>0</v>
      </c>
      <c r="V44" s="1144" t="s">
        <v>460</v>
      </c>
      <c r="W44" s="880">
        <f>IF(O44&lt;&gt;0,U44/O44,0)</f>
        <v>0</v>
      </c>
      <c r="X44" s="1144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4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144"/>
      <c r="O45" s="877">
        <v>0</v>
      </c>
      <c r="P45" s="1144"/>
      <c r="Q45" s="878">
        <f>O45*$Q$37*M45+O45*(1-$Q$37)*K45</f>
        <v>0</v>
      </c>
      <c r="R45" s="1144"/>
      <c r="S45" s="879">
        <f>IF(AND(Q45&lt;&gt;0,O45&lt;&gt;0),Q45*(1-D17-D18-D19)/O45/30/(($D$25*1000000/$D$8))*1000,0)</f>
        <v>0</v>
      </c>
      <c r="T45" s="1144" t="s">
        <v>459</v>
      </c>
      <c r="U45" s="880">
        <f>S45*O45*30*$D$11*(1+$D$24)/1000</f>
        <v>0</v>
      </c>
      <c r="V45" s="1144" t="s">
        <v>460</v>
      </c>
      <c r="W45" s="880">
        <f>IF(O45&lt;&gt;0,U45/O45,0)</f>
        <v>0</v>
      </c>
      <c r="X45" s="1144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4"/>
      <c r="B46" s="1144"/>
      <c r="C46" s="781"/>
      <c r="D46" s="1144"/>
      <c r="E46" s="1144"/>
      <c r="F46" s="781"/>
      <c r="G46" s="781"/>
      <c r="H46" s="781"/>
      <c r="I46" s="1144"/>
      <c r="J46" s="781"/>
      <c r="K46" s="781"/>
      <c r="L46" s="781"/>
      <c r="M46" s="781"/>
      <c r="N46" s="1144"/>
      <c r="O46" s="1144"/>
      <c r="P46" s="1144"/>
      <c r="Q46" s="1144"/>
      <c r="R46" s="1144"/>
      <c r="S46" s="1144"/>
      <c r="T46" s="1144"/>
      <c r="U46" s="1144"/>
      <c r="V46" s="1144"/>
      <c r="W46" s="781"/>
      <c r="X46" s="1144"/>
      <c r="Y46" s="781"/>
      <c r="Z46" s="1144"/>
      <c r="AA46" s="1144"/>
      <c r="AB46" s="777"/>
    </row>
    <row r="47" spans="1:28" s="778" customFormat="1" ht="34.9" customHeight="1" outlineLevel="1" x14ac:dyDescent="0.25">
      <c r="A47" s="1144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144"/>
      <c r="P47" s="846"/>
      <c r="Q47" s="1144"/>
      <c r="R47" s="846"/>
      <c r="S47" s="1144"/>
      <c r="T47" s="1144"/>
      <c r="U47" s="1144"/>
      <c r="V47" s="1144"/>
      <c r="W47" s="781"/>
      <c r="X47" s="1144"/>
      <c r="Y47" s="781"/>
      <c r="Z47" s="1144"/>
      <c r="AA47" s="1144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4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144"/>
      <c r="O49" s="806">
        <f>O52+O54+O55+O56+O57+O58</f>
        <v>127341</v>
      </c>
      <c r="P49" s="1144"/>
      <c r="Q49" s="894">
        <f>Q52+Q54+Q55+Q56+Q57+Q58</f>
        <v>3304632.4864088376</v>
      </c>
      <c r="R49" s="1144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144" t="s">
        <v>449</v>
      </c>
      <c r="W49" s="1309">
        <f>W52*O52+W54*O54+W55*O55+W56*O56+W57*O57+W58*O58</f>
        <v>1765327.6261032382</v>
      </c>
      <c r="X49" s="1144" t="s">
        <v>449</v>
      </c>
      <c r="Y49" s="854" t="s">
        <v>450</v>
      </c>
      <c r="Z49" s="1144"/>
      <c r="AA49" s="1144"/>
      <c r="AB49" s="777"/>
    </row>
    <row r="50" spans="1:28" s="778" customFormat="1" ht="24" customHeight="1" outlineLevel="1" x14ac:dyDescent="0.25">
      <c r="A50" s="1144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144"/>
      <c r="O50" s="895" t="s">
        <v>455</v>
      </c>
      <c r="P50" s="1144"/>
      <c r="Q50" s="860">
        <v>0.75</v>
      </c>
      <c r="R50" s="1144"/>
      <c r="S50" s="1284"/>
      <c r="T50" s="1286"/>
      <c r="U50" s="1284"/>
      <c r="V50" s="1144"/>
      <c r="W50" s="1310"/>
      <c r="X50" s="1144"/>
      <c r="Y50" s="861">
        <f>$Y$33</f>
        <v>0.1</v>
      </c>
      <c r="Z50" s="1144"/>
      <c r="AA50" s="1144"/>
      <c r="AB50" s="777"/>
    </row>
    <row r="51" spans="1:28" s="778" customFormat="1" ht="24" customHeight="1" outlineLevel="1" x14ac:dyDescent="0.25">
      <c r="A51" s="1144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4"/>
      <c r="O51" s="868"/>
      <c r="P51" s="1144"/>
      <c r="Q51" s="869"/>
      <c r="R51" s="1144"/>
      <c r="S51" s="870"/>
      <c r="T51" s="1144"/>
      <c r="U51" s="870"/>
      <c r="V51" s="1144"/>
      <c r="W51" s="850"/>
      <c r="X51" s="1144"/>
      <c r="Y51" s="896"/>
      <c r="Z51" s="1144"/>
      <c r="AA51" s="1144"/>
      <c r="AB51" s="777"/>
    </row>
    <row r="52" spans="1:28" s="778" customFormat="1" ht="24" customHeight="1" outlineLevel="1" x14ac:dyDescent="0.25">
      <c r="A52" s="1144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144"/>
      <c r="O52" s="877">
        <v>62341</v>
      </c>
      <c r="P52" s="1144"/>
      <c r="Q52" s="878">
        <f>O52*$Q$50*M52+O52*(1-$Q$50)*K52</f>
        <v>565020.12520531612</v>
      </c>
      <c r="R52" s="1144"/>
      <c r="S52" s="879">
        <f>IF(AND(Q52&lt;&gt;0,O52&lt;&gt;0),Q52*(1-D17-D18-D19)/O52/30/(($D$25*1000000/$D$8))*1000,0)</f>
        <v>1.5671895654881145</v>
      </c>
      <c r="T52" s="1144" t="s">
        <v>459</v>
      </c>
      <c r="U52" s="880">
        <f>S52*O52*30*$D$11*(1+$D$24)/1000</f>
        <v>301832.54580698768</v>
      </c>
      <c r="V52" s="1144" t="s">
        <v>460</v>
      </c>
      <c r="W52" s="880">
        <f>IF(O52&lt;&gt;0,U52/O52,0)</f>
        <v>4.8416378596266929</v>
      </c>
      <c r="X52" s="1144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4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4"/>
      <c r="O53" s="868"/>
      <c r="P53" s="1144"/>
      <c r="Q53" s="869"/>
      <c r="R53" s="1144"/>
      <c r="S53" s="885"/>
      <c r="T53" s="1144"/>
      <c r="U53" s="886"/>
      <c r="V53" s="1144"/>
      <c r="W53" s="897"/>
      <c r="X53" s="1144"/>
      <c r="Y53" s="896"/>
      <c r="Z53" s="1144"/>
      <c r="AA53" s="781"/>
      <c r="AB53" s="777"/>
    </row>
    <row r="54" spans="1:28" s="778" customFormat="1" ht="24" customHeight="1" outlineLevel="1" x14ac:dyDescent="0.25">
      <c r="A54" s="1144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144"/>
      <c r="O54" s="877">
        <v>42500</v>
      </c>
      <c r="P54" s="1144"/>
      <c r="Q54" s="878">
        <f>O54*$Q$50*M54+O54*(1-$Q$50)*K54</f>
        <v>1225616.0563278911</v>
      </c>
      <c r="R54" s="1144"/>
      <c r="S54" s="879">
        <f>IF(AND(Q54&lt;&gt;0,O54&lt;&gt;0),Q54*(1-D17-D18-D19)/O54/30/(($D$25*1000000/$D$8))*1000,0)</f>
        <v>4.9865122538258193</v>
      </c>
      <c r="T54" s="1144" t="s">
        <v>459</v>
      </c>
      <c r="U54" s="880">
        <f>S54*O54*30*$D$11*(1+$D$24)/1000</f>
        <v>654721.48329042795</v>
      </c>
      <c r="V54" s="1144" t="s">
        <v>460</v>
      </c>
      <c r="W54" s="898">
        <f>IF(O54&lt;&gt;0,U54/O54,0)</f>
        <v>15.405211371539481</v>
      </c>
      <c r="X54" s="1144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4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144"/>
      <c r="O55" s="877">
        <v>10000</v>
      </c>
      <c r="P55" s="1144"/>
      <c r="Q55" s="878">
        <f>O55*$Q$50*M55+O55*(1-$Q$50)*K55</f>
        <v>494366.14036755275</v>
      </c>
      <c r="R55" s="1144"/>
      <c r="S55" s="879">
        <f>IF(AND(Q55&lt;&gt;0,O55&lt;&gt;0),Q55*(1-D17-D18-D19)/O55/30/(($D$25*1000000/$D$8))*1000,0)</f>
        <v>8.5483067208442609</v>
      </c>
      <c r="T55" s="1144" t="s">
        <v>459</v>
      </c>
      <c r="U55" s="880">
        <f>S55*O55*30*$D$11*(1+$D$24)/1000</f>
        <v>264089.33779781964</v>
      </c>
      <c r="V55" s="1144" t="s">
        <v>460</v>
      </c>
      <c r="W55" s="899">
        <f>IF(O55&lt;&gt;0,U55/O55,0)</f>
        <v>26.408933779781965</v>
      </c>
      <c r="X55" s="1144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4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144"/>
      <c r="O56" s="877">
        <v>12500</v>
      </c>
      <c r="P56" s="1144"/>
      <c r="Q56" s="878">
        <f>O56*$Q$50*M56+O56*(1-$Q$50)*K56</f>
        <v>1019630.1645080777</v>
      </c>
      <c r="R56" s="1144"/>
      <c r="S56" s="879">
        <f>IF(AND(Q56&lt;&gt;0,O56&lt;&gt;0),Q56*(1-D17-D18-D19)/O56/30/(($D$25*1000000/$D$8))*1000,0)</f>
        <v>14.104706089393032</v>
      </c>
      <c r="T56" s="1144" t="s">
        <v>459</v>
      </c>
      <c r="U56" s="880">
        <f>S56*O56*30*$D$11*(1+$D$24)/1000</f>
        <v>544684.25920800306</v>
      </c>
      <c r="V56" s="1144" t="s">
        <v>460</v>
      </c>
      <c r="W56" s="899">
        <f>IF(O56&lt;&gt;0,U56/O56,0)</f>
        <v>43.574740736640244</v>
      </c>
      <c r="X56" s="1144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4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144"/>
      <c r="O57" s="877">
        <v>0</v>
      </c>
      <c r="P57" s="1144"/>
      <c r="Q57" s="878">
        <f>O57*$Q$50*M57+O57*(1-$Q$50)*K57</f>
        <v>0</v>
      </c>
      <c r="R57" s="1144"/>
      <c r="S57" s="879">
        <f>IF(AND(Q57&lt;&gt;0,O57&lt;&gt;0),Q57*(1-D17-D18-D19)/O57/30/(($D$25*1000000/$D$8))*1000,0)</f>
        <v>0</v>
      </c>
      <c r="T57" s="1144" t="s">
        <v>459</v>
      </c>
      <c r="U57" s="880">
        <f>S57*O57*30*$D$11*(1+$D$24)/1000</f>
        <v>0</v>
      </c>
      <c r="V57" s="1144" t="s">
        <v>460</v>
      </c>
      <c r="W57" s="899">
        <f>IF(O57&lt;&gt;0,U57/O57,0)</f>
        <v>0</v>
      </c>
      <c r="X57" s="1144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4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144"/>
      <c r="O58" s="877">
        <v>0</v>
      </c>
      <c r="P58" s="1144"/>
      <c r="Q58" s="878">
        <f>O58*$Q$50*M58+O58*(1-$Q$50)*K58</f>
        <v>0</v>
      </c>
      <c r="R58" s="1144"/>
      <c r="S58" s="879">
        <f>IF(AND(Q58&lt;&gt;0,O58&lt;&gt;0),Q58*(1-D17-D18-D19)/O58/30/(($D$25*1000000/$D$8))*1000,0)</f>
        <v>0</v>
      </c>
      <c r="T58" s="1144" t="s">
        <v>459</v>
      </c>
      <c r="U58" s="880">
        <f>S58*O58*30*$D$11*(1+$D$24)/1000</f>
        <v>0</v>
      </c>
      <c r="V58" s="1144" t="s">
        <v>460</v>
      </c>
      <c r="W58" s="900">
        <f>IF(O58&lt;&gt;0,U58/O58,0)</f>
        <v>0</v>
      </c>
      <c r="X58" s="1144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4"/>
      <c r="B59" s="1144"/>
      <c r="C59" s="781"/>
      <c r="D59" s="1144"/>
      <c r="E59" s="1144"/>
      <c r="F59" s="1144"/>
      <c r="G59" s="1144"/>
      <c r="H59" s="781"/>
      <c r="I59" s="1144"/>
      <c r="J59" s="781"/>
      <c r="K59" s="781"/>
      <c r="L59" s="781"/>
      <c r="M59" s="781"/>
      <c r="N59" s="1144"/>
      <c r="O59" s="1144"/>
      <c r="P59" s="1144"/>
      <c r="Q59" s="1144"/>
      <c r="R59" s="1144"/>
      <c r="S59" s="1144"/>
      <c r="T59" s="1144"/>
      <c r="U59" s="1144"/>
      <c r="V59" s="1144"/>
      <c r="W59" s="781"/>
      <c r="X59" s="1144"/>
      <c r="Y59" s="781"/>
      <c r="Z59" s="1144"/>
      <c r="AA59" s="1144"/>
      <c r="AB59" s="777"/>
    </row>
    <row r="60" spans="1:28" s="778" customFormat="1" ht="34.9" customHeight="1" outlineLevel="1" x14ac:dyDescent="0.25">
      <c r="A60" s="1144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144"/>
      <c r="P60" s="846"/>
      <c r="Q60" s="1144"/>
      <c r="R60" s="846"/>
      <c r="S60" s="1144"/>
      <c r="T60" s="1144"/>
      <c r="U60" s="1144"/>
      <c r="V60" s="1144"/>
      <c r="W60" s="781"/>
      <c r="X60" s="1144"/>
      <c r="Y60" s="781"/>
      <c r="Z60" s="1144"/>
      <c r="AA60" s="1144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4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144"/>
      <c r="O62" s="806">
        <f>O65+O67+O68+O69+O70+O71</f>
        <v>42447</v>
      </c>
      <c r="P62" s="1144"/>
      <c r="Q62" s="853">
        <f>Q65+Q67+Q68+Q69+Q70+Q71</f>
        <v>387013.29707138776</v>
      </c>
      <c r="R62" s="1144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413483.35574335727</v>
      </c>
      <c r="V62" s="1144" t="s">
        <v>449</v>
      </c>
      <c r="W62" s="1283">
        <f>W65*O65+W67*O67+W68*O68+W69*O69+W70*O70+W71*O71</f>
        <v>413483.35574335727</v>
      </c>
      <c r="X62" s="1144" t="s">
        <v>449</v>
      </c>
      <c r="Y62" s="854" t="s">
        <v>450</v>
      </c>
      <c r="Z62" s="1144"/>
      <c r="AA62" s="1144"/>
      <c r="AB62" s="777"/>
    </row>
    <row r="63" spans="1:28" s="778" customFormat="1" ht="24" customHeight="1" outlineLevel="1" x14ac:dyDescent="0.25">
      <c r="A63" s="1144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144"/>
      <c r="O63" s="895" t="s">
        <v>455</v>
      </c>
      <c r="P63" s="1144"/>
      <c r="Q63" s="860">
        <v>0.75</v>
      </c>
      <c r="R63" s="1144"/>
      <c r="S63" s="1284"/>
      <c r="T63" s="1286"/>
      <c r="U63" s="1284"/>
      <c r="V63" s="1144"/>
      <c r="W63" s="1287"/>
      <c r="X63" s="1144"/>
      <c r="Y63" s="861">
        <f>$Y$33</f>
        <v>0.1</v>
      </c>
      <c r="Z63" s="1144"/>
      <c r="AA63" s="1144"/>
      <c r="AB63" s="777"/>
    </row>
    <row r="64" spans="1:28" s="778" customFormat="1" ht="24" customHeight="1" outlineLevel="1" x14ac:dyDescent="0.25">
      <c r="A64" s="1144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4"/>
      <c r="O64" s="868"/>
      <c r="P64" s="1144"/>
      <c r="Q64" s="869"/>
      <c r="R64" s="1144"/>
      <c r="S64" s="870"/>
      <c r="T64" s="1144"/>
      <c r="U64" s="870"/>
      <c r="V64" s="1144"/>
      <c r="W64" s="871"/>
      <c r="X64" s="1144"/>
      <c r="Y64" s="896"/>
      <c r="Z64" s="1144"/>
      <c r="AA64" s="1144"/>
      <c r="AB64" s="777"/>
    </row>
    <row r="65" spans="1:28" s="778" customFormat="1" ht="24" customHeight="1" outlineLevel="1" x14ac:dyDescent="0.25">
      <c r="A65" s="1144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144"/>
      <c r="O65" s="877">
        <v>25947</v>
      </c>
      <c r="P65" s="1144"/>
      <c r="Q65" s="878">
        <f>O65*$Q$63*M65+O65*(1-$Q$63)*K65</f>
        <v>117583.75057107152</v>
      </c>
      <c r="R65" s="1144"/>
      <c r="S65" s="879">
        <f>IF(AND(Q65&lt;&gt;0,O65&lt;&gt;0),Q65*(1-D17-D18-D19)/(H15)/O65/30/(($D$25*1000000/$D$8))*1000,0)</f>
        <v>1.5671895654881145</v>
      </c>
      <c r="T65" s="1144" t="s">
        <v>459</v>
      </c>
      <c r="U65" s="880">
        <f>S65*O65*30*$D$11*(1+$D$24)/1000</f>
        <v>125625.97754373381</v>
      </c>
      <c r="V65" s="1144" t="s">
        <v>460</v>
      </c>
      <c r="W65" s="880">
        <f>IF(O65&lt;&gt;0,U65/O65,0)</f>
        <v>4.8416378596266929</v>
      </c>
      <c r="X65" s="1144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4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4"/>
      <c r="O66" s="868"/>
      <c r="P66" s="1144"/>
      <c r="Q66" s="869"/>
      <c r="R66" s="1144"/>
      <c r="S66" s="885"/>
      <c r="T66" s="1144"/>
      <c r="U66" s="886"/>
      <c r="V66" s="1144"/>
      <c r="W66" s="886"/>
      <c r="X66" s="1144"/>
      <c r="Y66" s="896"/>
      <c r="Z66" s="907"/>
      <c r="AA66" s="781"/>
      <c r="AB66" s="781"/>
    </row>
    <row r="67" spans="1:28" s="778" customFormat="1" ht="24" customHeight="1" outlineLevel="1" x14ac:dyDescent="0.25">
      <c r="A67" s="1144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144"/>
      <c r="O67" s="877">
        <v>15000</v>
      </c>
      <c r="P67" s="1144"/>
      <c r="Q67" s="878">
        <f>O67*$Q$63*M67+O67*(1-$Q$63)*K67</f>
        <v>216285.18641080434</v>
      </c>
      <c r="R67" s="1144"/>
      <c r="S67" s="879">
        <f>IF(AND(Q67&lt;&gt;0,O67&lt;&gt;0),Q67*(1-D17-D18-D19)/O67/30/(H15)/(($D$25*1000000/$D$8))*1000,0)</f>
        <v>4.9865122538258202</v>
      </c>
      <c r="T67" s="1144" t="s">
        <v>459</v>
      </c>
      <c r="U67" s="880">
        <f>S67*O67*30*$D$11*(1+$D$24)/1000</f>
        <v>231078.17057309227</v>
      </c>
      <c r="V67" s="1144" t="s">
        <v>460</v>
      </c>
      <c r="W67" s="880">
        <f>IF(O67&lt;&gt;0,U67/O67,0)</f>
        <v>15.405211371539485</v>
      </c>
      <c r="X67" s="1144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4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144"/>
      <c r="O68" s="877">
        <v>500</v>
      </c>
      <c r="P68" s="1144"/>
      <c r="Q68" s="878">
        <f>O68*$Q$63*M68+O68*(1-$Q$63)*K68</f>
        <v>12359.15350918882</v>
      </c>
      <c r="R68" s="1144"/>
      <c r="S68" s="879">
        <f>IF(AND(Q68&lt;&gt;0,O68&lt;&gt;0),Q68*(1-D17-D18-D19)/O68/30/(H15)/(($D$25*1000000/$D$8))*1000,0)</f>
        <v>8.5483067208442627</v>
      </c>
      <c r="T68" s="1144" t="s">
        <v>459</v>
      </c>
      <c r="U68" s="880">
        <f>S68*O68*30*$D$11*(1+$D$24)/1000</f>
        <v>13204.466889890984</v>
      </c>
      <c r="V68" s="1144" t="s">
        <v>460</v>
      </c>
      <c r="W68" s="880">
        <f>IF(O68&lt;&gt;0,U68/O68,0)</f>
        <v>26.408933779781968</v>
      </c>
      <c r="X68" s="1144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4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144"/>
      <c r="O69" s="877">
        <v>1000</v>
      </c>
      <c r="P69" s="1144"/>
      <c r="Q69" s="878">
        <f>O69*$Q$63*M69+O69*(1-$Q$63)*K69</f>
        <v>40785.206580323109</v>
      </c>
      <c r="R69" s="1144"/>
      <c r="S69" s="879">
        <f>IF(AND(Q69&lt;&gt;0,O69&lt;&gt;0),Q69*(1-D17-D18-D19)/O69/30/(H15)/(($D$25*1000000/$D$8))*1000,0)</f>
        <v>14.104706089393034</v>
      </c>
      <c r="T69" s="1144" t="s">
        <v>459</v>
      </c>
      <c r="U69" s="880">
        <f>S69*O69*30*$D$11*(1+$D$24)/1000</f>
        <v>43574.740736640255</v>
      </c>
      <c r="V69" s="1144" t="s">
        <v>460</v>
      </c>
      <c r="W69" s="880">
        <f>IF(O69&lt;&gt;0,U69/O69,0)</f>
        <v>43.574740736640258</v>
      </c>
      <c r="X69" s="1144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4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144"/>
      <c r="O70" s="877">
        <v>0</v>
      </c>
      <c r="P70" s="1144"/>
      <c r="Q70" s="878">
        <f>O70*$Q$63*M70+O70*(1-$Q$63)*K70</f>
        <v>0</v>
      </c>
      <c r="R70" s="1144"/>
      <c r="S70" s="879">
        <f>IF(AND(Q70&lt;&gt;0,O70&lt;&gt;0),Q70*(1-D17-D18-D19)/O70/30/(H15)/(($D$25*1000000/$D$8))*1000,0)</f>
        <v>0</v>
      </c>
      <c r="T70" s="1144" t="s">
        <v>459</v>
      </c>
      <c r="U70" s="880">
        <f>S70*O70*30*$D$11*(1+$D$24)/1000</f>
        <v>0</v>
      </c>
      <c r="V70" s="1144" t="s">
        <v>460</v>
      </c>
      <c r="W70" s="880">
        <f>IF(O70&lt;&gt;0,U70/O70,0)</f>
        <v>0</v>
      </c>
      <c r="X70" s="1144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4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144"/>
      <c r="O71" s="877">
        <v>0</v>
      </c>
      <c r="P71" s="1144"/>
      <c r="Q71" s="878">
        <f>O71*$Q$63*M71+O71*(1-$Q$63)*K71</f>
        <v>0</v>
      </c>
      <c r="R71" s="1144"/>
      <c r="S71" s="879">
        <f>IF(AND(Q71&lt;&gt;0,O71&lt;&gt;0),Q71*(1-D17-D18-D19)/O71/30/(H15)/(($D$25*1000000/$D$8))*1000,0)</f>
        <v>0</v>
      </c>
      <c r="T71" s="1144" t="s">
        <v>459</v>
      </c>
      <c r="U71" s="880">
        <f>S71*O71*30*$D$11*(1+$D$24)/1000</f>
        <v>0</v>
      </c>
      <c r="V71" s="1144" t="s">
        <v>460</v>
      </c>
      <c r="W71" s="880">
        <f>IF(O71&lt;&gt;0,U71/O71,0)</f>
        <v>0</v>
      </c>
      <c r="X71" s="1144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4"/>
      <c r="B72" s="1144"/>
      <c r="C72" s="781"/>
      <c r="D72" s="1144"/>
      <c r="E72" s="1144"/>
      <c r="F72" s="1144"/>
      <c r="G72" s="1144"/>
      <c r="H72" s="781"/>
      <c r="I72" s="1144"/>
      <c r="J72" s="781"/>
      <c r="K72" s="781"/>
      <c r="L72" s="781"/>
      <c r="M72" s="781"/>
      <c r="N72" s="1144"/>
      <c r="O72" s="1144"/>
      <c r="P72" s="1144"/>
      <c r="Q72" s="1144"/>
      <c r="R72" s="1144"/>
      <c r="S72" s="1144"/>
      <c r="T72" s="1144"/>
      <c r="U72" s="1144"/>
      <c r="V72" s="1144"/>
      <c r="W72" s="781"/>
      <c r="X72" s="1144"/>
      <c r="Y72" s="781"/>
      <c r="Z72" s="1144"/>
      <c r="AA72" s="1144"/>
      <c r="AB72" s="777"/>
    </row>
    <row r="73" spans="1:28" s="778" customFormat="1" ht="34.9" customHeight="1" outlineLevel="1" x14ac:dyDescent="0.25">
      <c r="A73" s="1144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144"/>
      <c r="O73" s="1144"/>
      <c r="P73" s="1144"/>
      <c r="Q73" s="1144"/>
      <c r="R73" s="1144"/>
      <c r="S73" s="1144"/>
      <c r="T73" s="1144"/>
      <c r="U73" s="1144"/>
      <c r="V73" s="1144"/>
      <c r="W73" s="781"/>
      <c r="X73" s="1144"/>
      <c r="Y73" s="781"/>
      <c r="Z73" s="1144"/>
      <c r="AA73" s="1144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144"/>
      <c r="O75" s="806">
        <f>O78+O80+O81+O82+O83+O84</f>
        <v>1741</v>
      </c>
      <c r="P75" s="1144"/>
      <c r="Q75" s="853">
        <f>Q78+Q80+Q81+Q82+Q83+Q84</f>
        <v>62743.787321001873</v>
      </c>
      <c r="R75" s="1144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144" t="s">
        <v>449</v>
      </c>
      <c r="W75" s="1283">
        <f>W78*O78+W80*O80+W81*O81+W82*O82+W83*O83+W84*O84</f>
        <v>33517.597366622103</v>
      </c>
      <c r="X75" s="1144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144"/>
      <c r="O76" s="895" t="s">
        <v>455</v>
      </c>
      <c r="P76" s="1144"/>
      <c r="Q76" s="860">
        <v>0.75</v>
      </c>
      <c r="R76" s="1144"/>
      <c r="S76" s="1284"/>
      <c r="T76" s="1286"/>
      <c r="U76" s="1284"/>
      <c r="V76" s="1144"/>
      <c r="W76" s="1287"/>
      <c r="X76" s="1144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4"/>
      <c r="O77" s="868"/>
      <c r="P77" s="1144"/>
      <c r="Q77" s="869"/>
      <c r="R77" s="1144"/>
      <c r="S77" s="870"/>
      <c r="T77" s="1144"/>
      <c r="U77" s="870"/>
      <c r="V77" s="1144"/>
      <c r="W77" s="871"/>
      <c r="X77" s="1144"/>
      <c r="Y77" s="871"/>
      <c r="Z77" s="882"/>
      <c r="AA77" s="882"/>
      <c r="AB77" s="777"/>
    </row>
    <row r="78" spans="1:28" s="778" customFormat="1" ht="24" customHeight="1" outlineLevel="1" x14ac:dyDescent="0.25">
      <c r="A78" s="1144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144"/>
      <c r="O78" s="877">
        <v>264</v>
      </c>
      <c r="P78" s="1144"/>
      <c r="Q78" s="878">
        <f>O78*$Q$76*M78+O78*(1-$Q$76)*K78</f>
        <v>2303.1646068888344</v>
      </c>
      <c r="R78" s="1144"/>
      <c r="S78" s="879">
        <f>IF(AND(Q78&lt;&gt;0,O78&lt;&gt;0),Q78*(1-D17-D18-D19)/O78/30/(($D$25*1000000/$D$8))*1000,0)</f>
        <v>1.5085247154431052</v>
      </c>
      <c r="T78" s="1144" t="s">
        <v>459</v>
      </c>
      <c r="U78" s="880">
        <f>S78*O78*30*$D$11*(1+$D$24)/1000</f>
        <v>1230.3456207992542</v>
      </c>
      <c r="V78" s="1144" t="s">
        <v>460</v>
      </c>
      <c r="W78" s="880">
        <f>IF(O78&lt;&gt;0,U78/O78,0)</f>
        <v>4.6604000787850541</v>
      </c>
      <c r="X78" s="1144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4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4"/>
      <c r="O79" s="868"/>
      <c r="P79" s="1144"/>
      <c r="Q79" s="869"/>
      <c r="R79" s="1144"/>
      <c r="S79" s="885"/>
      <c r="T79" s="1144"/>
      <c r="U79" s="886"/>
      <c r="V79" s="1144"/>
      <c r="W79" s="886"/>
      <c r="X79" s="1144"/>
      <c r="Y79" s="871"/>
      <c r="Z79" s="882"/>
      <c r="AA79" s="850"/>
      <c r="AB79" s="777"/>
    </row>
    <row r="80" spans="1:28" s="778" customFormat="1" ht="24" customHeight="1" outlineLevel="1" x14ac:dyDescent="0.25">
      <c r="A80" s="1144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144"/>
      <c r="O80" s="877">
        <v>994</v>
      </c>
      <c r="P80" s="1144"/>
      <c r="Q80" s="878">
        <f>O80*$Q$76*M80+O80*(1-$Q$76)*K80</f>
        <v>31796.46693399307</v>
      </c>
      <c r="R80" s="1144"/>
      <c r="S80" s="879">
        <f>IF(AND(Q80&lt;&gt;0,O80&lt;&gt;0),Q80*(1-D17-D18-D19)/O80/30/(($D$25*1000000/$D$8))*1000,0)</f>
        <v>5.5312572899580514</v>
      </c>
      <c r="T80" s="1144" t="s">
        <v>459</v>
      </c>
      <c r="U80" s="880">
        <f>S80*O80*30*$D$11*(1+$D$24)/1000</f>
        <v>16985.604820478591</v>
      </c>
      <c r="V80" s="1144" t="s">
        <v>460</v>
      </c>
      <c r="W80" s="880">
        <f>IF(O80&lt;&gt;0,U80/O80,0)</f>
        <v>17.088133622211863</v>
      </c>
      <c r="X80" s="1144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4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144"/>
      <c r="O81" s="877">
        <v>183</v>
      </c>
      <c r="P81" s="1144"/>
      <c r="Q81" s="878">
        <f>O81*$Q$76*M81+O81*(1-$Q$76)*K81</f>
        <v>8869.5101654178579</v>
      </c>
      <c r="R81" s="1144"/>
      <c r="S81" s="879">
        <f>IF(AND(Q81&lt;&gt;0,O81&lt;&gt;0),Q81*(1-D17-D18-D19)/O81/30/(($D$25*1000000/$D$8))*1000,0)</f>
        <v>8.380692863572806</v>
      </c>
      <c r="T81" s="1144" t="s">
        <v>459</v>
      </c>
      <c r="U81" s="880">
        <f>S81*O81*30*$D$11*(1+$D$24)/1000</f>
        <v>4738.0734134314707</v>
      </c>
      <c r="V81" s="1144" t="s">
        <v>460</v>
      </c>
      <c r="W81" s="880">
        <f>IF(O81&lt;&gt;0,U81/O81,0)</f>
        <v>25.891111548805849</v>
      </c>
      <c r="X81" s="1144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4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144"/>
      <c r="O82" s="877">
        <v>300</v>
      </c>
      <c r="P82" s="1144"/>
      <c r="Q82" s="878">
        <f>O82*$Q$76*M82+O82*(1-$Q$76)*K82</f>
        <v>19774.645614702113</v>
      </c>
      <c r="R82" s="1144"/>
      <c r="S82" s="879">
        <f>IF(AND(Q82&lt;&gt;0,O82&lt;&gt;0),Q82*(1-D17-D18-D19)/O82/30/(($D$25*1000000/$D$8))*1000,0)</f>
        <v>11.397742294459016</v>
      </c>
      <c r="T82" s="1144" t="s">
        <v>459</v>
      </c>
      <c r="U82" s="880">
        <f>S82*O82*30*$D$11*(1+$D$24)/1000</f>
        <v>10563.573511912788</v>
      </c>
      <c r="V82" s="1144" t="s">
        <v>460</v>
      </c>
      <c r="W82" s="880">
        <f>IF(O82&lt;&gt;0,U82/O82,0)</f>
        <v>35.211911706375957</v>
      </c>
      <c r="X82" s="1144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4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144"/>
      <c r="O83" s="877">
        <v>0</v>
      </c>
      <c r="P83" s="1144"/>
      <c r="Q83" s="878">
        <f>O83*$Q$76*M83+O83*(1-$Q$76)*K83</f>
        <v>0</v>
      </c>
      <c r="R83" s="1144"/>
      <c r="S83" s="879">
        <f>IF(AND(Q83&lt;&gt;0,O83&lt;&gt;0),Q83*(1-D17-D18-D19)/O83/30/(($D$25*1000000/$D$8))*1000,0)</f>
        <v>0</v>
      </c>
      <c r="T83" s="1144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4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4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144"/>
      <c r="O84" s="877">
        <v>0</v>
      </c>
      <c r="P84" s="1144"/>
      <c r="Q84" s="878">
        <f>O84*$Q$76*M84+O84*(1-$Q$76)*K84</f>
        <v>0</v>
      </c>
      <c r="R84" s="1144"/>
      <c r="S84" s="879">
        <f>IF(AND(Q84&lt;&gt;0,O84&lt;&gt;0),Q84*(1-D17-D18-D19)/O84/30/(($D$25*1000000/$D$8))*1000,0)</f>
        <v>0</v>
      </c>
      <c r="T84" s="1144" t="s">
        <v>459</v>
      </c>
      <c r="U84" s="880">
        <f>S84*O84*30*$D$11*(1+$D$24)/1000</f>
        <v>0</v>
      </c>
      <c r="V84" s="1144" t="s">
        <v>460</v>
      </c>
      <c r="W84" s="880">
        <f>IF(O84&lt;&gt;0,U84/O84,0)</f>
        <v>0</v>
      </c>
      <c r="X84" s="1144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4"/>
      <c r="B85" s="1144"/>
      <c r="C85" s="781"/>
      <c r="D85" s="1144"/>
      <c r="E85" s="1144"/>
      <c r="F85" s="1144"/>
      <c r="G85" s="1144"/>
      <c r="H85" s="781"/>
      <c r="I85" s="1144"/>
      <c r="J85" s="781"/>
      <c r="K85" s="781"/>
      <c r="L85" s="781"/>
      <c r="M85" s="781"/>
      <c r="N85" s="1144"/>
      <c r="O85" s="1144"/>
      <c r="P85" s="1144"/>
      <c r="Q85" s="1144"/>
      <c r="R85" s="1144"/>
      <c r="S85" s="1144"/>
      <c r="T85" s="1144"/>
      <c r="U85" s="1144"/>
      <c r="V85" s="1144"/>
      <c r="W85" s="781"/>
      <c r="X85" s="1144"/>
      <c r="Y85" s="781"/>
      <c r="Z85" s="1144"/>
      <c r="AA85" s="1144"/>
      <c r="AB85" s="777"/>
    </row>
    <row r="86" spans="1:28" s="778" customFormat="1" ht="34.9" customHeight="1" outlineLevel="1" x14ac:dyDescent="0.25">
      <c r="A86" s="1144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144"/>
      <c r="O86" s="1144"/>
      <c r="P86" s="1144"/>
      <c r="Q86" s="1144"/>
      <c r="R86" s="1144"/>
      <c r="S86" s="1144"/>
      <c r="T86" s="1144"/>
      <c r="U86" s="1144"/>
      <c r="V86" s="1144"/>
      <c r="W86" s="781"/>
      <c r="X86" s="1144"/>
      <c r="Y86" s="781"/>
      <c r="Z86" s="1144"/>
      <c r="AA86" s="1144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4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144"/>
      <c r="O88" s="881">
        <f>O91+O93+O94+O95+O96</f>
        <v>20</v>
      </c>
      <c r="P88" s="1144"/>
      <c r="Q88" s="853">
        <f>Q91+Q93+Q94+Q95+Q96</f>
        <v>1565.4927778305835</v>
      </c>
      <c r="R88" s="1144"/>
      <c r="S88" s="1283">
        <f>IF(AND(Q88&lt;&gt;0,O88&lt;&gt;0),Q88*(1-D17-D18-D19)/(($D$25*1000000/$D$8)),0)</f>
        <v>8.1208913848020465</v>
      </c>
      <c r="T88" s="1285" t="s">
        <v>448</v>
      </c>
      <c r="U88" s="1283">
        <f>U91+U93+U94+U95+U96+Z97</f>
        <v>836.28290302642858</v>
      </c>
      <c r="V88" s="1144" t="s">
        <v>449</v>
      </c>
      <c r="W88" s="1283">
        <f>W91*O91+W93*O93+W94*O94+W95*O95+W96*O96</f>
        <v>836.28290302642858</v>
      </c>
      <c r="X88" s="1144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4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144"/>
      <c r="O89" s="895" t="s">
        <v>455</v>
      </c>
      <c r="P89" s="1144"/>
      <c r="Q89" s="860">
        <v>0.75</v>
      </c>
      <c r="R89" s="1144"/>
      <c r="S89" s="1284"/>
      <c r="T89" s="1286"/>
      <c r="U89" s="1284"/>
      <c r="V89" s="1144"/>
      <c r="W89" s="1287"/>
      <c r="X89" s="1144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4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4"/>
      <c r="O90" s="868"/>
      <c r="P90" s="1144"/>
      <c r="Q90" s="869"/>
      <c r="R90" s="1144"/>
      <c r="S90" s="870"/>
      <c r="T90" s="1144"/>
      <c r="U90" s="870"/>
      <c r="V90" s="1144"/>
      <c r="W90" s="871"/>
      <c r="X90" s="1144"/>
      <c r="Y90" s="781"/>
      <c r="Z90" s="1144"/>
      <c r="AA90" s="1144"/>
      <c r="AB90" s="777"/>
    </row>
    <row r="91" spans="1:28" s="778" customFormat="1" ht="24" customHeight="1" outlineLevel="1" x14ac:dyDescent="0.25">
      <c r="A91" s="1144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144"/>
      <c r="O91" s="877">
        <v>1</v>
      </c>
      <c r="P91" s="1144"/>
      <c r="Q91" s="878">
        <f>O91*$Q$76*M91+O91*(1-$Q$76)*K91</f>
        <v>6.7854176128879793</v>
      </c>
      <c r="R91" s="1144"/>
      <c r="S91" s="879">
        <f>IF(AND(Q91&lt;&gt;0,O91&lt;&gt;0),Q91*(1-D17-D18-D19)/O91/30/(($D$25*1000000/$D$8))*1000,0)</f>
        <v>1.1732970009001928</v>
      </c>
      <c r="T91" s="1144" t="s">
        <v>459</v>
      </c>
      <c r="U91" s="880">
        <f>S91*O91*30*$D$11*(1+$D$24)/1000</f>
        <v>3.624755616832819</v>
      </c>
      <c r="V91" s="1144" t="s">
        <v>460</v>
      </c>
      <c r="W91" s="880">
        <f>IF(O91&lt;&gt;0,U91/O91,0)</f>
        <v>3.624755616832819</v>
      </c>
      <c r="X91" s="1144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4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4"/>
      <c r="O92" s="868"/>
      <c r="P92" s="1144"/>
      <c r="Q92" s="869"/>
      <c r="R92" s="1144"/>
      <c r="S92" s="885"/>
      <c r="T92" s="1144"/>
      <c r="U92" s="886"/>
      <c r="V92" s="1144"/>
      <c r="W92" s="886"/>
      <c r="X92" s="1144"/>
      <c r="Y92" s="1143"/>
      <c r="Z92" s="882"/>
      <c r="AA92" s="850"/>
      <c r="AB92" s="777"/>
    </row>
    <row r="93" spans="1:28" s="778" customFormat="1" ht="24" customHeight="1" outlineLevel="1" x14ac:dyDescent="0.25">
      <c r="A93" s="1144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144"/>
      <c r="O93" s="877">
        <v>2</v>
      </c>
      <c r="P93" s="1144"/>
      <c r="Q93" s="878">
        <f>O93*$Q$76*M93+O93*(1-$Q$76)*K93</f>
        <v>42.651196423867304</v>
      </c>
      <c r="R93" s="1144"/>
      <c r="S93" s="879">
        <f>IF(AND(Q93&lt;&gt;0,O93&lt;&gt;0),Q93*(1-D17-D18-D19)/O93/30/(($D$25*1000000/$D$8))*1000,0)</f>
        <v>3.6875048599720359</v>
      </c>
      <c r="T93" s="1144" t="s">
        <v>459</v>
      </c>
      <c r="U93" s="880">
        <f>S93*O93*30*$D$11*(1+$D$24)/1000</f>
        <v>22.784178162949157</v>
      </c>
      <c r="V93" s="1144" t="s">
        <v>460</v>
      </c>
      <c r="W93" s="880">
        <f>IF(O93&lt;&gt;0,U93/O93,0)</f>
        <v>11.392089081474579</v>
      </c>
      <c r="X93" s="1144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4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144"/>
      <c r="O94" s="877">
        <v>17</v>
      </c>
      <c r="P94" s="1144"/>
      <c r="Q94" s="878">
        <f>O94*$Q$76*M94+O94*(1-$Q$76)*K94</f>
        <v>1516.0561637938281</v>
      </c>
      <c r="R94" s="1144"/>
      <c r="S94" s="879">
        <f>IF(AND(Q94&lt;&gt;0,O94&lt;&gt;0),Q94*(1-D17-D18-D19)/O94/30/(($D$25*1000000/$D$8))*1000,0)</f>
        <v>15.420474868973958</v>
      </c>
      <c r="T94" s="1144" t="s">
        <v>459</v>
      </c>
      <c r="U94" s="880">
        <f>S94*O94*30*$D$11*(1+$D$24)/1000</f>
        <v>809.87396924664665</v>
      </c>
      <c r="V94" s="1144" t="s">
        <v>460</v>
      </c>
      <c r="W94" s="880">
        <f>IF(O94&lt;&gt;0,U94/O94,0)</f>
        <v>47.639645249802747</v>
      </c>
      <c r="X94" s="1144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4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144"/>
      <c r="O95" s="877">
        <v>0</v>
      </c>
      <c r="P95" s="1144"/>
      <c r="Q95" s="878">
        <f>O95*$Q$76*M95+O95*(1-$Q$76)*K95</f>
        <v>0</v>
      </c>
      <c r="R95" s="1144"/>
      <c r="S95" s="879">
        <f>IF(AND(Q95&lt;&gt;0,O95&lt;&gt;0),Q95*(1-D17-D18-D19)/O95/30/(($D$25*1000000/$D$8))*1000,0)</f>
        <v>0</v>
      </c>
      <c r="T95" s="1144" t="s">
        <v>459</v>
      </c>
      <c r="U95" s="880">
        <f>S95*O95*30*$D$11*(1+$D$24)/1000</f>
        <v>0</v>
      </c>
      <c r="V95" s="1144" t="s">
        <v>460</v>
      </c>
      <c r="W95" s="880">
        <f>IF(O95&lt;&gt;0,U95/O95,0)</f>
        <v>0</v>
      </c>
      <c r="X95" s="1144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4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144"/>
      <c r="O96" s="877">
        <v>0</v>
      </c>
      <c r="P96" s="1144"/>
      <c r="Q96" s="878">
        <f>O96*$Q$76*M96+O96*(1-$Q$76)*K96</f>
        <v>0</v>
      </c>
      <c r="R96" s="1144"/>
      <c r="S96" s="879">
        <f>IF(AND(Q96&lt;&gt;0,O96&lt;&gt;0),Q96*(1-D17-D18-D19)/O96/30/(($D$25*1000000/$D$8))*1000,0)</f>
        <v>0</v>
      </c>
      <c r="T96" s="1144" t="s">
        <v>459</v>
      </c>
      <c r="U96" s="880">
        <f>S96*O96*30*$D$11*(1+$D$24)/1000</f>
        <v>0</v>
      </c>
      <c r="V96" s="1144" t="s">
        <v>460</v>
      </c>
      <c r="W96" s="880">
        <f>IF(O96&lt;&gt;0,U96/O96,0)</f>
        <v>0</v>
      </c>
      <c r="X96" s="1144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4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4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4"/>
      <c r="B2" s="1340" t="s">
        <v>642</v>
      </c>
      <c r="C2" s="1340"/>
      <c r="D2" s="1340"/>
      <c r="E2" s="1340"/>
      <c r="F2" s="1340"/>
      <c r="G2" s="1340"/>
      <c r="H2" s="1340"/>
      <c r="I2" s="1340"/>
      <c r="J2" s="1340"/>
      <c r="K2" s="1340"/>
      <c r="L2" s="1340"/>
      <c r="M2" s="1340"/>
      <c r="N2" s="1144"/>
      <c r="O2" s="1341" t="s">
        <v>369</v>
      </c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777"/>
    </row>
    <row r="3" spans="1:28" s="780" customFormat="1" ht="17.649999999999999" customHeight="1" x14ac:dyDescent="0.25">
      <c r="A3" s="779"/>
      <c r="B3" s="1340"/>
      <c r="C3" s="1340"/>
      <c r="D3" s="1340"/>
      <c r="E3" s="1340"/>
      <c r="F3" s="1340"/>
      <c r="G3" s="1340"/>
      <c r="H3" s="1340"/>
      <c r="I3" s="1340"/>
      <c r="J3" s="1340"/>
      <c r="K3" s="1340"/>
      <c r="L3" s="1340"/>
      <c r="M3" s="1340"/>
      <c r="N3" s="779"/>
      <c r="O3" s="1341"/>
      <c r="P3" s="1341"/>
      <c r="Q3" s="1341"/>
      <c r="R3" s="1341"/>
      <c r="S3" s="1341"/>
      <c r="T3" s="1341"/>
      <c r="U3" s="1341"/>
      <c r="V3" s="1341"/>
      <c r="W3" s="1341"/>
      <c r="X3" s="1341"/>
      <c r="Y3" s="1341"/>
      <c r="Z3" s="1341"/>
      <c r="AA3" s="1341"/>
      <c r="AB3" s="777"/>
    </row>
    <row r="4" spans="1:28" s="778" customFormat="1" ht="7.5" customHeight="1" thickBot="1" x14ac:dyDescent="0.3">
      <c r="A4" s="1144"/>
      <c r="B4" s="1144"/>
      <c r="C4" s="781"/>
      <c r="D4" s="1144"/>
      <c r="E4" s="1144"/>
      <c r="F4" s="1144"/>
      <c r="G4" s="1144"/>
      <c r="H4" s="781"/>
      <c r="I4" s="1144"/>
      <c r="J4" s="781"/>
      <c r="K4" s="781"/>
      <c r="L4" s="781"/>
      <c r="M4" s="781"/>
      <c r="N4" s="1144"/>
      <c r="O4" s="1144"/>
      <c r="P4" s="1144"/>
      <c r="Q4" s="1144"/>
      <c r="R4" s="1144"/>
      <c r="S4" s="1144"/>
      <c r="T4" s="1144"/>
      <c r="U4" s="1144"/>
      <c r="V4" s="1144"/>
      <c r="W4" s="781"/>
      <c r="X4" s="1144"/>
      <c r="Y4" s="781"/>
      <c r="Z4" s="1144"/>
      <c r="AA4" s="1144"/>
      <c r="AB4" s="777"/>
    </row>
    <row r="5" spans="1:28" s="778" customFormat="1" ht="19.899999999999999" customHeight="1" thickTop="1" x14ac:dyDescent="0.25">
      <c r="A5" s="1144"/>
      <c r="B5" s="782" t="s">
        <v>370</v>
      </c>
      <c r="C5" s="783" t="s">
        <v>371</v>
      </c>
      <c r="D5" s="784" t="s">
        <v>372</v>
      </c>
      <c r="E5" s="1144"/>
      <c r="F5" s="785" t="s">
        <v>373</v>
      </c>
      <c r="G5" s="783" t="s">
        <v>374</v>
      </c>
      <c r="H5" s="784" t="s">
        <v>375</v>
      </c>
      <c r="I5" s="1144"/>
      <c r="J5" s="1342" t="s">
        <v>376</v>
      </c>
      <c r="K5" s="1344" t="s">
        <v>377</v>
      </c>
      <c r="L5" s="1144"/>
      <c r="M5" s="781"/>
      <c r="N5" s="1144"/>
      <c r="O5" s="1346" t="s">
        <v>378</v>
      </c>
      <c r="P5" s="1144"/>
      <c r="Q5" s="1346" t="s">
        <v>379</v>
      </c>
      <c r="R5" s="1144"/>
      <c r="S5" s="1346" t="s">
        <v>380</v>
      </c>
      <c r="T5" s="1144"/>
      <c r="U5" s="1346" t="s">
        <v>381</v>
      </c>
      <c r="V5" s="1144"/>
      <c r="W5" s="1346" t="s">
        <v>382</v>
      </c>
      <c r="X5" s="1144"/>
      <c r="Y5" s="1346" t="s">
        <v>383</v>
      </c>
      <c r="Z5" s="1144"/>
      <c r="AA5" s="1144"/>
      <c r="AB5" s="777"/>
    </row>
    <row r="6" spans="1:28" s="778" customFormat="1" ht="19.899999999999999" customHeight="1" outlineLevel="1" x14ac:dyDescent="0.25">
      <c r="A6" s="1144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4"/>
      <c r="J6" s="1343"/>
      <c r="K6" s="1345"/>
      <c r="L6" s="1144"/>
      <c r="M6" s="793"/>
      <c r="N6" s="794"/>
      <c r="O6" s="1347"/>
      <c r="P6" s="1144"/>
      <c r="Q6" s="1347"/>
      <c r="R6" s="1144"/>
      <c r="S6" s="1347"/>
      <c r="T6" s="1144"/>
      <c r="U6" s="1347"/>
      <c r="V6" s="1144"/>
      <c r="W6" s="1347"/>
      <c r="X6" s="1144"/>
      <c r="Y6" s="1347"/>
      <c r="Z6" s="1144"/>
      <c r="AA6" s="1144"/>
      <c r="AB6" s="777"/>
    </row>
    <row r="7" spans="1:28" s="778" customFormat="1" ht="19.899999999999999" customHeight="1" outlineLevel="1" x14ac:dyDescent="0.25">
      <c r="A7" s="1144"/>
      <c r="B7" s="790" t="s">
        <v>387</v>
      </c>
      <c r="C7" s="795" t="s">
        <v>8</v>
      </c>
      <c r="D7" s="796">
        <f>'5)Incineração - E Elétrica'!M22-'5)Incineração - E Elétrica'!M8-'5)Incineração - E Elétrica'!M9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4"/>
      <c r="J7" s="1327">
        <f>126090+43698</f>
        <v>169788</v>
      </c>
      <c r="K7" s="1329">
        <v>0.25</v>
      </c>
      <c r="L7" s="1144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4"/>
      <c r="AB7" s="777"/>
    </row>
    <row r="8" spans="1:28" s="778" customFormat="1" ht="19.899999999999999" customHeight="1" outlineLevel="1" thickBot="1" x14ac:dyDescent="0.3">
      <c r="A8" s="1144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4"/>
      <c r="J8" s="1328"/>
      <c r="K8" s="1330"/>
      <c r="L8" s="1144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144"/>
      <c r="U8" s="800">
        <f>(U12-U10)/U10</f>
        <v>1.5233061901367381E-2</v>
      </c>
      <c r="V8" s="1144"/>
      <c r="W8" s="800">
        <f>(W12-W10)/W10</f>
        <v>1.5233061901367381E-2</v>
      </c>
      <c r="X8" s="1144"/>
      <c r="Y8" s="801" t="s">
        <v>393</v>
      </c>
      <c r="Z8" s="1144"/>
      <c r="AA8" s="1144"/>
      <c r="AB8" s="777"/>
    </row>
    <row r="9" spans="1:28" s="778" customFormat="1" ht="19.899999999999999" customHeight="1" outlineLevel="1" thickTop="1" x14ac:dyDescent="0.25">
      <c r="A9" s="1144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4"/>
      <c r="J9" s="1144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4"/>
      <c r="W9" s="803" t="s">
        <v>397</v>
      </c>
      <c r="X9" s="1144"/>
      <c r="Y9" s="803" t="s">
        <v>397</v>
      </c>
      <c r="Z9" s="1144"/>
      <c r="AA9" s="1144"/>
      <c r="AB9" s="777"/>
    </row>
    <row r="10" spans="1:28" s="778" customFormat="1" ht="19.899999999999999" customHeight="1" outlineLevel="1" x14ac:dyDescent="0.25">
      <c r="A10" s="1144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4"/>
      <c r="J10" s="1144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144"/>
      <c r="U10" s="806">
        <f>D10*(1+D24)</f>
        <v>26167690.872000001</v>
      </c>
      <c r="V10" s="1144"/>
      <c r="W10" s="806">
        <f>D10*(1+D24)</f>
        <v>26167690.872000001</v>
      </c>
      <c r="X10" s="1144"/>
      <c r="Y10" s="808">
        <f>Y7</f>
        <v>0.05</v>
      </c>
      <c r="Z10" s="1144"/>
      <c r="AA10" s="1144"/>
      <c r="AB10" s="777"/>
    </row>
    <row r="11" spans="1:28" s="778" customFormat="1" ht="19.899999999999999" customHeight="1" outlineLevel="1" thickBot="1" x14ac:dyDescent="0.3">
      <c r="A11" s="1144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4"/>
      <c r="J11" s="1144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4"/>
      <c r="U11" s="814" t="s">
        <v>405</v>
      </c>
      <c r="V11" s="1144"/>
      <c r="W11" s="814" t="s">
        <v>405</v>
      </c>
      <c r="X11" s="1144"/>
      <c r="Y11" s="814" t="s">
        <v>405</v>
      </c>
      <c r="Z11" s="1144"/>
      <c r="AA11" s="1144"/>
      <c r="AB11" s="777"/>
    </row>
    <row r="12" spans="1:28" s="778" customFormat="1" ht="19.899999999999999" customHeight="1" outlineLevel="1" thickTop="1" thickBot="1" x14ac:dyDescent="0.3">
      <c r="A12" s="1144"/>
      <c r="B12" s="815" t="s">
        <v>406</v>
      </c>
      <c r="C12" s="816" t="s">
        <v>407</v>
      </c>
      <c r="D12" s="817">
        <f>D7/D11</f>
        <v>1.5757394426756925</v>
      </c>
      <c r="E12" s="1144"/>
      <c r="F12" s="1144"/>
      <c r="G12" s="1144"/>
      <c r="H12" s="781"/>
      <c r="I12" s="1144"/>
      <c r="J12" s="781"/>
      <c r="K12" s="781"/>
      <c r="L12" s="781"/>
      <c r="M12" s="781"/>
      <c r="N12" s="1144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144"/>
      <c r="U12" s="806">
        <f>U33</f>
        <v>26566304.926869024</v>
      </c>
      <c r="V12" s="1144"/>
      <c r="W12" s="806">
        <f>W33</f>
        <v>26566304.926869024</v>
      </c>
      <c r="X12" s="1144"/>
      <c r="Y12" s="818">
        <f>1-((AA39+AA41+AA42+AA43+AA44+AA45+AA52+AA54+AA55+AA56+AA57+AA58+AA65+AA67+AA68+AA69+AA70+AA71+AA78+AA80+AA81+AA82+AA83+AA84+AA91+AA93+AA94+AA95+AA96)/29)</f>
        <v>0</v>
      </c>
      <c r="Z12" s="1144"/>
      <c r="AA12" s="1144"/>
      <c r="AB12" s="777"/>
    </row>
    <row r="13" spans="1:28" s="778" customFormat="1" ht="10.15" customHeight="1" outlineLevel="1" thickTop="1" thickBot="1" x14ac:dyDescent="0.3">
      <c r="A13" s="1144"/>
      <c r="B13" s="1144"/>
      <c r="C13" s="781"/>
      <c r="D13" s="1144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4"/>
      <c r="AB13" s="777"/>
    </row>
    <row r="14" spans="1:28" s="778" customFormat="1" ht="19.899999999999999" customHeight="1" outlineLevel="1" thickTop="1" x14ac:dyDescent="0.25">
      <c r="A14" s="1144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4"/>
      <c r="J14" s="1144"/>
      <c r="K14" s="793"/>
      <c r="L14" s="793"/>
      <c r="M14" s="793"/>
      <c r="N14" s="794"/>
      <c r="O14" s="820"/>
      <c r="P14" s="794"/>
      <c r="Q14" s="827"/>
      <c r="R14" s="794"/>
      <c r="S14" s="820"/>
      <c r="T14" s="1144"/>
      <c r="U14" s="820"/>
      <c r="V14" s="1144"/>
      <c r="W14" s="781"/>
      <c r="X14" s="1144"/>
      <c r="Y14" s="781"/>
      <c r="Z14" s="1144"/>
      <c r="AA14" s="1144"/>
      <c r="AB14" s="777"/>
    </row>
    <row r="15" spans="1:28" s="778" customFormat="1" ht="19.899999999999999" customHeight="1" outlineLevel="1" x14ac:dyDescent="0.25">
      <c r="A15" s="1144"/>
      <c r="B15" s="828" t="s">
        <v>410</v>
      </c>
      <c r="C15" s="787" t="s">
        <v>1</v>
      </c>
      <c r="D15" s="829">
        <v>1</v>
      </c>
      <c r="E15" s="1144"/>
      <c r="F15" s="1331" t="s">
        <v>411</v>
      </c>
      <c r="G15" s="1333" t="s">
        <v>1</v>
      </c>
      <c r="H15" s="1335">
        <v>0.5</v>
      </c>
      <c r="I15" s="1144"/>
      <c r="J15" s="830"/>
      <c r="K15" s="793"/>
      <c r="L15" s="793"/>
      <c r="M15" s="793"/>
      <c r="N15" s="794"/>
      <c r="O15" s="794"/>
      <c r="P15" s="794"/>
      <c r="R15" s="794"/>
      <c r="S15" s="1144"/>
      <c r="T15" s="1144"/>
      <c r="U15" s="793"/>
      <c r="V15" s="1144"/>
      <c r="W15" s="781"/>
      <c r="X15" s="1144"/>
      <c r="Y15" s="781"/>
      <c r="Z15" s="1144"/>
      <c r="AA15" s="1144"/>
      <c r="AB15" s="777"/>
    </row>
    <row r="16" spans="1:28" s="778" customFormat="1" ht="19.899999999999999" customHeight="1" outlineLevel="1" thickBot="1" x14ac:dyDescent="0.3">
      <c r="A16" s="1144"/>
      <c r="B16" s="831" t="s">
        <v>412</v>
      </c>
      <c r="C16" s="795" t="s">
        <v>385</v>
      </c>
      <c r="D16" s="832">
        <f>D10*D12*(1-D15)/1000000</f>
        <v>0</v>
      </c>
      <c r="E16" s="1144"/>
      <c r="F16" s="1332"/>
      <c r="G16" s="1334"/>
      <c r="H16" s="1336"/>
      <c r="I16" s="1144"/>
      <c r="J16" s="833"/>
      <c r="K16" s="781"/>
      <c r="L16" s="781"/>
      <c r="M16" s="781"/>
      <c r="N16" s="1144"/>
      <c r="O16" s="1144"/>
      <c r="P16" s="1144"/>
      <c r="Q16" s="1144"/>
      <c r="R16" s="1144"/>
      <c r="S16" s="1144"/>
      <c r="T16" s="1144"/>
      <c r="U16" s="793"/>
      <c r="V16" s="1144"/>
      <c r="W16" s="781"/>
      <c r="X16" s="1144"/>
      <c r="Y16" s="781"/>
      <c r="Z16" s="1144"/>
      <c r="AA16" s="1144"/>
      <c r="AB16" s="777"/>
    </row>
    <row r="17" spans="1:28" s="778" customFormat="1" ht="19.899999999999999" customHeight="1" outlineLevel="1" thickTop="1" x14ac:dyDescent="0.25">
      <c r="A17" s="1144"/>
      <c r="B17" s="786" t="s">
        <v>413</v>
      </c>
      <c r="C17" s="787" t="s">
        <v>1</v>
      </c>
      <c r="D17" s="1142">
        <v>0.01</v>
      </c>
      <c r="E17" s="1144"/>
      <c r="F17" s="1144"/>
      <c r="G17" s="1144"/>
      <c r="H17" s="781"/>
      <c r="I17" s="1144"/>
      <c r="J17" s="1144"/>
      <c r="K17" s="1144"/>
      <c r="L17" s="1144"/>
      <c r="M17" s="1144"/>
      <c r="N17" s="1144"/>
      <c r="O17" s="1144"/>
      <c r="P17" s="1144"/>
      <c r="Q17" s="1144"/>
      <c r="R17" s="1144"/>
      <c r="S17" s="1144"/>
      <c r="T17" s="1144"/>
      <c r="U17" s="793"/>
      <c r="V17" s="1144"/>
      <c r="W17" s="781"/>
      <c r="X17" s="1144"/>
      <c r="Y17" s="781"/>
      <c r="Z17" s="1144"/>
      <c r="AA17" s="1144"/>
      <c r="AB17" s="777"/>
    </row>
    <row r="18" spans="1:28" s="778" customFormat="1" ht="19.899999999999999" customHeight="1" outlineLevel="1" x14ac:dyDescent="0.25">
      <c r="A18" s="1144"/>
      <c r="B18" s="786" t="s">
        <v>414</v>
      </c>
      <c r="C18" s="787" t="s">
        <v>1</v>
      </c>
      <c r="D18" s="1142">
        <v>0.05</v>
      </c>
      <c r="E18" s="1144"/>
      <c r="F18" s="1144"/>
      <c r="G18" s="1144"/>
      <c r="H18" s="781"/>
      <c r="I18" s="1144"/>
      <c r="J18" s="1144"/>
      <c r="K18" s="1144"/>
      <c r="L18" s="1144"/>
      <c r="M18" s="1144"/>
      <c r="N18" s="1144"/>
      <c r="O18" s="1144"/>
      <c r="P18" s="1144"/>
      <c r="Q18" s="1144"/>
      <c r="R18" s="1144"/>
      <c r="S18" s="1144"/>
      <c r="T18" s="1144"/>
      <c r="U18" s="793"/>
      <c r="V18" s="1144"/>
      <c r="W18" s="781"/>
      <c r="X18" s="1144"/>
      <c r="Y18" s="781"/>
      <c r="Z18" s="1144"/>
      <c r="AA18" s="1144"/>
      <c r="AB18" s="777"/>
    </row>
    <row r="19" spans="1:28" s="778" customFormat="1" ht="19.899999999999999" customHeight="1" outlineLevel="1" x14ac:dyDescent="0.25">
      <c r="A19" s="1144"/>
      <c r="B19" s="786" t="s">
        <v>415</v>
      </c>
      <c r="C19" s="835" t="s">
        <v>1</v>
      </c>
      <c r="D19" s="836">
        <v>2.5000000000000001E-2</v>
      </c>
      <c r="E19" s="1144"/>
      <c r="F19" s="1144"/>
      <c r="G19" s="1144"/>
      <c r="H19" s="781"/>
      <c r="I19" s="1144"/>
      <c r="J19" s="1144"/>
      <c r="K19" s="1144"/>
      <c r="L19" s="1144"/>
      <c r="M19" s="1144"/>
      <c r="N19" s="1144"/>
      <c r="O19" s="1144"/>
      <c r="P19" s="1144"/>
      <c r="Q19" s="1144"/>
      <c r="R19" s="1144"/>
      <c r="S19" s="1144"/>
      <c r="T19" s="1144"/>
      <c r="U19" s="793"/>
      <c r="V19" s="1144"/>
      <c r="W19" s="781"/>
      <c r="X19" s="1144"/>
      <c r="Y19" s="781"/>
      <c r="Z19" s="1144"/>
      <c r="AA19" s="1144"/>
      <c r="AB19" s="777"/>
    </row>
    <row r="20" spans="1:28" s="778" customFormat="1" ht="34.9" customHeight="1" outlineLevel="1" x14ac:dyDescent="0.25">
      <c r="A20" s="1144"/>
      <c r="B20" s="837" t="s">
        <v>416</v>
      </c>
      <c r="C20" s="787" t="s">
        <v>385</v>
      </c>
      <c r="D20" s="838">
        <f>D10*D12*(1+D17)*(1+D18)*(1+D19)*D15/1000000</f>
        <v>44.821289297913665</v>
      </c>
      <c r="E20" s="1144"/>
      <c r="F20" s="1144"/>
      <c r="G20" s="1144"/>
      <c r="H20" s="781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793"/>
      <c r="V20" s="1144"/>
      <c r="W20" s="781"/>
      <c r="X20" s="1144"/>
      <c r="Y20" s="781"/>
      <c r="Z20" s="1144"/>
      <c r="AA20" s="1144"/>
      <c r="AB20" s="777"/>
    </row>
    <row r="21" spans="1:28" s="778" customFormat="1" ht="34.9" customHeight="1" outlineLevel="1" thickBot="1" x14ac:dyDescent="0.3">
      <c r="A21" s="1144"/>
      <c r="B21" s="839" t="s">
        <v>417</v>
      </c>
      <c r="C21" s="816" t="s">
        <v>407</v>
      </c>
      <c r="D21" s="817">
        <f>D20*1000000/D10</f>
        <v>1.712848470931511</v>
      </c>
      <c r="E21" s="1144"/>
      <c r="F21" s="1144"/>
      <c r="G21" s="1144"/>
      <c r="H21" s="781"/>
      <c r="I21" s="1144"/>
      <c r="J21" s="781"/>
      <c r="K21" s="781"/>
      <c r="L21" s="781"/>
      <c r="M21" s="781"/>
      <c r="N21" s="1144"/>
      <c r="O21" s="820"/>
      <c r="P21" s="1144"/>
      <c r="Q21" s="827"/>
      <c r="R21" s="1144"/>
      <c r="S21" s="820"/>
      <c r="T21" s="1144"/>
      <c r="U21" s="820"/>
      <c r="V21" s="1144"/>
      <c r="W21" s="781"/>
      <c r="X21" s="1144"/>
      <c r="Y21" s="781"/>
      <c r="Z21" s="1144"/>
      <c r="AA21" s="1144"/>
      <c r="AB21" s="777"/>
    </row>
    <row r="22" spans="1:28" s="778" customFormat="1" ht="7.5" customHeight="1" outlineLevel="1" thickTop="1" thickBot="1" x14ac:dyDescent="0.3">
      <c r="A22" s="1144"/>
      <c r="B22" s="1144"/>
      <c r="C22" s="781"/>
      <c r="D22" s="1144"/>
      <c r="E22" s="789"/>
      <c r="F22" s="1144"/>
      <c r="G22" s="1144"/>
      <c r="H22" s="781"/>
      <c r="I22" s="1144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4"/>
      <c r="U22" s="820"/>
      <c r="V22" s="1144"/>
      <c r="W22" s="781"/>
      <c r="X22" s="1144"/>
      <c r="Y22" s="781"/>
      <c r="Z22" s="1144"/>
      <c r="AA22" s="1144"/>
      <c r="AB22" s="777"/>
    </row>
    <row r="23" spans="1:28" s="778" customFormat="1" ht="19.899999999999999" customHeight="1" outlineLevel="1" thickTop="1" x14ac:dyDescent="0.25">
      <c r="A23" s="1144"/>
      <c r="B23" s="822" t="s">
        <v>418</v>
      </c>
      <c r="C23" s="823" t="s">
        <v>371</v>
      </c>
      <c r="D23" s="824" t="s">
        <v>372</v>
      </c>
      <c r="E23" s="1144"/>
      <c r="F23" s="1337" t="s">
        <v>419</v>
      </c>
      <c r="G23" s="1338"/>
      <c r="H23" s="1339"/>
      <c r="I23" s="1144"/>
      <c r="J23" s="1144"/>
      <c r="K23" s="781"/>
      <c r="L23" s="781"/>
      <c r="M23" s="781"/>
      <c r="N23" s="1144"/>
      <c r="O23" s="1144"/>
      <c r="P23" s="1144"/>
      <c r="Q23" s="1144"/>
      <c r="R23" s="1144"/>
      <c r="S23" s="1144"/>
      <c r="T23" s="1144"/>
      <c r="U23" s="793"/>
      <c r="V23" s="1144"/>
      <c r="W23" s="781"/>
      <c r="X23" s="1144"/>
      <c r="Y23" s="781"/>
      <c r="Z23" s="1144"/>
      <c r="AA23" s="1144"/>
      <c r="AB23" s="777"/>
    </row>
    <row r="24" spans="1:28" s="778" customFormat="1" ht="19.899999999999999" customHeight="1" outlineLevel="1" x14ac:dyDescent="0.25">
      <c r="A24" s="1144"/>
      <c r="B24" s="837" t="s">
        <v>420</v>
      </c>
      <c r="C24" s="787" t="s">
        <v>1</v>
      </c>
      <c r="D24" s="840">
        <v>0</v>
      </c>
      <c r="E24" s="1144"/>
      <c r="F24" s="805" t="s">
        <v>421</v>
      </c>
      <c r="G24" s="795" t="s">
        <v>422</v>
      </c>
      <c r="H24" s="841">
        <f>D26*(D10)/G11</f>
        <v>261.21306900741695</v>
      </c>
      <c r="I24" s="1144"/>
      <c r="J24" s="1144"/>
      <c r="K24" s="781"/>
      <c r="L24" s="781"/>
      <c r="M24" s="781"/>
      <c r="N24" s="794"/>
      <c r="O24" s="794"/>
      <c r="P24" s="794"/>
      <c r="Q24" s="794"/>
      <c r="R24" s="794"/>
      <c r="S24" s="1144"/>
      <c r="T24" s="1144"/>
      <c r="U24" s="793"/>
      <c r="V24" s="1144"/>
      <c r="W24" s="781"/>
      <c r="X24" s="1144"/>
      <c r="Y24" s="781"/>
      <c r="Z24" s="1144"/>
      <c r="AA24" s="1144"/>
      <c r="AB24" s="777"/>
    </row>
    <row r="25" spans="1:28" s="778" customFormat="1" ht="34.9" customHeight="1" outlineLevel="1" thickBot="1" x14ac:dyDescent="0.3">
      <c r="A25" s="1144"/>
      <c r="B25" s="805" t="s">
        <v>423</v>
      </c>
      <c r="C25" s="795" t="s">
        <v>385</v>
      </c>
      <c r="D25" s="832">
        <f>D20</f>
        <v>44.821289297913665</v>
      </c>
      <c r="E25" s="1144"/>
      <c r="F25" s="839" t="s">
        <v>424</v>
      </c>
      <c r="G25" s="816" t="s">
        <v>425</v>
      </c>
      <c r="H25" s="842">
        <f>H24/12</f>
        <v>21.767755750618079</v>
      </c>
      <c r="I25" s="1144"/>
      <c r="J25" s="1144"/>
      <c r="K25" s="793"/>
      <c r="L25" s="793"/>
      <c r="M25" s="793"/>
      <c r="N25" s="794"/>
      <c r="O25" s="794"/>
      <c r="P25" s="794"/>
      <c r="Q25" s="794"/>
      <c r="R25" s="794"/>
      <c r="S25" s="1144"/>
      <c r="T25" s="1144"/>
      <c r="U25" s="793"/>
      <c r="V25" s="1144"/>
      <c r="W25" s="781"/>
      <c r="X25" s="1144"/>
      <c r="Y25" s="781"/>
      <c r="Z25" s="1144"/>
      <c r="AA25" s="1144"/>
      <c r="AB25" s="777"/>
    </row>
    <row r="26" spans="1:28" s="778" customFormat="1" ht="34.9" customHeight="1" outlineLevel="1" thickTop="1" thickBot="1" x14ac:dyDescent="0.3">
      <c r="A26" s="1144"/>
      <c r="B26" s="839" t="s">
        <v>426</v>
      </c>
      <c r="C26" s="816" t="s">
        <v>407</v>
      </c>
      <c r="D26" s="817">
        <f>(D25*1000000/(D8*D11))*(1-D24)</f>
        <v>1.712848470931511</v>
      </c>
      <c r="E26" s="1144"/>
      <c r="F26" s="1144"/>
      <c r="G26" s="1144"/>
      <c r="H26" s="781"/>
      <c r="I26" s="1144"/>
      <c r="J26" s="781"/>
      <c r="K26" s="793"/>
      <c r="L26" s="793"/>
      <c r="M26" s="793"/>
      <c r="N26" s="794"/>
      <c r="O26" s="794"/>
      <c r="P26" s="794"/>
      <c r="Q26" s="794"/>
      <c r="R26" s="794"/>
      <c r="S26" s="1144"/>
      <c r="T26" s="1144"/>
      <c r="U26" s="793"/>
      <c r="V26" s="1144"/>
      <c r="W26" s="781"/>
      <c r="X26" s="1144"/>
      <c r="Y26" s="781"/>
      <c r="Z26" s="1144"/>
      <c r="AA26" s="1144"/>
      <c r="AB26" s="777"/>
    </row>
    <row r="27" spans="1:28" s="778" customFormat="1" ht="7.15" customHeight="1" thickTop="1" x14ac:dyDescent="0.25">
      <c r="A27" s="1144"/>
      <c r="B27" s="1144"/>
      <c r="C27" s="781"/>
      <c r="D27" s="1144"/>
      <c r="E27" s="1144"/>
      <c r="F27" s="1144"/>
      <c r="G27" s="1144"/>
      <c r="H27" s="781"/>
      <c r="I27" s="781"/>
      <c r="J27" s="781"/>
      <c r="K27" s="781"/>
      <c r="L27" s="781"/>
      <c r="M27" s="781"/>
      <c r="N27" s="1144"/>
      <c r="O27" s="1144"/>
      <c r="P27" s="1144"/>
      <c r="Q27" s="1144"/>
      <c r="R27" s="1144"/>
      <c r="S27" s="1144"/>
      <c r="T27" s="1144"/>
      <c r="U27" s="793"/>
      <c r="V27" s="1144"/>
      <c r="W27" s="781"/>
      <c r="X27" s="1144"/>
      <c r="Y27" s="781"/>
      <c r="Z27" s="1144"/>
      <c r="AA27" s="1144"/>
      <c r="AB27" s="777"/>
    </row>
    <row r="28" spans="1:28" s="778" customFormat="1" ht="7.15" customHeight="1" x14ac:dyDescent="0.25">
      <c r="A28" s="1144"/>
      <c r="B28" s="1144"/>
      <c r="C28" s="781"/>
      <c r="D28" s="1144"/>
      <c r="E28" s="1144"/>
      <c r="F28" s="1144"/>
      <c r="G28" s="1144"/>
      <c r="H28" s="781"/>
      <c r="I28" s="1144"/>
      <c r="J28" s="781"/>
      <c r="K28" s="781"/>
      <c r="L28" s="781"/>
      <c r="M28" s="781"/>
      <c r="N28" s="1144"/>
      <c r="O28" s="1144"/>
      <c r="P28" s="1144"/>
      <c r="Q28" s="1144"/>
      <c r="R28" s="1144"/>
      <c r="S28" s="1144"/>
      <c r="T28" s="1144"/>
      <c r="U28" s="793"/>
      <c r="V28" s="1144"/>
      <c r="W28" s="781"/>
      <c r="X28" s="1144"/>
      <c r="Y28" s="781"/>
      <c r="Z28" s="1144"/>
      <c r="AA28" s="1144"/>
      <c r="AB28" s="777"/>
    </row>
    <row r="29" spans="1:28" s="778" customFormat="1" ht="61.15" customHeight="1" x14ac:dyDescent="0.25">
      <c r="A29" s="1144"/>
      <c r="B29" s="1313" t="s">
        <v>427</v>
      </c>
      <c r="C29" s="1314"/>
      <c r="D29" s="1314"/>
      <c r="E29" s="1315"/>
      <c r="F29" s="1144"/>
      <c r="G29" s="1144"/>
      <c r="H29" s="781"/>
      <c r="I29" s="1144"/>
      <c r="J29" s="781"/>
      <c r="K29" s="1316" t="s">
        <v>428</v>
      </c>
      <c r="L29" s="1317"/>
      <c r="M29" s="1318"/>
      <c r="N29" s="1144"/>
      <c r="O29" s="1319" t="s">
        <v>429</v>
      </c>
      <c r="P29" s="132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144"/>
      <c r="AB29" s="777"/>
    </row>
    <row r="30" spans="1:28" s="778" customFormat="1" ht="4.9000000000000004" customHeight="1" x14ac:dyDescent="0.25">
      <c r="A30" s="1144"/>
      <c r="B30" s="1144"/>
      <c r="C30" s="781"/>
      <c r="D30" s="1144"/>
      <c r="E30" s="1144"/>
      <c r="F30" s="1144"/>
      <c r="G30" s="1144"/>
      <c r="H30" s="781"/>
      <c r="I30" s="1144"/>
      <c r="J30" s="781"/>
      <c r="K30" s="781"/>
      <c r="L30" s="781"/>
      <c r="M30" s="781"/>
      <c r="N30" s="1144"/>
      <c r="O30" s="1144"/>
      <c r="P30" s="1144"/>
      <c r="Q30" s="1144"/>
      <c r="R30" s="1144"/>
      <c r="S30" s="1144"/>
      <c r="T30" s="1144"/>
      <c r="U30" s="793"/>
      <c r="V30" s="1144"/>
      <c r="W30" s="781"/>
      <c r="X30" s="1144"/>
      <c r="Y30" s="781"/>
      <c r="Z30" s="1144"/>
      <c r="AA30" s="1144"/>
      <c r="AB30" s="777"/>
    </row>
    <row r="31" spans="1:28" s="778" customFormat="1" ht="19.899999999999999" customHeight="1" x14ac:dyDescent="0.25">
      <c r="A31" s="1144"/>
      <c r="B31" s="1321" t="s">
        <v>430</v>
      </c>
      <c r="C31" s="1322"/>
      <c r="D31" s="1322"/>
      <c r="E31" s="1322"/>
      <c r="F31" s="1322"/>
      <c r="G31" s="1322"/>
      <c r="H31" s="1322"/>
      <c r="I31" s="1322"/>
      <c r="J31" s="1322"/>
      <c r="K31" s="1322"/>
      <c r="L31" s="843" t="s">
        <v>431</v>
      </c>
      <c r="M31" s="843" t="s">
        <v>432</v>
      </c>
      <c r="N31" s="1144"/>
      <c r="O31" s="1324" t="s">
        <v>433</v>
      </c>
      <c r="P31" s="1144"/>
      <c r="Q31" s="1324" t="s">
        <v>434</v>
      </c>
      <c r="R31" s="1144"/>
      <c r="S31" s="1324" t="s">
        <v>435</v>
      </c>
      <c r="T31" s="1144"/>
      <c r="U31" s="1324" t="s">
        <v>436</v>
      </c>
      <c r="V31" s="1144"/>
      <c r="W31" s="1324" t="s">
        <v>436</v>
      </c>
      <c r="X31" s="1144"/>
      <c r="Y31" s="1324" t="s">
        <v>437</v>
      </c>
      <c r="Z31" s="1144"/>
      <c r="AA31" s="1144"/>
      <c r="AB31" s="777"/>
    </row>
    <row r="32" spans="1:28" s="778" customFormat="1" ht="19.899999999999999" customHeight="1" x14ac:dyDescent="0.25">
      <c r="A32" s="1144"/>
      <c r="B32" s="1323"/>
      <c r="C32" s="1322"/>
      <c r="D32" s="1322"/>
      <c r="E32" s="1322"/>
      <c r="F32" s="1322"/>
      <c r="G32" s="1322"/>
      <c r="H32" s="1322"/>
      <c r="I32" s="1322"/>
      <c r="J32" s="1322"/>
      <c r="K32" s="1322"/>
      <c r="L32" s="844">
        <f>H24</f>
        <v>261.21306900741695</v>
      </c>
      <c r="M32" s="845">
        <f>H25</f>
        <v>21.767755750618079</v>
      </c>
      <c r="N32" s="846"/>
      <c r="O32" s="1325"/>
      <c r="P32" s="846"/>
      <c r="Q32" s="1325"/>
      <c r="R32" s="846"/>
      <c r="S32" s="1325"/>
      <c r="T32" s="1144"/>
      <c r="U32" s="1325"/>
      <c r="V32" s="1144"/>
      <c r="W32" s="1325"/>
      <c r="X32" s="1144"/>
      <c r="Y32" s="1326"/>
      <c r="Z32" s="1144"/>
      <c r="AA32" s="1144"/>
      <c r="AB32" s="777"/>
    </row>
    <row r="33" spans="1:28" s="778" customFormat="1" ht="15" customHeight="1" x14ac:dyDescent="0.25">
      <c r="A33" s="1144"/>
      <c r="B33" s="1144"/>
      <c r="C33" s="781"/>
      <c r="D33" s="1144"/>
      <c r="E33" s="1144"/>
      <c r="F33" s="1144"/>
      <c r="G33" s="1144"/>
      <c r="H33" s="781"/>
      <c r="I33" s="1144"/>
      <c r="J33" s="781"/>
      <c r="K33" s="781"/>
      <c r="L33" s="781"/>
      <c r="M33" s="781"/>
      <c r="N33" s="1144"/>
      <c r="O33" s="806">
        <f>O36+O49+O62+O75+O88</f>
        <v>171589</v>
      </c>
      <c r="P33" s="1144"/>
      <c r="Q33" s="806">
        <f>(Q36+Q49+Q62+Q75+Q88)*12/1000000</f>
        <v>45.087047836550859</v>
      </c>
      <c r="R33" s="1144"/>
      <c r="S33" s="806">
        <f>12*S34</f>
        <v>257977.38543486263</v>
      </c>
      <c r="T33" s="1144" t="s">
        <v>438</v>
      </c>
      <c r="U33" s="806">
        <f>12*U34</f>
        <v>26566304.926869024</v>
      </c>
      <c r="V33" s="1144" t="s">
        <v>439</v>
      </c>
      <c r="W33" s="806">
        <f>12*W34</f>
        <v>26566304.926869024</v>
      </c>
      <c r="X33" s="1144" t="s">
        <v>439</v>
      </c>
      <c r="Y33" s="1311">
        <v>0.1</v>
      </c>
      <c r="Z33" s="1144"/>
      <c r="AA33" s="1144"/>
      <c r="AB33" s="777"/>
    </row>
    <row r="34" spans="1:28" s="778" customFormat="1" ht="34.9" customHeight="1" outlineLevel="1" x14ac:dyDescent="0.25">
      <c r="A34" s="1144"/>
      <c r="B34" s="1291" t="s">
        <v>440</v>
      </c>
      <c r="C34" s="1292"/>
      <c r="D34" s="1292"/>
      <c r="E34" s="1292"/>
      <c r="F34" s="1292"/>
      <c r="G34" s="1292"/>
      <c r="H34" s="1292"/>
      <c r="I34" s="1292"/>
      <c r="J34" s="1292"/>
      <c r="K34" s="1292"/>
      <c r="L34" s="1292"/>
      <c r="M34" s="1292"/>
      <c r="N34" s="846"/>
      <c r="O34" s="847"/>
      <c r="P34" s="846"/>
      <c r="Q34" s="847"/>
      <c r="R34" s="846"/>
      <c r="S34" s="806">
        <f>S36+S49+S62+S75+S88</f>
        <v>21498.115452905218</v>
      </c>
      <c r="T34" s="1144" t="s">
        <v>441</v>
      </c>
      <c r="U34" s="806">
        <f>U36+U49+U62+U75+U88</f>
        <v>2213858.743905752</v>
      </c>
      <c r="V34" s="1144" t="s">
        <v>442</v>
      </c>
      <c r="W34" s="806">
        <f>W36+W49+W62+W75+W88</f>
        <v>2213858.743905752</v>
      </c>
      <c r="X34" s="1144" t="s">
        <v>442</v>
      </c>
      <c r="Y34" s="1312"/>
      <c r="Z34" s="1144"/>
      <c r="AA34" s="1144"/>
      <c r="AB34" s="777"/>
    </row>
    <row r="35" spans="1:28" s="778" customFormat="1" ht="25.15" customHeight="1" outlineLevel="1" x14ac:dyDescent="0.25">
      <c r="A35" s="1144"/>
      <c r="B35" s="1293" t="s">
        <v>443</v>
      </c>
      <c r="C35" s="1294"/>
      <c r="D35" s="1294"/>
      <c r="E35" s="1295"/>
      <c r="F35" s="1294"/>
      <c r="G35" s="1294"/>
      <c r="H35" s="1294"/>
      <c r="I35" s="1295"/>
      <c r="J35" s="1294"/>
      <c r="K35" s="1294"/>
      <c r="L35" s="1294"/>
      <c r="M35" s="1294"/>
      <c r="N35" s="846"/>
      <c r="O35" s="848">
        <f>G9</f>
        <v>40</v>
      </c>
      <c r="P35" s="846"/>
      <c r="Q35" s="1041">
        <f>Q36/O35</f>
        <v>32.47307000453533</v>
      </c>
      <c r="R35" s="846"/>
      <c r="S35" s="847"/>
      <c r="T35" s="1144"/>
      <c r="U35" s="849"/>
      <c r="V35" s="1144"/>
      <c r="W35" s="849"/>
      <c r="X35" s="1144"/>
      <c r="Y35" s="850"/>
      <c r="Z35" s="1144"/>
      <c r="AA35" s="1144"/>
      <c r="AB35" s="777"/>
    </row>
    <row r="36" spans="1:28" s="778" customFormat="1" ht="36" customHeight="1" outlineLevel="1" x14ac:dyDescent="0.25">
      <c r="A36" s="1144"/>
      <c r="B36" s="1293" t="s">
        <v>444</v>
      </c>
      <c r="C36" s="1293" t="s">
        <v>445</v>
      </c>
      <c r="D36" s="1297"/>
      <c r="E36" s="851"/>
      <c r="F36" s="1298" t="s">
        <v>446</v>
      </c>
      <c r="G36" s="1294"/>
      <c r="H36" s="1299"/>
      <c r="I36" s="852"/>
      <c r="J36" s="1301" t="s">
        <v>447</v>
      </c>
      <c r="K36" s="1302"/>
      <c r="L36" s="1302"/>
      <c r="M36" s="1302"/>
      <c r="N36" s="1144"/>
      <c r="O36" s="806">
        <f>O39+O41+O42+O43+O44+O45</f>
        <v>40</v>
      </c>
      <c r="P36" s="1144"/>
      <c r="Q36" s="853">
        <f>Q39+Q41+Q42+Q43+Q44+Q45</f>
        <v>1298.9228001814131</v>
      </c>
      <c r="R36" s="1144"/>
      <c r="S36" s="1283">
        <f>IF(AND(Q36&lt;&gt;0,O36&lt;&gt;0),Q36*(1-D17-D18-D19)/(($D$25*1000000/$D$8)),0)</f>
        <v>6.7380770623125361</v>
      </c>
      <c r="T36" s="1285" t="s">
        <v>448</v>
      </c>
      <c r="U36" s="1283">
        <f>U39+U41+U42+U43+U44+U45</f>
        <v>693.88178950799693</v>
      </c>
      <c r="V36" s="1144" t="s">
        <v>449</v>
      </c>
      <c r="W36" s="1283">
        <f>W39*O39+W41*O41+W42*O42+W43*O43+W44*O44+W45*O45</f>
        <v>693.88178950799693</v>
      </c>
      <c r="X36" s="1144" t="s">
        <v>449</v>
      </c>
      <c r="Y36" s="854" t="s">
        <v>450</v>
      </c>
      <c r="Z36" s="1144"/>
      <c r="AA36" s="1144"/>
      <c r="AB36" s="777"/>
    </row>
    <row r="37" spans="1:28" s="778" customFormat="1" ht="24" customHeight="1" outlineLevel="1" x14ac:dyDescent="0.25">
      <c r="A37" s="1144"/>
      <c r="B37" s="1296"/>
      <c r="C37" s="855" t="s">
        <v>451</v>
      </c>
      <c r="D37" s="856" t="s">
        <v>452</v>
      </c>
      <c r="E37" s="857"/>
      <c r="F37" s="1300"/>
      <c r="G37" s="1294"/>
      <c r="H37" s="1299"/>
      <c r="I37" s="858"/>
      <c r="J37" s="1288" t="s">
        <v>453</v>
      </c>
      <c r="K37" s="1289"/>
      <c r="L37" s="1290" t="s">
        <v>454</v>
      </c>
      <c r="M37" s="1289"/>
      <c r="N37" s="1144"/>
      <c r="O37" s="859" t="s">
        <v>455</v>
      </c>
      <c r="P37" s="1144"/>
      <c r="Q37" s="860">
        <v>0.75</v>
      </c>
      <c r="R37" s="1144"/>
      <c r="S37" s="1284"/>
      <c r="T37" s="1286"/>
      <c r="U37" s="1284"/>
      <c r="V37" s="1144"/>
      <c r="W37" s="1287"/>
      <c r="X37" s="1144"/>
      <c r="Y37" s="861">
        <f>$Y$33</f>
        <v>0.1</v>
      </c>
      <c r="Z37" s="1144"/>
      <c r="AA37" s="1144"/>
      <c r="AB37" s="777"/>
    </row>
    <row r="38" spans="1:28" s="778" customFormat="1" ht="24" customHeight="1" outlineLevel="1" x14ac:dyDescent="0.25">
      <c r="A38" s="1144"/>
      <c r="B38" s="1278">
        <v>1</v>
      </c>
      <c r="C38" s="1278">
        <v>1</v>
      </c>
      <c r="D38" s="128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4"/>
      <c r="O38" s="868"/>
      <c r="P38" s="1144"/>
      <c r="Q38" s="869"/>
      <c r="R38" s="1144"/>
      <c r="S38" s="870"/>
      <c r="T38" s="1144"/>
      <c r="U38" s="870"/>
      <c r="V38" s="1144"/>
      <c r="W38" s="871"/>
      <c r="X38" s="1144"/>
      <c r="Y38" s="871"/>
      <c r="Z38" s="1144"/>
      <c r="AA38" s="1144"/>
      <c r="AB38" s="777"/>
    </row>
    <row r="39" spans="1:28" s="778" customFormat="1" ht="24" customHeight="1" outlineLevel="1" x14ac:dyDescent="0.25">
      <c r="A39" s="1144"/>
      <c r="B39" s="1279"/>
      <c r="C39" s="1280"/>
      <c r="D39" s="128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144"/>
      <c r="O39" s="877">
        <v>2</v>
      </c>
      <c r="P39" s="1144"/>
      <c r="Q39" s="878">
        <f>O39*$Q$37*M39+O39*(1-$Q$37)*K39</f>
        <v>12.924604976929484</v>
      </c>
      <c r="R39" s="1144"/>
      <c r="S39" s="879">
        <f>IF(AND(Q39&lt;&gt;0,O39&lt;&gt;0),Q39*(1-D17-D18-D19)/O39/30/(($D$25*1000000/$D$8))*1000,0)</f>
        <v>1.1174257151430407</v>
      </c>
      <c r="T39" s="1144" t="s">
        <v>459</v>
      </c>
      <c r="U39" s="880">
        <f>S39*O39*30*$D$11*(1+$D$24)/1000</f>
        <v>6.9042964130148921</v>
      </c>
      <c r="V39" s="1144" t="s">
        <v>460</v>
      </c>
      <c r="W39" s="880">
        <f>IF(O39&lt;&gt;0,U39/O39,0)</f>
        <v>3.452148206507446</v>
      </c>
      <c r="X39" s="1144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4"/>
      <c r="B40" s="1279"/>
      <c r="C40" s="1280"/>
      <c r="D40" s="128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4"/>
      <c r="O40" s="868"/>
      <c r="P40" s="1144"/>
      <c r="Q40" s="869"/>
      <c r="R40" s="1144"/>
      <c r="S40" s="885"/>
      <c r="T40" s="1144"/>
      <c r="U40" s="886"/>
      <c r="V40" s="1144"/>
      <c r="W40" s="886"/>
      <c r="X40" s="1144"/>
      <c r="Y40" s="871"/>
      <c r="Z40" s="1144"/>
      <c r="AA40" s="781"/>
      <c r="AB40" s="777"/>
    </row>
    <row r="41" spans="1:28" s="778" customFormat="1" ht="24" customHeight="1" outlineLevel="1" x14ac:dyDescent="0.25">
      <c r="A41" s="1144"/>
      <c r="B41" s="1279"/>
      <c r="C41" s="1280"/>
      <c r="D41" s="128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144"/>
      <c r="O41" s="877">
        <v>2</v>
      </c>
      <c r="P41" s="1144"/>
      <c r="Q41" s="878">
        <f>O41*$Q$37*M41+O41*(1-$Q$37)*K41</f>
        <v>37.481354433095504</v>
      </c>
      <c r="R41" s="1144"/>
      <c r="S41" s="879">
        <f>IF(AND(Q41&lt;&gt;0,O41&lt;&gt;0),Q41*(1-D17-D18-D19)/O41/30/(($D$25*1000000/$D$8))*1000,0)</f>
        <v>3.2405345739148186</v>
      </c>
      <c r="T41" s="1144" t="s">
        <v>459</v>
      </c>
      <c r="U41" s="880">
        <f>S41*O41*30*$D$11*(1+$D$24)/1000</f>
        <v>20.022459597743193</v>
      </c>
      <c r="V41" s="1144" t="s">
        <v>460</v>
      </c>
      <c r="W41" s="880">
        <f>IF(O41&lt;&gt;0,U41/O41,0)</f>
        <v>10.011229798871597</v>
      </c>
      <c r="X41" s="1144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4"/>
      <c r="B42" s="1279"/>
      <c r="C42" s="1280"/>
      <c r="D42" s="128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144"/>
      <c r="O42" s="877">
        <v>28</v>
      </c>
      <c r="P42" s="1144"/>
      <c r="Q42" s="878">
        <f>O42*$Q$37*M42+O42*(1-$Q$37)*K42</f>
        <v>886.62790141736264</v>
      </c>
      <c r="R42" s="1144"/>
      <c r="S42" s="879">
        <f>IF(AND(Q42&lt;&gt;0,O42&lt;&gt;0),Q42*(1-D17-D18-D19)/O42/30/(($D$25*1000000/$D$8))*1000,0)</f>
        <v>5.4753860042009004</v>
      </c>
      <c r="T42" s="1144" t="s">
        <v>459</v>
      </c>
      <c r="U42" s="880">
        <f>S42*O42*30*$D$11*(1+$D$24)/1000</f>
        <v>473.6347339328218</v>
      </c>
      <c r="V42" s="1144" t="s">
        <v>460</v>
      </c>
      <c r="W42" s="880">
        <f>IF(O42&lt;&gt;0,U42/O42,0)</f>
        <v>16.915526211886494</v>
      </c>
      <c r="X42" s="1144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4"/>
      <c r="B43" s="1279"/>
      <c r="C43" s="1280"/>
      <c r="D43" s="128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144"/>
      <c r="O43" s="877">
        <v>8</v>
      </c>
      <c r="P43" s="1144"/>
      <c r="Q43" s="878">
        <f>O43*$Q$37*M43+O43*(1-$Q$37)*K43</f>
        <v>361.88893935402552</v>
      </c>
      <c r="R43" s="1144"/>
      <c r="S43" s="879">
        <f>IF(AND(Q43&lt;&gt;0,O43&lt;&gt;0),Q43*(1-D17-D18-D19)/O43/30/(($D$25*1000000/$D$8))*1000,0)</f>
        <v>7.8219800060012856</v>
      </c>
      <c r="T43" s="1144" t="s">
        <v>459</v>
      </c>
      <c r="U43" s="880">
        <f>S43*O43*30*$D$11*(1+$D$24)/1000</f>
        <v>193.32029956441701</v>
      </c>
      <c r="V43" s="1144" t="s">
        <v>460</v>
      </c>
      <c r="W43" s="880">
        <f>IF(O43&lt;&gt;0,U43/O43,0)</f>
        <v>24.165037445552127</v>
      </c>
      <c r="X43" s="1144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4"/>
      <c r="B44" s="1279"/>
      <c r="C44" s="1280"/>
      <c r="D44" s="128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144"/>
      <c r="O44" s="877">
        <v>0</v>
      </c>
      <c r="P44" s="1144"/>
      <c r="Q44" s="878">
        <f>O44*$Q$37*M44+O44*(1-$Q$37)*K44</f>
        <v>0</v>
      </c>
      <c r="R44" s="1144"/>
      <c r="S44" s="879">
        <f>IF(AND(Q44&lt;&gt;0,O44&lt;&gt;0),Q44*(1-D17-D18-D19)/O44/30/(($D$25*1000000/$D$8))*1000,0)</f>
        <v>0</v>
      </c>
      <c r="T44" s="1144" t="s">
        <v>459</v>
      </c>
      <c r="U44" s="880">
        <f>S44*O44*30*$D$11*(1+$D$24)/1000</f>
        <v>0</v>
      </c>
      <c r="V44" s="1144" t="s">
        <v>460</v>
      </c>
      <c r="W44" s="880">
        <f>IF(O44&lt;&gt;0,U44/O44,0)</f>
        <v>0</v>
      </c>
      <c r="X44" s="1144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4"/>
      <c r="B45" s="1279"/>
      <c r="C45" s="1280"/>
      <c r="D45" s="128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144"/>
      <c r="O45" s="877">
        <v>0</v>
      </c>
      <c r="P45" s="1144"/>
      <c r="Q45" s="878">
        <f>O45*$Q$37*M45+O45*(1-$Q$37)*K45</f>
        <v>0</v>
      </c>
      <c r="R45" s="1144"/>
      <c r="S45" s="879">
        <f>IF(AND(Q45&lt;&gt;0,O45&lt;&gt;0),Q45*(1-D17-D18-D19)/O45/30/(($D$25*1000000/$D$8))*1000,0)</f>
        <v>0</v>
      </c>
      <c r="T45" s="1144" t="s">
        <v>459</v>
      </c>
      <c r="U45" s="880">
        <f>S45*O45*30*$D$11*(1+$D$24)/1000</f>
        <v>0</v>
      </c>
      <c r="V45" s="1144" t="s">
        <v>460</v>
      </c>
      <c r="W45" s="880">
        <f>IF(O45&lt;&gt;0,U45/O45,0)</f>
        <v>0</v>
      </c>
      <c r="X45" s="1144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4"/>
      <c r="B46" s="1144"/>
      <c r="C46" s="781"/>
      <c r="D46" s="1144"/>
      <c r="E46" s="1144"/>
      <c r="F46" s="781"/>
      <c r="G46" s="781"/>
      <c r="H46" s="781"/>
      <c r="I46" s="1144"/>
      <c r="J46" s="781"/>
      <c r="K46" s="781"/>
      <c r="L46" s="781"/>
      <c r="M46" s="781"/>
      <c r="N46" s="1144"/>
      <c r="O46" s="1144"/>
      <c r="P46" s="1144"/>
      <c r="Q46" s="1144"/>
      <c r="R46" s="1144"/>
      <c r="S46" s="1144"/>
      <c r="T46" s="1144"/>
      <c r="U46" s="1144"/>
      <c r="V46" s="1144"/>
      <c r="W46" s="781"/>
      <c r="X46" s="1144"/>
      <c r="Y46" s="781"/>
      <c r="Z46" s="1144"/>
      <c r="AA46" s="1144"/>
      <c r="AB46" s="777"/>
    </row>
    <row r="47" spans="1:28" s="778" customFormat="1" ht="34.9" customHeight="1" outlineLevel="1" x14ac:dyDescent="0.25">
      <c r="A47" s="1144"/>
      <c r="B47" s="1291" t="s">
        <v>464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846"/>
      <c r="O47" s="1144"/>
      <c r="P47" s="846"/>
      <c r="Q47" s="1144"/>
      <c r="R47" s="846"/>
      <c r="S47" s="1144"/>
      <c r="T47" s="1144"/>
      <c r="U47" s="1144"/>
      <c r="V47" s="1144"/>
      <c r="W47" s="781"/>
      <c r="X47" s="1144"/>
      <c r="Y47" s="781"/>
      <c r="Z47" s="1144"/>
      <c r="AA47" s="1144"/>
      <c r="AB47" s="777"/>
    </row>
    <row r="48" spans="1:28" s="893" customFormat="1" ht="25.15" customHeight="1" outlineLevel="1" x14ac:dyDescent="0.45">
      <c r="A48" s="887"/>
      <c r="B48" s="1293" t="s">
        <v>443</v>
      </c>
      <c r="C48" s="1294"/>
      <c r="D48" s="1294"/>
      <c r="E48" s="1295"/>
      <c r="F48" s="1294"/>
      <c r="G48" s="1294"/>
      <c r="H48" s="1294"/>
      <c r="I48" s="1295"/>
      <c r="J48" s="1294"/>
      <c r="K48" s="1294"/>
      <c r="L48" s="1294"/>
      <c r="M48" s="1294"/>
      <c r="N48" s="888"/>
      <c r="O48" s="889">
        <f>G6</f>
        <v>127341</v>
      </c>
      <c r="P48" s="888"/>
      <c r="Q48" s="1041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4"/>
      <c r="B49" s="1293" t="s">
        <v>444</v>
      </c>
      <c r="C49" s="1293" t="s">
        <v>445</v>
      </c>
      <c r="D49" s="1297"/>
      <c r="E49" s="851"/>
      <c r="F49" s="1298" t="s">
        <v>446</v>
      </c>
      <c r="G49" s="1294"/>
      <c r="H49" s="1299"/>
      <c r="I49" s="852"/>
      <c r="J49" s="1301" t="s">
        <v>447</v>
      </c>
      <c r="K49" s="1302"/>
      <c r="L49" s="1302"/>
      <c r="M49" s="1302"/>
      <c r="N49" s="1144"/>
      <c r="O49" s="806">
        <f>O52+O54+O55+O56+O57+O58</f>
        <v>127341</v>
      </c>
      <c r="P49" s="1144"/>
      <c r="Q49" s="894">
        <f>Q52+Q54+Q55+Q56+Q57+Q58</f>
        <v>3304632.4864088376</v>
      </c>
      <c r="R49" s="1144"/>
      <c r="S49" s="1308">
        <f>IF(AND(Q49&lt;&gt;0,O49&lt;&gt;0),Q49*(1-D17-D18-D19)/(($D$25*1000000/$D$8)),0)</f>
        <v>17142.564864466422</v>
      </c>
      <c r="T49" s="1285" t="s">
        <v>448</v>
      </c>
      <c r="U49" s="1283">
        <f>U52+U54+U55+U56+U57+U58</f>
        <v>1765327.6261032382</v>
      </c>
      <c r="V49" s="1144" t="s">
        <v>449</v>
      </c>
      <c r="W49" s="1309">
        <f>W52*O52+W54*O54+W55*O55+W56*O56+W57*O57+W58*O58</f>
        <v>1765327.6261032382</v>
      </c>
      <c r="X49" s="1144" t="s">
        <v>449</v>
      </c>
      <c r="Y49" s="854" t="s">
        <v>450</v>
      </c>
      <c r="Z49" s="1144"/>
      <c r="AA49" s="1144"/>
      <c r="AB49" s="777"/>
    </row>
    <row r="50" spans="1:28" s="778" customFormat="1" ht="24" customHeight="1" outlineLevel="1" x14ac:dyDescent="0.25">
      <c r="A50" s="1144"/>
      <c r="B50" s="1296"/>
      <c r="C50" s="855" t="s">
        <v>451</v>
      </c>
      <c r="D50" s="856" t="s">
        <v>452</v>
      </c>
      <c r="E50" s="857"/>
      <c r="F50" s="1300"/>
      <c r="G50" s="1294"/>
      <c r="H50" s="1299"/>
      <c r="I50" s="858"/>
      <c r="J50" s="1288" t="s">
        <v>453</v>
      </c>
      <c r="K50" s="1289"/>
      <c r="L50" s="1290" t="s">
        <v>454</v>
      </c>
      <c r="M50" s="1289"/>
      <c r="N50" s="1144"/>
      <c r="O50" s="895" t="s">
        <v>455</v>
      </c>
      <c r="P50" s="1144"/>
      <c r="Q50" s="860">
        <v>0.75</v>
      </c>
      <c r="R50" s="1144"/>
      <c r="S50" s="1284"/>
      <c r="T50" s="1286"/>
      <c r="U50" s="1284"/>
      <c r="V50" s="1144"/>
      <c r="W50" s="1310"/>
      <c r="X50" s="1144"/>
      <c r="Y50" s="861">
        <f>$Y$33</f>
        <v>0.1</v>
      </c>
      <c r="Z50" s="1144"/>
      <c r="AA50" s="1144"/>
      <c r="AB50" s="777"/>
    </row>
    <row r="51" spans="1:28" s="778" customFormat="1" ht="24" customHeight="1" outlineLevel="1" x14ac:dyDescent="0.25">
      <c r="A51" s="1144"/>
      <c r="B51" s="1306">
        <v>1.2749999999999999</v>
      </c>
      <c r="C51" s="1278">
        <v>1</v>
      </c>
      <c r="D51" s="128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4"/>
      <c r="O51" s="868"/>
      <c r="P51" s="1144"/>
      <c r="Q51" s="869"/>
      <c r="R51" s="1144"/>
      <c r="S51" s="870"/>
      <c r="T51" s="1144"/>
      <c r="U51" s="870"/>
      <c r="V51" s="1144"/>
      <c r="W51" s="850"/>
      <c r="X51" s="1144"/>
      <c r="Y51" s="896"/>
      <c r="Z51" s="1144"/>
      <c r="AA51" s="1144"/>
      <c r="AB51" s="777"/>
    </row>
    <row r="52" spans="1:28" s="778" customFormat="1" ht="24" customHeight="1" outlineLevel="1" x14ac:dyDescent="0.25">
      <c r="A52" s="1144"/>
      <c r="B52" s="1307"/>
      <c r="C52" s="1280"/>
      <c r="D52" s="128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144"/>
      <c r="O52" s="877">
        <v>62341</v>
      </c>
      <c r="P52" s="1144"/>
      <c r="Q52" s="878">
        <f>O52*$Q$50*M52+O52*(1-$Q$50)*K52</f>
        <v>565020.12520531612</v>
      </c>
      <c r="R52" s="1144"/>
      <c r="S52" s="879">
        <f>IF(AND(Q52&lt;&gt;0,O52&lt;&gt;0),Q52*(1-D17-D18-D19)/O52/30/(($D$25*1000000/$D$8))*1000,0)</f>
        <v>1.5671895654881145</v>
      </c>
      <c r="T52" s="1144" t="s">
        <v>459</v>
      </c>
      <c r="U52" s="880">
        <f>S52*O52*30*$D$11*(1+$D$24)/1000</f>
        <v>301832.54580698768</v>
      </c>
      <c r="V52" s="1144" t="s">
        <v>460</v>
      </c>
      <c r="W52" s="880">
        <f>IF(O52&lt;&gt;0,U52/O52,0)</f>
        <v>4.8416378596266929</v>
      </c>
      <c r="X52" s="1144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4"/>
      <c r="B53" s="1307"/>
      <c r="C53" s="1280"/>
      <c r="D53" s="128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4"/>
      <c r="O53" s="868"/>
      <c r="P53" s="1144"/>
      <c r="Q53" s="869"/>
      <c r="R53" s="1144"/>
      <c r="S53" s="885"/>
      <c r="T53" s="1144"/>
      <c r="U53" s="886"/>
      <c r="V53" s="1144"/>
      <c r="W53" s="897"/>
      <c r="X53" s="1144"/>
      <c r="Y53" s="896"/>
      <c r="Z53" s="1144"/>
      <c r="AA53" s="781"/>
      <c r="AB53" s="777"/>
    </row>
    <row r="54" spans="1:28" s="778" customFormat="1" ht="24" customHeight="1" outlineLevel="1" x14ac:dyDescent="0.25">
      <c r="A54" s="1144"/>
      <c r="B54" s="1307"/>
      <c r="C54" s="1280"/>
      <c r="D54" s="128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144"/>
      <c r="O54" s="877">
        <v>42500</v>
      </c>
      <c r="P54" s="1144"/>
      <c r="Q54" s="878">
        <f>O54*$Q$50*M54+O54*(1-$Q$50)*K54</f>
        <v>1225616.0563278911</v>
      </c>
      <c r="R54" s="1144"/>
      <c r="S54" s="879">
        <f>IF(AND(Q54&lt;&gt;0,O54&lt;&gt;0),Q54*(1-D17-D18-D19)/O54/30/(($D$25*1000000/$D$8))*1000,0)</f>
        <v>4.9865122538258193</v>
      </c>
      <c r="T54" s="1144" t="s">
        <v>459</v>
      </c>
      <c r="U54" s="880">
        <f>S54*O54*30*$D$11*(1+$D$24)/1000</f>
        <v>654721.48329042795</v>
      </c>
      <c r="V54" s="1144" t="s">
        <v>460</v>
      </c>
      <c r="W54" s="898">
        <f>IF(O54&lt;&gt;0,U54/O54,0)</f>
        <v>15.405211371539481</v>
      </c>
      <c r="X54" s="1144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4"/>
      <c r="B55" s="1307"/>
      <c r="C55" s="1280"/>
      <c r="D55" s="128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144"/>
      <c r="O55" s="877">
        <v>10000</v>
      </c>
      <c r="P55" s="1144"/>
      <c r="Q55" s="878">
        <f>O55*$Q$50*M55+O55*(1-$Q$50)*K55</f>
        <v>494366.14036755275</v>
      </c>
      <c r="R55" s="1144"/>
      <c r="S55" s="879">
        <f>IF(AND(Q55&lt;&gt;0,O55&lt;&gt;0),Q55*(1-D17-D18-D19)/O55/30/(($D$25*1000000/$D$8))*1000,0)</f>
        <v>8.5483067208442609</v>
      </c>
      <c r="T55" s="1144" t="s">
        <v>459</v>
      </c>
      <c r="U55" s="880">
        <f>S55*O55*30*$D$11*(1+$D$24)/1000</f>
        <v>264089.33779781964</v>
      </c>
      <c r="V55" s="1144" t="s">
        <v>460</v>
      </c>
      <c r="W55" s="899">
        <f>IF(O55&lt;&gt;0,U55/O55,0)</f>
        <v>26.408933779781965</v>
      </c>
      <c r="X55" s="1144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4"/>
      <c r="B56" s="1307"/>
      <c r="C56" s="1280"/>
      <c r="D56" s="128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144"/>
      <c r="O56" s="877">
        <v>12500</v>
      </c>
      <c r="P56" s="1144"/>
      <c r="Q56" s="878">
        <f>O56*$Q$50*M56+O56*(1-$Q$50)*K56</f>
        <v>1019630.1645080777</v>
      </c>
      <c r="R56" s="1144"/>
      <c r="S56" s="879">
        <f>IF(AND(Q56&lt;&gt;0,O56&lt;&gt;0),Q56*(1-D17-D18-D19)/O56/30/(($D$25*1000000/$D$8))*1000,0)</f>
        <v>14.104706089393032</v>
      </c>
      <c r="T56" s="1144" t="s">
        <v>459</v>
      </c>
      <c r="U56" s="880">
        <f>S56*O56*30*$D$11*(1+$D$24)/1000</f>
        <v>544684.25920800306</v>
      </c>
      <c r="V56" s="1144" t="s">
        <v>460</v>
      </c>
      <c r="W56" s="899">
        <f>IF(O56&lt;&gt;0,U56/O56,0)</f>
        <v>43.574740736640244</v>
      </c>
      <c r="X56" s="1144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4"/>
      <c r="B57" s="1307"/>
      <c r="C57" s="1280"/>
      <c r="D57" s="128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144"/>
      <c r="O57" s="877">
        <v>0</v>
      </c>
      <c r="P57" s="1144"/>
      <c r="Q57" s="878">
        <f>O57*$Q$50*M57+O57*(1-$Q$50)*K57</f>
        <v>0</v>
      </c>
      <c r="R57" s="1144"/>
      <c r="S57" s="879">
        <f>IF(AND(Q57&lt;&gt;0,O57&lt;&gt;0),Q57*(1-D17-D18-D19)/O57/30/(($D$25*1000000/$D$8))*1000,0)</f>
        <v>0</v>
      </c>
      <c r="T57" s="1144" t="s">
        <v>459</v>
      </c>
      <c r="U57" s="880">
        <f>S57*O57*30*$D$11*(1+$D$24)/1000</f>
        <v>0</v>
      </c>
      <c r="V57" s="1144" t="s">
        <v>460</v>
      </c>
      <c r="W57" s="899">
        <f>IF(O57&lt;&gt;0,U57/O57,0)</f>
        <v>0</v>
      </c>
      <c r="X57" s="1144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4"/>
      <c r="B58" s="1307"/>
      <c r="C58" s="1280"/>
      <c r="D58" s="128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144"/>
      <c r="O58" s="877">
        <v>0</v>
      </c>
      <c r="P58" s="1144"/>
      <c r="Q58" s="878">
        <f>O58*$Q$50*M58+O58*(1-$Q$50)*K58</f>
        <v>0</v>
      </c>
      <c r="R58" s="1144"/>
      <c r="S58" s="879">
        <f>IF(AND(Q58&lt;&gt;0,O58&lt;&gt;0),Q58*(1-D17-D18-D19)/O58/30/(($D$25*1000000/$D$8))*1000,0)</f>
        <v>0</v>
      </c>
      <c r="T58" s="1144" t="s">
        <v>459</v>
      </c>
      <c r="U58" s="880">
        <f>S58*O58*30*$D$11*(1+$D$24)/1000</f>
        <v>0</v>
      </c>
      <c r="V58" s="1144" t="s">
        <v>460</v>
      </c>
      <c r="W58" s="900">
        <f>IF(O58&lt;&gt;0,U58/O58,0)</f>
        <v>0</v>
      </c>
      <c r="X58" s="1144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4"/>
      <c r="B59" s="1144"/>
      <c r="C59" s="781"/>
      <c r="D59" s="1144"/>
      <c r="E59" s="1144"/>
      <c r="F59" s="1144"/>
      <c r="G59" s="1144"/>
      <c r="H59" s="781"/>
      <c r="I59" s="1144"/>
      <c r="J59" s="781"/>
      <c r="K59" s="781"/>
      <c r="L59" s="781"/>
      <c r="M59" s="781"/>
      <c r="N59" s="1144"/>
      <c r="O59" s="1144"/>
      <c r="P59" s="1144"/>
      <c r="Q59" s="1144"/>
      <c r="R59" s="1144"/>
      <c r="S59" s="1144"/>
      <c r="T59" s="1144"/>
      <c r="U59" s="1144"/>
      <c r="V59" s="1144"/>
      <c r="W59" s="781"/>
      <c r="X59" s="1144"/>
      <c r="Y59" s="781"/>
      <c r="Z59" s="1144"/>
      <c r="AA59" s="1144"/>
      <c r="AB59" s="777"/>
    </row>
    <row r="60" spans="1:28" s="778" customFormat="1" ht="34.9" customHeight="1" outlineLevel="1" x14ac:dyDescent="0.25">
      <c r="A60" s="1144"/>
      <c r="B60" s="1291" t="s">
        <v>469</v>
      </c>
      <c r="C60" s="1292"/>
      <c r="D60" s="1292"/>
      <c r="E60" s="1292"/>
      <c r="F60" s="1292"/>
      <c r="G60" s="1292"/>
      <c r="H60" s="1292"/>
      <c r="I60" s="1292"/>
      <c r="J60" s="1292"/>
      <c r="K60" s="1292"/>
      <c r="L60" s="1292"/>
      <c r="M60" s="1292"/>
      <c r="N60" s="846"/>
      <c r="O60" s="1144"/>
      <c r="P60" s="846"/>
      <c r="Q60" s="1144"/>
      <c r="R60" s="846"/>
      <c r="S60" s="1144"/>
      <c r="T60" s="1144"/>
      <c r="U60" s="1144"/>
      <c r="V60" s="1144"/>
      <c r="W60" s="781"/>
      <c r="X60" s="1144"/>
      <c r="Y60" s="781"/>
      <c r="Z60" s="1144"/>
      <c r="AA60" s="1144"/>
      <c r="AB60" s="777"/>
    </row>
    <row r="61" spans="1:28" s="893" customFormat="1" ht="25.15" customHeight="1" outlineLevel="1" x14ac:dyDescent="0.45">
      <c r="A61" s="887"/>
      <c r="B61" s="1293" t="s">
        <v>443</v>
      </c>
      <c r="C61" s="1294"/>
      <c r="D61" s="1294"/>
      <c r="E61" s="1295"/>
      <c r="F61" s="1294"/>
      <c r="G61" s="1294"/>
      <c r="H61" s="1294"/>
      <c r="I61" s="1295"/>
      <c r="J61" s="1294"/>
      <c r="K61" s="1294"/>
      <c r="L61" s="1294"/>
      <c r="M61" s="1294"/>
      <c r="N61" s="888"/>
      <c r="O61" s="889">
        <f>G7</f>
        <v>42447</v>
      </c>
      <c r="P61" s="888"/>
      <c r="Q61" s="1041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4"/>
      <c r="B62" s="1293" t="s">
        <v>444</v>
      </c>
      <c r="C62" s="1293" t="s">
        <v>445</v>
      </c>
      <c r="D62" s="1297"/>
      <c r="E62" s="851"/>
      <c r="F62" s="1298" t="s">
        <v>446</v>
      </c>
      <c r="G62" s="1294"/>
      <c r="H62" s="1299"/>
      <c r="I62" s="852"/>
      <c r="J62" s="1301" t="s">
        <v>447</v>
      </c>
      <c r="K62" s="1302"/>
      <c r="L62" s="1302"/>
      <c r="M62" s="1302"/>
      <c r="N62" s="1144"/>
      <c r="O62" s="806">
        <f>O65+O67+O68+O69+O70+O71</f>
        <v>42447</v>
      </c>
      <c r="P62" s="1144"/>
      <c r="Q62" s="853">
        <f>Q65+Q67+Q68+Q69+Q70+Q71</f>
        <v>387013.29707138776</v>
      </c>
      <c r="R62" s="1144"/>
      <c r="S62" s="1283">
        <f>IF(AND(Q62&lt;&gt;0,O62&lt;&gt;0),Q62*(1-D17-D18-D19)/(H15)/(($D$25*1000000/$D$8)),0)</f>
        <v>4015.2123273876773</v>
      </c>
      <c r="T62" s="1285" t="s">
        <v>448</v>
      </c>
      <c r="U62" s="1283">
        <f>U65+U67+U68+U69+U70+U71</f>
        <v>413483.35574335727</v>
      </c>
      <c r="V62" s="1144" t="s">
        <v>449</v>
      </c>
      <c r="W62" s="1283">
        <f>W65*O65+W67*O67+W68*O68+W69*O69+W70*O70+W71*O71</f>
        <v>413483.35574335727</v>
      </c>
      <c r="X62" s="1144" t="s">
        <v>449</v>
      </c>
      <c r="Y62" s="854" t="s">
        <v>450</v>
      </c>
      <c r="Z62" s="1144"/>
      <c r="AA62" s="1144"/>
      <c r="AB62" s="777"/>
    </row>
    <row r="63" spans="1:28" s="778" customFormat="1" ht="24" customHeight="1" outlineLevel="1" x14ac:dyDescent="0.25">
      <c r="A63" s="1144"/>
      <c r="B63" s="1296"/>
      <c r="C63" s="855" t="s">
        <v>451</v>
      </c>
      <c r="D63" s="856" t="s">
        <v>452</v>
      </c>
      <c r="E63" s="857"/>
      <c r="F63" s="1300"/>
      <c r="G63" s="1294"/>
      <c r="H63" s="1299"/>
      <c r="I63" s="858"/>
      <c r="J63" s="1288" t="s">
        <v>453</v>
      </c>
      <c r="K63" s="1289"/>
      <c r="L63" s="1290" t="s">
        <v>454</v>
      </c>
      <c r="M63" s="1289"/>
      <c r="N63" s="1144"/>
      <c r="O63" s="895" t="s">
        <v>455</v>
      </c>
      <c r="P63" s="1144"/>
      <c r="Q63" s="860">
        <v>0.75</v>
      </c>
      <c r="R63" s="1144"/>
      <c r="S63" s="1284"/>
      <c r="T63" s="1286"/>
      <c r="U63" s="1284"/>
      <c r="V63" s="1144"/>
      <c r="W63" s="1287"/>
      <c r="X63" s="1144"/>
      <c r="Y63" s="861">
        <f>$Y$33</f>
        <v>0.1</v>
      </c>
      <c r="Z63" s="1144"/>
      <c r="AA63" s="1144"/>
      <c r="AB63" s="777"/>
    </row>
    <row r="64" spans="1:28" s="778" customFormat="1" ht="24" customHeight="1" outlineLevel="1" x14ac:dyDescent="0.25">
      <c r="A64" s="1144"/>
      <c r="B64" s="1303">
        <f>B51*$H$15</f>
        <v>0.63749999999999996</v>
      </c>
      <c r="C64" s="1303">
        <f>C51</f>
        <v>1</v>
      </c>
      <c r="D64" s="1303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4"/>
      <c r="O64" s="868"/>
      <c r="P64" s="1144"/>
      <c r="Q64" s="869"/>
      <c r="R64" s="1144"/>
      <c r="S64" s="870"/>
      <c r="T64" s="1144"/>
      <c r="U64" s="870"/>
      <c r="V64" s="1144"/>
      <c r="W64" s="871"/>
      <c r="X64" s="1144"/>
      <c r="Y64" s="896"/>
      <c r="Z64" s="1144"/>
      <c r="AA64" s="1144"/>
      <c r="AB64" s="777"/>
    </row>
    <row r="65" spans="1:28" s="778" customFormat="1" ht="24" customHeight="1" outlineLevel="1" x14ac:dyDescent="0.25">
      <c r="A65" s="1144"/>
      <c r="B65" s="1304"/>
      <c r="C65" s="1304"/>
      <c r="D65" s="1304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144"/>
      <c r="O65" s="877">
        <v>25947</v>
      </c>
      <c r="P65" s="1144"/>
      <c r="Q65" s="878">
        <f>O65*$Q$63*M65+O65*(1-$Q$63)*K65</f>
        <v>117583.75057107152</v>
      </c>
      <c r="R65" s="1144"/>
      <c r="S65" s="879">
        <f>IF(AND(Q65&lt;&gt;0,O65&lt;&gt;0),Q65*(1-D17-D18-D19)/(H15)/O65/30/(($D$25*1000000/$D$8))*1000,0)</f>
        <v>1.5671895654881145</v>
      </c>
      <c r="T65" s="1144" t="s">
        <v>459</v>
      </c>
      <c r="U65" s="880">
        <f>S65*O65*30*$D$11*(1+$D$24)/1000</f>
        <v>125625.97754373381</v>
      </c>
      <c r="V65" s="1144" t="s">
        <v>460</v>
      </c>
      <c r="W65" s="880">
        <f>IF(O65&lt;&gt;0,U65/O65,0)</f>
        <v>4.8416378596266929</v>
      </c>
      <c r="X65" s="1144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4"/>
      <c r="B66" s="1304"/>
      <c r="C66" s="1304"/>
      <c r="D66" s="1304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4"/>
      <c r="O66" s="868"/>
      <c r="P66" s="1144"/>
      <c r="Q66" s="869"/>
      <c r="R66" s="1144"/>
      <c r="S66" s="885"/>
      <c r="T66" s="1144"/>
      <c r="U66" s="886"/>
      <c r="V66" s="1144"/>
      <c r="W66" s="886"/>
      <c r="X66" s="1144"/>
      <c r="Y66" s="896"/>
      <c r="Z66" s="907"/>
      <c r="AA66" s="781"/>
      <c r="AB66" s="781"/>
    </row>
    <row r="67" spans="1:28" s="778" customFormat="1" ht="24" customHeight="1" outlineLevel="1" x14ac:dyDescent="0.25">
      <c r="A67" s="1144"/>
      <c r="B67" s="1304"/>
      <c r="C67" s="1304"/>
      <c r="D67" s="1304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144"/>
      <c r="O67" s="877">
        <v>15000</v>
      </c>
      <c r="P67" s="1144"/>
      <c r="Q67" s="878">
        <f>O67*$Q$63*M67+O67*(1-$Q$63)*K67</f>
        <v>216285.18641080434</v>
      </c>
      <c r="R67" s="1144"/>
      <c r="S67" s="879">
        <f>IF(AND(Q67&lt;&gt;0,O67&lt;&gt;0),Q67*(1-D17-D18-D19)/O67/30/(H15)/(($D$25*1000000/$D$8))*1000,0)</f>
        <v>4.9865122538258202</v>
      </c>
      <c r="T67" s="1144" t="s">
        <v>459</v>
      </c>
      <c r="U67" s="880">
        <f>S67*O67*30*$D$11*(1+$D$24)/1000</f>
        <v>231078.17057309227</v>
      </c>
      <c r="V67" s="1144" t="s">
        <v>460</v>
      </c>
      <c r="W67" s="880">
        <f>IF(O67&lt;&gt;0,U67/O67,0)</f>
        <v>15.405211371539485</v>
      </c>
      <c r="X67" s="1144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4"/>
      <c r="B68" s="1304"/>
      <c r="C68" s="1304"/>
      <c r="D68" s="1304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144"/>
      <c r="O68" s="877">
        <v>500</v>
      </c>
      <c r="P68" s="1144"/>
      <c r="Q68" s="878">
        <f>O68*$Q$63*M68+O68*(1-$Q$63)*K68</f>
        <v>12359.15350918882</v>
      </c>
      <c r="R68" s="1144"/>
      <c r="S68" s="879">
        <f>IF(AND(Q68&lt;&gt;0,O68&lt;&gt;0),Q68*(1-D17-D18-D19)/O68/30/(H15)/(($D$25*1000000/$D$8))*1000,0)</f>
        <v>8.5483067208442627</v>
      </c>
      <c r="T68" s="1144" t="s">
        <v>459</v>
      </c>
      <c r="U68" s="880">
        <f>S68*O68*30*$D$11*(1+$D$24)/1000</f>
        <v>13204.466889890984</v>
      </c>
      <c r="V68" s="1144" t="s">
        <v>460</v>
      </c>
      <c r="W68" s="880">
        <f>IF(O68&lt;&gt;0,U68/O68,0)</f>
        <v>26.408933779781968</v>
      </c>
      <c r="X68" s="1144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4"/>
      <c r="B69" s="1304"/>
      <c r="C69" s="1304"/>
      <c r="D69" s="1304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144"/>
      <c r="O69" s="877">
        <v>1000</v>
      </c>
      <c r="P69" s="1144"/>
      <c r="Q69" s="878">
        <f>O69*$Q$63*M69+O69*(1-$Q$63)*K69</f>
        <v>40785.206580323109</v>
      </c>
      <c r="R69" s="1144"/>
      <c r="S69" s="879">
        <f>IF(AND(Q69&lt;&gt;0,O69&lt;&gt;0),Q69*(1-D17-D18-D19)/O69/30/(H15)/(($D$25*1000000/$D$8))*1000,0)</f>
        <v>14.104706089393034</v>
      </c>
      <c r="T69" s="1144" t="s">
        <v>459</v>
      </c>
      <c r="U69" s="880">
        <f>S69*O69*30*$D$11*(1+$D$24)/1000</f>
        <v>43574.740736640255</v>
      </c>
      <c r="V69" s="1144" t="s">
        <v>460</v>
      </c>
      <c r="W69" s="880">
        <f>IF(O69&lt;&gt;0,U69/O69,0)</f>
        <v>43.574740736640258</v>
      </c>
      <c r="X69" s="1144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4"/>
      <c r="B70" s="1304"/>
      <c r="C70" s="1304"/>
      <c r="D70" s="1304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144"/>
      <c r="O70" s="877">
        <v>0</v>
      </c>
      <c r="P70" s="1144"/>
      <c r="Q70" s="878">
        <f>O70*$Q$63*M70+O70*(1-$Q$63)*K70</f>
        <v>0</v>
      </c>
      <c r="R70" s="1144"/>
      <c r="S70" s="879">
        <f>IF(AND(Q70&lt;&gt;0,O70&lt;&gt;0),Q70*(1-D17-D18-D19)/O70/30/(H15)/(($D$25*1000000/$D$8))*1000,0)</f>
        <v>0</v>
      </c>
      <c r="T70" s="1144" t="s">
        <v>459</v>
      </c>
      <c r="U70" s="880">
        <f>S70*O70*30*$D$11*(1+$D$24)/1000</f>
        <v>0</v>
      </c>
      <c r="V70" s="1144" t="s">
        <v>460</v>
      </c>
      <c r="W70" s="880">
        <f>IF(O70&lt;&gt;0,U70/O70,0)</f>
        <v>0</v>
      </c>
      <c r="X70" s="1144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4"/>
      <c r="B71" s="1305"/>
      <c r="C71" s="1305"/>
      <c r="D71" s="1305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144"/>
      <c r="O71" s="877">
        <v>0</v>
      </c>
      <c r="P71" s="1144"/>
      <c r="Q71" s="878">
        <f>O71*$Q$63*M71+O71*(1-$Q$63)*K71</f>
        <v>0</v>
      </c>
      <c r="R71" s="1144"/>
      <c r="S71" s="879">
        <f>IF(AND(Q71&lt;&gt;0,O71&lt;&gt;0),Q71*(1-D17-D18-D19)/O71/30/(H15)/(($D$25*1000000/$D$8))*1000,0)</f>
        <v>0</v>
      </c>
      <c r="T71" s="1144" t="s">
        <v>459</v>
      </c>
      <c r="U71" s="880">
        <f>S71*O71*30*$D$11*(1+$D$24)/1000</f>
        <v>0</v>
      </c>
      <c r="V71" s="1144" t="s">
        <v>460</v>
      </c>
      <c r="W71" s="880">
        <f>IF(O71&lt;&gt;0,U71/O71,0)</f>
        <v>0</v>
      </c>
      <c r="X71" s="1144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4"/>
      <c r="B72" s="1144"/>
      <c r="C72" s="781"/>
      <c r="D72" s="1144"/>
      <c r="E72" s="1144"/>
      <c r="F72" s="1144"/>
      <c r="G72" s="1144"/>
      <c r="H72" s="781"/>
      <c r="I72" s="1144"/>
      <c r="J72" s="781"/>
      <c r="K72" s="781"/>
      <c r="L72" s="781"/>
      <c r="M72" s="781"/>
      <c r="N72" s="1144"/>
      <c r="O72" s="1144"/>
      <c r="P72" s="1144"/>
      <c r="Q72" s="1144"/>
      <c r="R72" s="1144"/>
      <c r="S72" s="1144"/>
      <c r="T72" s="1144"/>
      <c r="U72" s="1144"/>
      <c r="V72" s="1144"/>
      <c r="W72" s="781"/>
      <c r="X72" s="1144"/>
      <c r="Y72" s="781"/>
      <c r="Z72" s="1144"/>
      <c r="AA72" s="1144"/>
      <c r="AB72" s="777"/>
    </row>
    <row r="73" spans="1:28" s="778" customFormat="1" ht="34.9" customHeight="1" outlineLevel="1" x14ac:dyDescent="0.25">
      <c r="A73" s="1144"/>
      <c r="B73" s="1291" t="s">
        <v>470</v>
      </c>
      <c r="C73" s="1292"/>
      <c r="D73" s="1292"/>
      <c r="E73" s="1292"/>
      <c r="F73" s="1292"/>
      <c r="G73" s="1292"/>
      <c r="H73" s="1292"/>
      <c r="I73" s="1292"/>
      <c r="J73" s="1292"/>
      <c r="K73" s="1292"/>
      <c r="L73" s="1292"/>
      <c r="M73" s="1292"/>
      <c r="N73" s="1144"/>
      <c r="O73" s="1144"/>
      <c r="P73" s="1144"/>
      <c r="Q73" s="1144"/>
      <c r="R73" s="1144"/>
      <c r="S73" s="1144"/>
      <c r="T73" s="1144"/>
      <c r="U73" s="1144"/>
      <c r="V73" s="1144"/>
      <c r="W73" s="781"/>
      <c r="X73" s="1144"/>
      <c r="Y73" s="781"/>
      <c r="Z73" s="1144"/>
      <c r="AA73" s="1144"/>
      <c r="AB73" s="777"/>
    </row>
    <row r="74" spans="1:28" s="893" customFormat="1" ht="25.15" customHeight="1" outlineLevel="1" x14ac:dyDescent="0.45">
      <c r="A74" s="887"/>
      <c r="B74" s="1293" t="s">
        <v>443</v>
      </c>
      <c r="C74" s="1294"/>
      <c r="D74" s="1294"/>
      <c r="E74" s="1295"/>
      <c r="F74" s="1294"/>
      <c r="G74" s="1294"/>
      <c r="H74" s="1294"/>
      <c r="I74" s="1295"/>
      <c r="J74" s="1294"/>
      <c r="K74" s="1294"/>
      <c r="L74" s="1294"/>
      <c r="M74" s="1294"/>
      <c r="N74" s="887"/>
      <c r="O74" s="889">
        <f>G8</f>
        <v>1741</v>
      </c>
      <c r="P74" s="887"/>
      <c r="Q74" s="1041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3" t="s">
        <v>444</v>
      </c>
      <c r="C75" s="1293" t="s">
        <v>445</v>
      </c>
      <c r="D75" s="1297"/>
      <c r="E75" s="851"/>
      <c r="F75" s="1298" t="s">
        <v>446</v>
      </c>
      <c r="G75" s="1294"/>
      <c r="H75" s="1299"/>
      <c r="I75" s="852"/>
      <c r="J75" s="1301" t="s">
        <v>447</v>
      </c>
      <c r="K75" s="1302"/>
      <c r="L75" s="1302"/>
      <c r="M75" s="1302"/>
      <c r="N75" s="1144"/>
      <c r="O75" s="806">
        <f>O78+O80+O81+O82+O83+O84</f>
        <v>1741</v>
      </c>
      <c r="P75" s="1144"/>
      <c r="Q75" s="853">
        <f>Q78+Q80+Q81+Q82+Q83+Q84</f>
        <v>62743.787321001873</v>
      </c>
      <c r="R75" s="1144"/>
      <c r="S75" s="1283">
        <f>IF(AND(Q75&lt;&gt;0,O75&lt;&gt;0),Q75*(1-D17-D18-D19)/(($D$25*1000000/$D$8)),0)</f>
        <v>325.47929260400434</v>
      </c>
      <c r="T75" s="1285" t="s">
        <v>448</v>
      </c>
      <c r="U75" s="1283">
        <f>U78+U80+U81+U82+U83+U84</f>
        <v>33517.597366622103</v>
      </c>
      <c r="V75" s="1144" t="s">
        <v>449</v>
      </c>
      <c r="W75" s="1283">
        <f>W78*O78+W80*O80+W81*O81+W82*O82+W83*O83+W84*O84</f>
        <v>33517.597366622103</v>
      </c>
      <c r="X75" s="1144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6"/>
      <c r="C76" s="855" t="s">
        <v>451</v>
      </c>
      <c r="D76" s="856" t="s">
        <v>452</v>
      </c>
      <c r="E76" s="857"/>
      <c r="F76" s="1300"/>
      <c r="G76" s="1294"/>
      <c r="H76" s="1299"/>
      <c r="I76" s="858"/>
      <c r="J76" s="1288" t="s">
        <v>453</v>
      </c>
      <c r="K76" s="1289"/>
      <c r="L76" s="1290" t="s">
        <v>454</v>
      </c>
      <c r="M76" s="1289"/>
      <c r="N76" s="1144"/>
      <c r="O76" s="895" t="s">
        <v>455</v>
      </c>
      <c r="P76" s="1144"/>
      <c r="Q76" s="860">
        <v>0.75</v>
      </c>
      <c r="R76" s="1144"/>
      <c r="S76" s="1284"/>
      <c r="T76" s="1286"/>
      <c r="U76" s="1284"/>
      <c r="V76" s="1144"/>
      <c r="W76" s="1287"/>
      <c r="X76" s="1144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8">
        <v>1.5</v>
      </c>
      <c r="C77" s="1278">
        <v>1</v>
      </c>
      <c r="D77" s="128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4"/>
      <c r="O77" s="868"/>
      <c r="P77" s="1144"/>
      <c r="Q77" s="869"/>
      <c r="R77" s="1144"/>
      <c r="S77" s="870"/>
      <c r="T77" s="1144"/>
      <c r="U77" s="870"/>
      <c r="V77" s="1144"/>
      <c r="W77" s="871"/>
      <c r="X77" s="1144"/>
      <c r="Y77" s="871"/>
      <c r="Z77" s="882"/>
      <c r="AA77" s="882"/>
      <c r="AB77" s="777"/>
    </row>
    <row r="78" spans="1:28" s="778" customFormat="1" ht="24" customHeight="1" outlineLevel="1" x14ac:dyDescent="0.25">
      <c r="A78" s="1144"/>
      <c r="B78" s="1279"/>
      <c r="C78" s="1280"/>
      <c r="D78" s="128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144"/>
      <c r="O78" s="877">
        <v>264</v>
      </c>
      <c r="P78" s="1144"/>
      <c r="Q78" s="878">
        <f>O78*$Q$76*M78+O78*(1-$Q$76)*K78</f>
        <v>2303.1646068888344</v>
      </c>
      <c r="R78" s="1144"/>
      <c r="S78" s="879">
        <f>IF(AND(Q78&lt;&gt;0,O78&lt;&gt;0),Q78*(1-D17-D18-D19)/O78/30/(($D$25*1000000/$D$8))*1000,0)</f>
        <v>1.5085247154431052</v>
      </c>
      <c r="T78" s="1144" t="s">
        <v>459</v>
      </c>
      <c r="U78" s="880">
        <f>S78*O78*30*$D$11*(1+$D$24)/1000</f>
        <v>1230.3456207992542</v>
      </c>
      <c r="V78" s="1144" t="s">
        <v>460</v>
      </c>
      <c r="W78" s="880">
        <f>IF(O78&lt;&gt;0,U78/O78,0)</f>
        <v>4.6604000787850541</v>
      </c>
      <c r="X78" s="1144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4"/>
      <c r="B79" s="1279"/>
      <c r="C79" s="1280"/>
      <c r="D79" s="128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4"/>
      <c r="O79" s="868"/>
      <c r="P79" s="1144"/>
      <c r="Q79" s="869"/>
      <c r="R79" s="1144"/>
      <c r="S79" s="885"/>
      <c r="T79" s="1144"/>
      <c r="U79" s="886"/>
      <c r="V79" s="1144"/>
      <c r="W79" s="886"/>
      <c r="X79" s="1144"/>
      <c r="Y79" s="871"/>
      <c r="Z79" s="882"/>
      <c r="AA79" s="850"/>
      <c r="AB79" s="777"/>
    </row>
    <row r="80" spans="1:28" s="778" customFormat="1" ht="24" customHeight="1" outlineLevel="1" x14ac:dyDescent="0.25">
      <c r="A80" s="1144"/>
      <c r="B80" s="1279"/>
      <c r="C80" s="1280"/>
      <c r="D80" s="128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144"/>
      <c r="O80" s="877">
        <v>994</v>
      </c>
      <c r="P80" s="1144"/>
      <c r="Q80" s="878">
        <f>O80*$Q$76*M80+O80*(1-$Q$76)*K80</f>
        <v>31796.46693399307</v>
      </c>
      <c r="R80" s="1144"/>
      <c r="S80" s="879">
        <f>IF(AND(Q80&lt;&gt;0,O80&lt;&gt;0),Q80*(1-D17-D18-D19)/O80/30/(($D$25*1000000/$D$8))*1000,0)</f>
        <v>5.5312572899580514</v>
      </c>
      <c r="T80" s="1144" t="s">
        <v>459</v>
      </c>
      <c r="U80" s="880">
        <f>S80*O80*30*$D$11*(1+$D$24)/1000</f>
        <v>16985.604820478591</v>
      </c>
      <c r="V80" s="1144" t="s">
        <v>460</v>
      </c>
      <c r="W80" s="880">
        <f>IF(O80&lt;&gt;0,U80/O80,0)</f>
        <v>17.088133622211863</v>
      </c>
      <c r="X80" s="1144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4"/>
      <c r="B81" s="1279"/>
      <c r="C81" s="1280"/>
      <c r="D81" s="128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144"/>
      <c r="O81" s="877">
        <v>183</v>
      </c>
      <c r="P81" s="1144"/>
      <c r="Q81" s="878">
        <f>O81*$Q$76*M81+O81*(1-$Q$76)*K81</f>
        <v>8869.5101654178579</v>
      </c>
      <c r="R81" s="1144"/>
      <c r="S81" s="879">
        <f>IF(AND(Q81&lt;&gt;0,O81&lt;&gt;0),Q81*(1-D17-D18-D19)/O81/30/(($D$25*1000000/$D$8))*1000,0)</f>
        <v>8.380692863572806</v>
      </c>
      <c r="T81" s="1144" t="s">
        <v>459</v>
      </c>
      <c r="U81" s="880">
        <f>S81*O81*30*$D$11*(1+$D$24)/1000</f>
        <v>4738.0734134314707</v>
      </c>
      <c r="V81" s="1144" t="s">
        <v>460</v>
      </c>
      <c r="W81" s="880">
        <f>IF(O81&lt;&gt;0,U81/O81,0)</f>
        <v>25.891111548805849</v>
      </c>
      <c r="X81" s="1144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4"/>
      <c r="B82" s="1279"/>
      <c r="C82" s="1280"/>
      <c r="D82" s="128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144"/>
      <c r="O82" s="877">
        <v>300</v>
      </c>
      <c r="P82" s="1144"/>
      <c r="Q82" s="878">
        <f>O82*$Q$76*M82+O82*(1-$Q$76)*K82</f>
        <v>19774.645614702113</v>
      </c>
      <c r="R82" s="1144"/>
      <c r="S82" s="879">
        <f>IF(AND(Q82&lt;&gt;0,O82&lt;&gt;0),Q82*(1-D17-D18-D19)/O82/30/(($D$25*1000000/$D$8))*1000,0)</f>
        <v>11.397742294459016</v>
      </c>
      <c r="T82" s="1144" t="s">
        <v>459</v>
      </c>
      <c r="U82" s="880">
        <f>S82*O82*30*$D$11*(1+$D$24)/1000</f>
        <v>10563.573511912788</v>
      </c>
      <c r="V82" s="1144" t="s">
        <v>460</v>
      </c>
      <c r="W82" s="880">
        <f>IF(O82&lt;&gt;0,U82/O82,0)</f>
        <v>35.211911706375957</v>
      </c>
      <c r="X82" s="1144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4"/>
      <c r="B83" s="1279"/>
      <c r="C83" s="1280"/>
      <c r="D83" s="128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144"/>
      <c r="O83" s="877">
        <v>0</v>
      </c>
      <c r="P83" s="1144"/>
      <c r="Q83" s="878">
        <f>O83*$Q$76*M83+O83*(1-$Q$76)*K83</f>
        <v>0</v>
      </c>
      <c r="R83" s="1144"/>
      <c r="S83" s="879">
        <f>IF(AND(Q83&lt;&gt;0,O83&lt;&gt;0),Q83*(1-D17-D18-D19)/O83/30/(($D$25*1000000/$D$8))*1000,0)</f>
        <v>0</v>
      </c>
      <c r="T83" s="1144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4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4"/>
      <c r="B84" s="1279"/>
      <c r="C84" s="1280"/>
      <c r="D84" s="128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144"/>
      <c r="O84" s="877">
        <v>0</v>
      </c>
      <c r="P84" s="1144"/>
      <c r="Q84" s="878">
        <f>O84*$Q$76*M84+O84*(1-$Q$76)*K84</f>
        <v>0</v>
      </c>
      <c r="R84" s="1144"/>
      <c r="S84" s="879">
        <f>IF(AND(Q84&lt;&gt;0,O84&lt;&gt;0),Q84*(1-D17-D18-D19)/O84/30/(($D$25*1000000/$D$8))*1000,0)</f>
        <v>0</v>
      </c>
      <c r="T84" s="1144" t="s">
        <v>459</v>
      </c>
      <c r="U84" s="880">
        <f>S84*O84*30*$D$11*(1+$D$24)/1000</f>
        <v>0</v>
      </c>
      <c r="V84" s="1144" t="s">
        <v>460</v>
      </c>
      <c r="W84" s="880">
        <f>IF(O84&lt;&gt;0,U84/O84,0)</f>
        <v>0</v>
      </c>
      <c r="X84" s="1144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4"/>
      <c r="B85" s="1144"/>
      <c r="C85" s="781"/>
      <c r="D85" s="1144"/>
      <c r="E85" s="1144"/>
      <c r="F85" s="1144"/>
      <c r="G85" s="1144"/>
      <c r="H85" s="781"/>
      <c r="I85" s="1144"/>
      <c r="J85" s="781"/>
      <c r="K85" s="781"/>
      <c r="L85" s="781"/>
      <c r="M85" s="781"/>
      <c r="N85" s="1144"/>
      <c r="O85" s="1144"/>
      <c r="P85" s="1144"/>
      <c r="Q85" s="1144"/>
      <c r="R85" s="1144"/>
      <c r="S85" s="1144"/>
      <c r="T85" s="1144"/>
      <c r="U85" s="1144"/>
      <c r="V85" s="1144"/>
      <c r="W85" s="781"/>
      <c r="X85" s="1144"/>
      <c r="Y85" s="781"/>
      <c r="Z85" s="1144"/>
      <c r="AA85" s="1144"/>
      <c r="AB85" s="777"/>
    </row>
    <row r="86" spans="1:28" s="778" customFormat="1" ht="34.9" customHeight="1" outlineLevel="1" x14ac:dyDescent="0.25">
      <c r="A86" s="1144"/>
      <c r="B86" s="1291" t="s">
        <v>471</v>
      </c>
      <c r="C86" s="1292"/>
      <c r="D86" s="1292"/>
      <c r="E86" s="1292"/>
      <c r="F86" s="1292"/>
      <c r="G86" s="1292"/>
      <c r="H86" s="1292"/>
      <c r="I86" s="1292"/>
      <c r="J86" s="1292"/>
      <c r="K86" s="1292"/>
      <c r="L86" s="1292"/>
      <c r="M86" s="1292"/>
      <c r="N86" s="1144"/>
      <c r="O86" s="1144"/>
      <c r="P86" s="1144"/>
      <c r="Q86" s="1144"/>
      <c r="R86" s="1144"/>
      <c r="S86" s="1144"/>
      <c r="T86" s="1144"/>
      <c r="U86" s="1144"/>
      <c r="V86" s="1144"/>
      <c r="W86" s="781"/>
      <c r="X86" s="1144"/>
      <c r="Y86" s="781"/>
      <c r="Z86" s="1144"/>
      <c r="AA86" s="1144"/>
      <c r="AB86" s="777"/>
    </row>
    <row r="87" spans="1:28" s="893" customFormat="1" ht="25.15" customHeight="1" outlineLevel="1" x14ac:dyDescent="0.45">
      <c r="A87" s="887"/>
      <c r="B87" s="1293" t="s">
        <v>443</v>
      </c>
      <c r="C87" s="1294"/>
      <c r="D87" s="1294"/>
      <c r="E87" s="1295"/>
      <c r="F87" s="1294"/>
      <c r="G87" s="1294"/>
      <c r="H87" s="1294"/>
      <c r="I87" s="1295"/>
      <c r="J87" s="1294"/>
      <c r="K87" s="1294"/>
      <c r="L87" s="1294"/>
      <c r="M87" s="1294"/>
      <c r="N87" s="887"/>
      <c r="O87" s="889">
        <f>G10</f>
        <v>20</v>
      </c>
      <c r="P87" s="887"/>
      <c r="Q87" s="1041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4"/>
      <c r="B88" s="1293" t="s">
        <v>444</v>
      </c>
      <c r="C88" s="1293" t="s">
        <v>445</v>
      </c>
      <c r="D88" s="1297"/>
      <c r="E88" s="851"/>
      <c r="F88" s="1298" t="s">
        <v>446</v>
      </c>
      <c r="G88" s="1294"/>
      <c r="H88" s="1299"/>
      <c r="I88" s="852"/>
      <c r="J88" s="1301" t="s">
        <v>447</v>
      </c>
      <c r="K88" s="1302"/>
      <c r="L88" s="1302"/>
      <c r="M88" s="1302"/>
      <c r="N88" s="1144"/>
      <c r="O88" s="881">
        <f>O91+O93+O94+O95+O96</f>
        <v>20</v>
      </c>
      <c r="P88" s="1144"/>
      <c r="Q88" s="853">
        <f>Q91+Q93+Q94+Q95+Q96</f>
        <v>1565.4927778305835</v>
      </c>
      <c r="R88" s="1144"/>
      <c r="S88" s="1283">
        <f>IF(AND(Q88&lt;&gt;0,O88&lt;&gt;0),Q88*(1-D17-D18-D19)/(($D$25*1000000/$D$8)),0)</f>
        <v>8.1208913848020465</v>
      </c>
      <c r="T88" s="1285" t="s">
        <v>448</v>
      </c>
      <c r="U88" s="1283">
        <f>U91+U93+U94+U95+U96+Z97</f>
        <v>836.28290302642858</v>
      </c>
      <c r="V88" s="1144" t="s">
        <v>449</v>
      </c>
      <c r="W88" s="1283">
        <f>W91*O91+W93*O93+W94*O94+W95*O95+W96*O96</f>
        <v>836.28290302642858</v>
      </c>
      <c r="X88" s="1144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4"/>
      <c r="B89" s="1296"/>
      <c r="C89" s="855" t="s">
        <v>451</v>
      </c>
      <c r="D89" s="856" t="s">
        <v>452</v>
      </c>
      <c r="E89" s="857"/>
      <c r="F89" s="1300"/>
      <c r="G89" s="1294"/>
      <c r="H89" s="1299"/>
      <c r="I89" s="858"/>
      <c r="J89" s="1288" t="s">
        <v>453</v>
      </c>
      <c r="K89" s="1289"/>
      <c r="L89" s="1290" t="s">
        <v>454</v>
      </c>
      <c r="M89" s="1289"/>
      <c r="N89" s="1144"/>
      <c r="O89" s="895" t="s">
        <v>455</v>
      </c>
      <c r="P89" s="1144"/>
      <c r="Q89" s="860">
        <v>0.75</v>
      </c>
      <c r="R89" s="1144"/>
      <c r="S89" s="1284"/>
      <c r="T89" s="1286"/>
      <c r="U89" s="1284"/>
      <c r="V89" s="1144"/>
      <c r="W89" s="1287"/>
      <c r="X89" s="1144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4"/>
      <c r="B90" s="1278">
        <v>1.5</v>
      </c>
      <c r="C90" s="1278">
        <v>1</v>
      </c>
      <c r="D90" s="128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4"/>
      <c r="O90" s="868"/>
      <c r="P90" s="1144"/>
      <c r="Q90" s="869"/>
      <c r="R90" s="1144"/>
      <c r="S90" s="870"/>
      <c r="T90" s="1144"/>
      <c r="U90" s="870"/>
      <c r="V90" s="1144"/>
      <c r="W90" s="871"/>
      <c r="X90" s="1144"/>
      <c r="Y90" s="781"/>
      <c r="Z90" s="1144"/>
      <c r="AA90" s="1144"/>
      <c r="AB90" s="777"/>
    </row>
    <row r="91" spans="1:28" s="778" customFormat="1" ht="24" customHeight="1" outlineLevel="1" x14ac:dyDescent="0.25">
      <c r="A91" s="1144"/>
      <c r="B91" s="1279"/>
      <c r="C91" s="1280"/>
      <c r="D91" s="128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144"/>
      <c r="O91" s="877">
        <v>1</v>
      </c>
      <c r="P91" s="1144"/>
      <c r="Q91" s="878">
        <f>O91*$Q$76*M91+O91*(1-$Q$76)*K91</f>
        <v>6.7854176128879793</v>
      </c>
      <c r="R91" s="1144"/>
      <c r="S91" s="879">
        <f>IF(AND(Q91&lt;&gt;0,O91&lt;&gt;0),Q91*(1-D17-D18-D19)/O91/30/(($D$25*1000000/$D$8))*1000,0)</f>
        <v>1.1732970009001928</v>
      </c>
      <c r="T91" s="1144" t="s">
        <v>459</v>
      </c>
      <c r="U91" s="880">
        <f>S91*O91*30*$D$11*(1+$D$24)/1000</f>
        <v>3.624755616832819</v>
      </c>
      <c r="V91" s="1144" t="s">
        <v>460</v>
      </c>
      <c r="W91" s="880">
        <f>IF(O91&lt;&gt;0,U91/O91,0)</f>
        <v>3.624755616832819</v>
      </c>
      <c r="X91" s="1144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4"/>
      <c r="B92" s="1279"/>
      <c r="C92" s="1280"/>
      <c r="D92" s="128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4"/>
      <c r="O92" s="868"/>
      <c r="P92" s="1144"/>
      <c r="Q92" s="869"/>
      <c r="R92" s="1144"/>
      <c r="S92" s="885"/>
      <c r="T92" s="1144"/>
      <c r="U92" s="886"/>
      <c r="V92" s="1144"/>
      <c r="W92" s="886"/>
      <c r="X92" s="1144"/>
      <c r="Y92" s="1143"/>
      <c r="Z92" s="882"/>
      <c r="AA92" s="850"/>
      <c r="AB92" s="777"/>
    </row>
    <row r="93" spans="1:28" s="778" customFormat="1" ht="24" customHeight="1" outlineLevel="1" x14ac:dyDescent="0.25">
      <c r="A93" s="1144"/>
      <c r="B93" s="1279"/>
      <c r="C93" s="1280"/>
      <c r="D93" s="128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144"/>
      <c r="O93" s="877">
        <v>2</v>
      </c>
      <c r="P93" s="1144"/>
      <c r="Q93" s="878">
        <f>O93*$Q$76*M93+O93*(1-$Q$76)*K93</f>
        <v>42.651196423867304</v>
      </c>
      <c r="R93" s="1144"/>
      <c r="S93" s="879">
        <f>IF(AND(Q93&lt;&gt;0,O93&lt;&gt;0),Q93*(1-D17-D18-D19)/O93/30/(($D$25*1000000/$D$8))*1000,0)</f>
        <v>3.6875048599720359</v>
      </c>
      <c r="T93" s="1144" t="s">
        <v>459</v>
      </c>
      <c r="U93" s="880">
        <f>S93*O93*30*$D$11*(1+$D$24)/1000</f>
        <v>22.784178162949157</v>
      </c>
      <c r="V93" s="1144" t="s">
        <v>460</v>
      </c>
      <c r="W93" s="880">
        <f>IF(O93&lt;&gt;0,U93/O93,0)</f>
        <v>11.392089081474579</v>
      </c>
      <c r="X93" s="1144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4"/>
      <c r="B94" s="1279"/>
      <c r="C94" s="1280"/>
      <c r="D94" s="128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144"/>
      <c r="O94" s="877">
        <v>17</v>
      </c>
      <c r="P94" s="1144"/>
      <c r="Q94" s="878">
        <f>O94*$Q$76*M94+O94*(1-$Q$76)*K94</f>
        <v>1516.0561637938281</v>
      </c>
      <c r="R94" s="1144"/>
      <c r="S94" s="879">
        <f>IF(AND(Q94&lt;&gt;0,O94&lt;&gt;0),Q94*(1-D17-D18-D19)/O94/30/(($D$25*1000000/$D$8))*1000,0)</f>
        <v>15.420474868973958</v>
      </c>
      <c r="T94" s="1144" t="s">
        <v>459</v>
      </c>
      <c r="U94" s="880">
        <f>S94*O94*30*$D$11*(1+$D$24)/1000</f>
        <v>809.87396924664665</v>
      </c>
      <c r="V94" s="1144" t="s">
        <v>460</v>
      </c>
      <c r="W94" s="880">
        <f>IF(O94&lt;&gt;0,U94/O94,0)</f>
        <v>47.639645249802747</v>
      </c>
      <c r="X94" s="1144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4"/>
      <c r="B95" s="1279"/>
      <c r="C95" s="1280"/>
      <c r="D95" s="128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144"/>
      <c r="O95" s="877">
        <v>0</v>
      </c>
      <c r="P95" s="1144"/>
      <c r="Q95" s="878">
        <f>O95*$Q$76*M95+O95*(1-$Q$76)*K95</f>
        <v>0</v>
      </c>
      <c r="R95" s="1144"/>
      <c r="S95" s="879">
        <f>IF(AND(Q95&lt;&gt;0,O95&lt;&gt;0),Q95*(1-D17-D18-D19)/O95/30/(($D$25*1000000/$D$8))*1000,0)</f>
        <v>0</v>
      </c>
      <c r="T95" s="1144" t="s">
        <v>459</v>
      </c>
      <c r="U95" s="880">
        <f>S95*O95*30*$D$11*(1+$D$24)/1000</f>
        <v>0</v>
      </c>
      <c r="V95" s="1144" t="s">
        <v>460</v>
      </c>
      <c r="W95" s="880">
        <f>IF(O95&lt;&gt;0,U95/O95,0)</f>
        <v>0</v>
      </c>
      <c r="X95" s="1144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4"/>
      <c r="B96" s="1279"/>
      <c r="C96" s="1280"/>
      <c r="D96" s="128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144"/>
      <c r="O96" s="877">
        <v>0</v>
      </c>
      <c r="P96" s="1144"/>
      <c r="Q96" s="878">
        <f>O96*$Q$76*M96+O96*(1-$Q$76)*K96</f>
        <v>0</v>
      </c>
      <c r="R96" s="1144"/>
      <c r="S96" s="879">
        <f>IF(AND(Q96&lt;&gt;0,O96&lt;&gt;0),Q96*(1-D17-D18-D19)/O96/30/(($D$25*1000000/$D$8))*1000,0)</f>
        <v>0</v>
      </c>
      <c r="T96" s="1144" t="s">
        <v>459</v>
      </c>
      <c r="U96" s="880">
        <f>S96*O96*30*$D$11*(1+$D$24)/1000</f>
        <v>0</v>
      </c>
      <c r="V96" s="1144" t="s">
        <v>460</v>
      </c>
      <c r="W96" s="880">
        <f>IF(O96&lt;&gt;0,U96/O96,0)</f>
        <v>0</v>
      </c>
      <c r="X96" s="1144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4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4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1" t="s">
        <v>120</v>
      </c>
      <c r="C4" s="519">
        <f>'C-Dados RT5 Simplif.'!C106</f>
        <v>814.4441166976485</v>
      </c>
      <c r="D4" s="513" t="s">
        <v>44</v>
      </c>
    </row>
    <row r="5" spans="2:17" ht="15" customHeight="1" outlineLevel="1" x14ac:dyDescent="0.25">
      <c r="B5" s="1352"/>
      <c r="C5" s="520">
        <f>'C-Dados RT5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RT5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RT5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50">
        <v>0.2</v>
      </c>
      <c r="D9" s="516"/>
    </row>
    <row r="10" spans="2:17" ht="15" customHeight="1" outlineLevel="1" x14ac:dyDescent="0.25">
      <c r="B10" s="1145" t="s">
        <v>123</v>
      </c>
      <c r="C10" s="1049">
        <f>'C-Dados RT5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1">
        <v>0.2</v>
      </c>
      <c r="D11" s="517"/>
    </row>
    <row r="12" spans="2:17" ht="15" customHeight="1" outlineLevel="1" x14ac:dyDescent="0.25">
      <c r="B12" s="1145" t="s">
        <v>123</v>
      </c>
      <c r="C12" s="1049">
        <f>'C-Dados RT5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RT5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8" t="s">
        <v>358</v>
      </c>
      <c r="C18" s="561">
        <f>'5)Incineração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9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0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8" t="s">
        <v>318</v>
      </c>
      <c r="C23" s="561">
        <f>'5)Incineração - E Elétrica'!F12*(C22-C15)/1000000</f>
        <v>12.791862812393131</v>
      </c>
      <c r="D23" s="452" t="s">
        <v>289</v>
      </c>
    </row>
    <row r="24" spans="2:17" s="2" customFormat="1" x14ac:dyDescent="0.25">
      <c r="B24" s="1349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0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'5)Incineração - E Elétrica'!H15</f>
        <v>549.4</v>
      </c>
      <c r="D27" s="518" t="s">
        <v>0</v>
      </c>
    </row>
    <row r="28" spans="2:17" s="2" customFormat="1" ht="15.75" thickTop="1" x14ac:dyDescent="0.25">
      <c r="B28" s="1348" t="s">
        <v>355</v>
      </c>
      <c r="C28" s="561">
        <f>'5)Incineração - E Elétrica'!F15*(C27-C15)/1000000</f>
        <v>53.552376692731002</v>
      </c>
      <c r="D28" s="452" t="s">
        <v>289</v>
      </c>
    </row>
    <row r="29" spans="2:17" s="2" customFormat="1" x14ac:dyDescent="0.25">
      <c r="B29" s="1349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0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topLeftCell="A40" zoomScale="80" zoomScaleNormal="80" workbookViewId="0">
      <selection activeCell="J81" sqref="J81"/>
    </sheetView>
  </sheetViews>
  <sheetFormatPr defaultRowHeight="15" x14ac:dyDescent="0.25"/>
  <cols>
    <col min="1" max="1" width="10.7109375" customWidth="1"/>
    <col min="2" max="2" width="44.42578125" style="1031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7" t="s">
        <v>545</v>
      </c>
      <c r="C2" s="1367"/>
      <c r="D2" s="1367"/>
      <c r="E2" s="1367"/>
      <c r="F2" s="1367"/>
      <c r="G2" s="1367"/>
      <c r="H2" s="1367"/>
      <c r="J2" s="1367" t="s">
        <v>546</v>
      </c>
      <c r="K2" s="1367"/>
      <c r="L2" s="1367"/>
      <c r="M2" s="1367"/>
      <c r="N2" s="1367"/>
      <c r="O2" s="1367"/>
      <c r="P2" s="1367"/>
    </row>
    <row r="3" spans="2:16" x14ac:dyDescent="0.25">
      <c r="B3" s="1367"/>
      <c r="C3" s="1367"/>
      <c r="D3" s="1367"/>
      <c r="E3" s="1367"/>
      <c r="F3" s="1367"/>
      <c r="G3" s="1367"/>
      <c r="H3" s="1367"/>
      <c r="J3" s="1367"/>
      <c r="K3" s="1367"/>
      <c r="L3" s="1367"/>
      <c r="M3" s="1367"/>
      <c r="N3" s="1367"/>
      <c r="O3" s="1367"/>
      <c r="P3" s="1367"/>
    </row>
    <row r="4" spans="2:16" x14ac:dyDescent="0.25">
      <c r="B4" s="14" t="s">
        <v>359</v>
      </c>
      <c r="C4" s="3">
        <f>'RESUMO GERAL Valoriz. RT´s'!C29</f>
        <v>280.84661016732178</v>
      </c>
      <c r="D4" s="3">
        <f>'RESUMO GERAL Valoriz. RT´s'!D29</f>
        <v>280.84661016732178</v>
      </c>
      <c r="E4" s="3">
        <f>'RESUMO GERAL Valoriz. RT´s'!E29</f>
        <v>280.84661016732178</v>
      </c>
      <c r="F4" s="3">
        <f>'RESUMO GERAL Valoriz. RT´s'!F29</f>
        <v>222.09756642237258</v>
      </c>
      <c r="G4" s="3">
        <f>'RESUMO GERAL Valoriz. RT´s'!G29</f>
        <v>285.34190971736228</v>
      </c>
      <c r="H4" s="3">
        <f>'RESUMO GERAL Valoriz. RT´s'!H29</f>
        <v>516.88162273991293</v>
      </c>
      <c r="J4" s="1031" t="s">
        <v>360</v>
      </c>
      <c r="K4" s="1052">
        <f>-'RESUMO GERAL Valoriz. RT´s'!C30</f>
        <v>375.03896206716161</v>
      </c>
      <c r="L4" s="1052">
        <f>-'RESUMO GERAL Valoriz. RT´s'!D30</f>
        <v>346.46642711720403</v>
      </c>
      <c r="M4" s="1052">
        <f>-'RESUMO GERAL Valoriz. RT´s'!E30</f>
        <v>338.44416116908712</v>
      </c>
      <c r="N4" s="1052">
        <f>-'RESUMO GERAL Valoriz. RT´s'!F30</f>
        <v>318.9641131170626</v>
      </c>
      <c r="O4" s="1052">
        <f>-'RESUMO GERAL Valoriz. RT´s'!G30</f>
        <v>320.42085787315654</v>
      </c>
      <c r="P4" s="1052">
        <f>-'RESUMO GERAL Valoriz. RT´s'!H30</f>
        <v>587.99036828247176</v>
      </c>
    </row>
    <row r="5" spans="2:16" x14ac:dyDescent="0.25">
      <c r="B5" s="14" t="s">
        <v>514</v>
      </c>
      <c r="C5" s="3">
        <f>'RESUMO GERAL Valoriz. RT´s'!C25</f>
        <v>514.22374388217202</v>
      </c>
      <c r="D5" s="3">
        <f>'RESUMO GERAL Valoriz. RT´s'!D25</f>
        <v>514.22374388217202</v>
      </c>
      <c r="E5" s="3">
        <f>'RESUMO GERAL Valoriz. RT´s'!E25</f>
        <v>514.22374388217202</v>
      </c>
      <c r="F5" s="3">
        <f>'RESUMO GERAL Valoriz. RT´s'!F25</f>
        <v>455.47470013722278</v>
      </c>
      <c r="G5" s="3">
        <f>'RESUMO GERAL Valoriz. RT´s'!G25</f>
        <v>518.71904343221252</v>
      </c>
      <c r="H5" s="3">
        <f>'RESUMO GERAL Valoriz. RT´s'!H25</f>
        <v>750.2587564547631</v>
      </c>
      <c r="J5" s="14" t="s">
        <v>525</v>
      </c>
      <c r="K5" s="3">
        <f>'RESUMO GERAL Valoriz. RT´s'!C43+'RESUMO GERAL Valoriz. RT´s'!C44</f>
        <v>16.863187372212348</v>
      </c>
      <c r="L5" s="3">
        <f>'RESUMO GERAL Valoriz. RT´s'!D43+'RESUMO GERAL Valoriz. RT´s'!D44</f>
        <v>0</v>
      </c>
      <c r="M5" s="3">
        <f>'RESUMO GERAL Valoriz. RT´s'!E43+'RESUMO GERAL Valoriz. RT´s'!E44</f>
        <v>0</v>
      </c>
      <c r="N5" s="3">
        <f>'RESUMO GERAL Valoriz. RT´s'!F43+'RESUMO GERAL Valoriz. RT´s'!F44</f>
        <v>0</v>
      </c>
      <c r="O5" s="3">
        <f>'RESUMO GERAL Valoriz. RT´s'!G43+'RESUMO GERAL Valoriz. RT´s'!G44</f>
        <v>0</v>
      </c>
      <c r="P5" s="3">
        <f>'RESUMO GERAL Valoriz. RT´s'!H43+'RESUMO GERAL Valoriz. RT´s'!H44</f>
        <v>36.522913414865883</v>
      </c>
    </row>
    <row r="6" spans="2:16" x14ac:dyDescent="0.25">
      <c r="B6" s="14" t="s">
        <v>360</v>
      </c>
      <c r="C6" s="3">
        <f>-'RESUMO GERAL Valoriz. RT´s'!C30</f>
        <v>375.03896206716161</v>
      </c>
      <c r="D6" s="3">
        <f>-'RESUMO GERAL Valoriz. RT´s'!D30</f>
        <v>346.46642711720403</v>
      </c>
      <c r="E6" s="3">
        <f>-'RESUMO GERAL Valoriz. RT´s'!E30</f>
        <v>338.44416116908712</v>
      </c>
      <c r="F6" s="3">
        <f>-'RESUMO GERAL Valoriz. RT´s'!F30</f>
        <v>318.9641131170626</v>
      </c>
      <c r="G6" s="3">
        <f>-'RESUMO GERAL Valoriz. RT´s'!G30</f>
        <v>320.42085787315654</v>
      </c>
      <c r="H6" s="3">
        <f>-'RESUMO GERAL Valoriz. RT´s'!H30</f>
        <v>587.99036828247176</v>
      </c>
      <c r="J6" s="14" t="s">
        <v>526</v>
      </c>
      <c r="K6" s="3">
        <f>'RESUMO GERAL Valoriz. RT´s'!C45+'RESUMO GERAL Valoriz. RT´s'!C46</f>
        <v>23.337872230099038</v>
      </c>
      <c r="L6" s="3">
        <f>'RESUMO GERAL Valoriz. RT´s'!D45+'RESUMO GERAL Valoriz. RT´s'!D46</f>
        <v>0</v>
      </c>
      <c r="M6" s="3">
        <f>'RESUMO GERAL Valoriz. RT´s'!E45+'RESUMO GERAL Valoriz. RT´s'!E46</f>
        <v>0</v>
      </c>
      <c r="N6" s="3">
        <f>'RESUMO GERAL Valoriz. RT´s'!F45+'RESUMO GERAL Valoriz. RT´s'!F46</f>
        <v>0</v>
      </c>
      <c r="O6" s="3">
        <f>'RESUMO GERAL Valoriz. RT´s'!G45+'RESUMO GERAL Valoriz. RT´s'!G46</f>
        <v>0</v>
      </c>
      <c r="P6" s="3">
        <f>'RESUMO GERAL Valoriz. RT´s'!H45+'RESUMO GERAL Valoriz. RT´s'!H46</f>
        <v>50.340544496010359</v>
      </c>
    </row>
    <row r="7" spans="2:16" x14ac:dyDescent="0.25">
      <c r="B7" s="14" t="s">
        <v>550</v>
      </c>
      <c r="C7" s="3">
        <f>C8-(C5-C4)</f>
        <v>-94.192351899839821</v>
      </c>
      <c r="D7" s="3">
        <f t="shared" ref="D7:H7" si="0">D8-(D5-D4)</f>
        <v>-65.619816949882249</v>
      </c>
      <c r="E7" s="3">
        <f t="shared" si="0"/>
        <v>-57.597551001765339</v>
      </c>
      <c r="F7" s="3">
        <f t="shared" si="0"/>
        <v>-96.866546694690015</v>
      </c>
      <c r="G7" s="3">
        <f t="shared" si="0"/>
        <v>-35.078948155794251</v>
      </c>
      <c r="H7" s="3">
        <f t="shared" si="0"/>
        <v>-71.108745542558836</v>
      </c>
      <c r="J7" s="14" t="s">
        <v>527</v>
      </c>
      <c r="K7" s="3">
        <f>'RESUMO GERAL Valoriz. RT´s'!C48</f>
        <v>55.756038073578374</v>
      </c>
      <c r="L7" s="3">
        <f>'RESUMO GERAL Valoriz. RT´s'!D48</f>
        <v>55.756038073578374</v>
      </c>
      <c r="M7" s="3">
        <f>'RESUMO GERAL Valoriz. RT´s'!E48</f>
        <v>55.756038073578374</v>
      </c>
      <c r="N7" s="3">
        <f>'RESUMO GERAL Valoriz. RT´s'!F48</f>
        <v>53.493953401009257</v>
      </c>
      <c r="O7" s="3">
        <f>'RESUMO GERAL Valoriz. RT´s'!G48</f>
        <v>61.314400573348294</v>
      </c>
      <c r="P7" s="3">
        <f>'RESUMO GERAL Valoriz. RT´s'!H48</f>
        <v>88.417619371256308</v>
      </c>
    </row>
    <row r="8" spans="2:16" x14ac:dyDescent="0.25">
      <c r="B8" s="14" t="s">
        <v>551</v>
      </c>
      <c r="C8" s="3">
        <f>'RESUMO GERAL Valoriz. RT´s'!C41</f>
        <v>139.18478181501041</v>
      </c>
      <c r="D8" s="3">
        <f>'RESUMO GERAL Valoriz. RT´s'!D41</f>
        <v>167.75731676496798</v>
      </c>
      <c r="E8" s="3">
        <f>'RESUMO GERAL Valoriz. RT´s'!E41</f>
        <v>175.77958271308489</v>
      </c>
      <c r="F8" s="3">
        <f>'RESUMO GERAL Valoriz. RT´s'!F41</f>
        <v>136.51058702016019</v>
      </c>
      <c r="G8" s="3">
        <f>'RESUMO GERAL Valoriz. RT´s'!G41</f>
        <v>198.29818555905598</v>
      </c>
      <c r="H8" s="3">
        <f>'RESUMO GERAL Valoriz. RT´s'!H41</f>
        <v>162.26838817229134</v>
      </c>
      <c r="J8" s="14" t="s">
        <v>528</v>
      </c>
      <c r="K8" s="3">
        <f>'RESUMO GERAL Valoriz. RT´s'!C52</f>
        <v>130.8244706266106</v>
      </c>
      <c r="L8" s="3">
        <f>'RESUMO GERAL Valoriz. RT´s'!D52</f>
        <v>130.8244706266106</v>
      </c>
      <c r="M8" s="3">
        <f>'RESUMO GERAL Valoriz. RT´s'!E52</f>
        <v>130.8244706266106</v>
      </c>
      <c r="N8" s="3">
        <f>'RESUMO GERAL Valoriz. RT´s'!F52</f>
        <v>114.41038796979075</v>
      </c>
      <c r="O8" s="3">
        <f>'RESUMO GERAL Valoriz. RT´s'!G52</f>
        <v>117.23774669862155</v>
      </c>
      <c r="P8" s="3">
        <f>'RESUMO GERAL Valoriz. RT´s'!H52</f>
        <v>92.415395186689025</v>
      </c>
    </row>
    <row r="9" spans="2:16" x14ac:dyDescent="0.25">
      <c r="B9" s="14" t="s">
        <v>517</v>
      </c>
      <c r="C9" s="1045">
        <f>'RESUMO GERAL Valoriz. RT´s'!C62</f>
        <v>285.77410432723599</v>
      </c>
      <c r="D9" s="1045">
        <f>'RESUMO GERAL Valoriz. RT´s'!D62</f>
        <v>244.87200614309177</v>
      </c>
      <c r="E9" s="1045">
        <f>'RESUMO GERAL Valoriz. RT´s'!E62</f>
        <v>244.37308562026203</v>
      </c>
      <c r="F9" s="1045">
        <f>'RESUMO GERAL Valoriz. RT´s'!F62</f>
        <v>212.00067845053178</v>
      </c>
      <c r="G9" s="1045">
        <f>'RESUMO GERAL Valoriz. RT´s'!G62</f>
        <v>238.3236471892223</v>
      </c>
      <c r="H9" s="1045">
        <f>'RESUMO GERAL Valoriz. RT´s'!H62</f>
        <v>389.77015303895246</v>
      </c>
      <c r="J9" s="14" t="s">
        <v>529</v>
      </c>
      <c r="K9" s="3">
        <f>'RESUMO GERAL Valoriz. RT´s'!C57</f>
        <v>58.992536024735635</v>
      </c>
      <c r="L9" s="3">
        <f>'RESUMO GERAL Valoriz. RT´s'!D57</f>
        <v>58.291497442902795</v>
      </c>
      <c r="M9" s="3">
        <f>'RESUMO GERAL Valoriz. RT´s'!E57</f>
        <v>57.792576920073074</v>
      </c>
      <c r="N9" s="3">
        <f>'RESUMO GERAL Valoriz. RT´s'!F57</f>
        <v>44.096337079731754</v>
      </c>
      <c r="O9" s="3">
        <f>'RESUMO GERAL Valoriz. RT´s'!G57</f>
        <v>59.771499917252477</v>
      </c>
      <c r="P9" s="3">
        <f>'RESUMO GERAL Valoriz. RT´s'!H57</f>
        <v>122.07368057013085</v>
      </c>
    </row>
    <row r="10" spans="2:16" x14ac:dyDescent="0.25">
      <c r="B10" s="14" t="s">
        <v>556</v>
      </c>
      <c r="C10" s="707">
        <f>'RESUMO GERAL Valoriz. RT´s'!C65</f>
        <v>3.9154169667154206</v>
      </c>
      <c r="D10" s="707">
        <f>'RESUMO GERAL Valoriz. RT´s'!D65</f>
        <v>2.8344028878284306</v>
      </c>
      <c r="E10" s="707">
        <f>'RESUMO GERAL Valoriz. RT´s'!E65</f>
        <v>2.6565692637024703</v>
      </c>
      <c r="F10" s="707">
        <f>'RESUMO GERAL Valoriz. RT´s'!F65</f>
        <v>3.4712855280245778</v>
      </c>
      <c r="G10" s="707">
        <f>'RESUMO GERAL Valoriz. RT´s'!G65</f>
        <v>2.2108250466792803</v>
      </c>
      <c r="H10" s="707">
        <f>'RESUMO GERAL Valoriz. RT´s'!H65</f>
        <v>3.8570599340456457</v>
      </c>
      <c r="J10" s="14" t="s">
        <v>556</v>
      </c>
      <c r="K10" s="707">
        <f>'RESUMO GERAL Valoriz. RT´s'!C65</f>
        <v>3.9154169667154206</v>
      </c>
      <c r="L10" s="707">
        <f>'RESUMO GERAL Valoriz. RT´s'!D65</f>
        <v>2.8344028878284306</v>
      </c>
      <c r="M10" s="707">
        <f>'RESUMO GERAL Valoriz. RT´s'!E65</f>
        <v>2.6565692637024703</v>
      </c>
      <c r="N10" s="707">
        <f>'RESUMO GERAL Valoriz. RT´s'!F65</f>
        <v>3.4712855280245778</v>
      </c>
      <c r="O10" s="707">
        <f>'RESUMO GERAL Valoriz. RT´s'!G65</f>
        <v>2.2108250466792803</v>
      </c>
      <c r="P10" s="707">
        <f>'RESUMO GERAL Valoriz. RT´s'!H65</f>
        <v>3.8570599340456457</v>
      </c>
    </row>
    <row r="11" spans="2:16" x14ac:dyDescent="0.25">
      <c r="B11" s="14" t="s">
        <v>557</v>
      </c>
      <c r="C11" s="707">
        <f>'RESUMO GERAL Valoriz. RT´s'!C64</f>
        <v>1.9404416378833895</v>
      </c>
      <c r="D11" s="707">
        <f>'RESUMO GERAL Valoriz. RT´s'!D64</f>
        <v>1.6930659152684351</v>
      </c>
      <c r="E11" s="707">
        <f>'RESUMO GERAL Valoriz. RT´s'!E64</f>
        <v>1.6627248459357131</v>
      </c>
      <c r="F11" s="707">
        <f>'RESUMO GERAL Valoriz. RT´s'!F64</f>
        <v>2.133599358058917</v>
      </c>
      <c r="G11" s="707">
        <f>'RESUMO GERAL Valoriz. RT´s'!G64</f>
        <v>1.5364115133990111</v>
      </c>
      <c r="H11" s="707">
        <f>'RESUMO GERAL Valoriz. RT´s'!H64</f>
        <v>1.2108747361994028</v>
      </c>
      <c r="J11" s="14" t="s">
        <v>557</v>
      </c>
      <c r="K11" s="707">
        <f>'RESUMO GERAL Valoriz. RT´s'!C64</f>
        <v>1.9404416378833895</v>
      </c>
      <c r="L11" s="707">
        <f>'RESUMO GERAL Valoriz. RT´s'!D64</f>
        <v>1.6930659152684351</v>
      </c>
      <c r="M11" s="707">
        <f>'RESUMO GERAL Valoriz. RT´s'!E64</f>
        <v>1.6627248459357131</v>
      </c>
      <c r="N11" s="707">
        <f>'RESUMO GERAL Valoriz. RT´s'!F64</f>
        <v>2.133599358058917</v>
      </c>
      <c r="O11" s="707">
        <f>'RESUMO GERAL Valoriz. RT´s'!G64</f>
        <v>1.5364115133990111</v>
      </c>
      <c r="P11" s="707">
        <f>'RESUMO GERAL Valoriz. RT´s'!H64</f>
        <v>1.2108747361994028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52">
        <f>C8*'C-Dados RT1 Simplif.'!$C$105/'RT1A)Calc Tarifa incl Mov'!$G$11/12</f>
        <v>17.176589954834565</v>
      </c>
      <c r="D13" s="1052">
        <f>D8*'C-Dados RT1 Simplif.'!$C$105/'RT1A)Calc Tarifa incl Mov'!$G$11/12</f>
        <v>20.702684621260754</v>
      </c>
      <c r="E13" s="1052">
        <f>E8*'C-Dados RT1 Simplif.'!$C$105/'RT1A)Calc Tarifa incl Mov'!$G$11/12</f>
        <v>21.692700705652644</v>
      </c>
      <c r="F13" s="1052">
        <f>F8*'C-Dados RT1 Simplif.'!$C$105/'RT1A)Calc Tarifa incl Mov'!$G$11/12</f>
        <v>16.846571494112723</v>
      </c>
      <c r="G13" s="1052">
        <f>G8*'C-Dados RT1 Simplif.'!$C$105/'RT1A)Calc Tarifa incl Mov'!$G$11/12</f>
        <v>24.471688482887515</v>
      </c>
      <c r="H13" s="1052">
        <f>H8*'C-Dados RT1 Simplif.'!$C$105/'RT1A)Calc Tarifa incl Mov'!$G$11/12</f>
        <v>20.025303987413281</v>
      </c>
    </row>
    <row r="14" spans="2:16" x14ac:dyDescent="0.25">
      <c r="B14" s="1367" t="s">
        <v>547</v>
      </c>
      <c r="C14" s="1367"/>
      <c r="D14" s="1367"/>
      <c r="E14" s="1367"/>
      <c r="F14" s="1367"/>
      <c r="G14" s="1367"/>
      <c r="H14" s="1367"/>
    </row>
    <row r="15" spans="2:16" x14ac:dyDescent="0.25">
      <c r="B15" s="1367"/>
      <c r="C15" s="1367"/>
      <c r="D15" s="1367"/>
      <c r="E15" s="1367"/>
      <c r="F15" s="1367"/>
      <c r="G15" s="1367"/>
      <c r="H15" s="1367"/>
    </row>
    <row r="16" spans="2:16" x14ac:dyDescent="0.25">
      <c r="B16" s="1031" t="s">
        <v>536</v>
      </c>
      <c r="C16" s="1054">
        <f>'C-Dados RT1 Simplif.'!$C$18+'RT1A) Custos Valoriz E.Elétrica'!C10*'RT1A) Custos Valoriz E.Elétrica'!C5*'RT1A) Custos Valoriz E.Elétrica'!C6/1000000</f>
        <v>431.20453699273503</v>
      </c>
      <c r="D16" s="1054">
        <f>'C-Dados RT1 Simplif.'!$C$18+('RT1B) Descarb AutoCons'!C4*'RT1B) Descarb AutoCons'!C5*'RT1B) Descarb AutoCons'!C8+'RT1B) Comercializ Gás Biome'!C22)/1000000+'RT1B) Descarb Util Públ'!C38+'RT1B) Descarb AutoCons'!C38</f>
        <v>473.91607117424104</v>
      </c>
      <c r="E16" s="1054">
        <f>'C-Dados RT1 Simplif.'!$C$18+('RT1C) Comercializ Gás Biomet'!C4*'RT1C) Comercializ Gás Biomet'!C5*'RT1C) Comercializ Gás Biomet'!C8+'RT1C) Comercializ Gás Biomet'!C22)/1000000</f>
        <v>438.41607117424104</v>
      </c>
      <c r="F16" s="1054">
        <f>'C-Dados RT2 Simplif.'!$C$18</f>
        <v>290.13113369405085</v>
      </c>
      <c r="G16" s="1054">
        <f>'C-Dados RT3 Simplif.'!$C$18</f>
        <v>448.82802470399298</v>
      </c>
      <c r="H16" s="1054">
        <f>'C-Dados RT4 Simplif.'!$C$18</f>
        <v>974.00388302938234</v>
      </c>
    </row>
    <row r="17" spans="2:16" s="1047" customFormat="1" ht="15.75" x14ac:dyDescent="0.25">
      <c r="B17" s="1031" t="s">
        <v>537</v>
      </c>
      <c r="C17" s="1053">
        <f>C16*1000000/'C-Dados RT1 Simplif.'!$C$105</f>
        <v>1696.9437133373474</v>
      </c>
      <c r="D17" s="1053">
        <f>D16*1000000/'C-Dados RT1 Simplif.'!$C$105</f>
        <v>1865.0288404600265</v>
      </c>
      <c r="E17" s="1053">
        <f>E16*1000000/'C-Dados RT1 Simplif.'!$C$105</f>
        <v>1725.323673525545</v>
      </c>
      <c r="F17" s="1053">
        <f>F16*1000000/'C-Dados RT1 Simplif.'!$C$105</f>
        <v>1141.769534242753</v>
      </c>
      <c r="G17" s="1053">
        <f>G16*1000000/'C-Dados RT1 Simplif.'!$C$105</f>
        <v>1766.2984258068986</v>
      </c>
      <c r="H17" s="1053">
        <f>H16*1000000/'C-Dados RT1 Simplif.'!$C$105</f>
        <v>3833.0528189705074</v>
      </c>
    </row>
    <row r="18" spans="2:16" x14ac:dyDescent="0.25">
      <c r="B18" s="1031" t="s">
        <v>538</v>
      </c>
      <c r="C18" s="1054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33.604847434197069</v>
      </c>
      <c r="D18" s="1054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37.070716807649475</v>
      </c>
      <c r="E18" s="1054">
        <f>'C-Dados RT1 Simplif.'!$C$21/'C-Dados RT1 Simplif.'!$C$7-'RT1C) Comercializ Gás Biomet'!C24/1000000</f>
        <v>33.168088811064479</v>
      </c>
      <c r="F18" s="1054">
        <f>'C-Dados RT2 Simplif.'!$C$21/'C-Dados RT2 Simplif.'!$C$7</f>
        <v>32.194552303679266</v>
      </c>
      <c r="G18" s="1054">
        <f>'C-Dados RT3 Simplif.'!$C$21/'C-Dados RT3 Simplif.'!$C$7</f>
        <v>38.223840142863281</v>
      </c>
      <c r="H18" s="1054">
        <f>'C-Dados RT4 Simplif.'!$C$21/'C-Dados RT4 Simplif.'!$C$7</f>
        <v>57.106121849485511</v>
      </c>
    </row>
    <row r="19" spans="2:16" x14ac:dyDescent="0.25">
      <c r="B19" s="1031" t="s">
        <v>539</v>
      </c>
      <c r="C19" s="1053">
        <f>C18*1000000/'C-Dados RT1 Simplif.'!$C$105</f>
        <v>132.24706536907837</v>
      </c>
      <c r="D19" s="1053">
        <f>D18*1000000/'C-Dados RT1 Simplif.'!$C$105</f>
        <v>145.88649802798753</v>
      </c>
      <c r="E19" s="1053">
        <f>E18*1000000/'C-Dados RT1 Simplif.'!$C$105</f>
        <v>130.52826434499914</v>
      </c>
      <c r="F19" s="1053">
        <f>F18*1000000/'C-Dados RT2 Simplif.'!$C$105</f>
        <v>126.69705081595511</v>
      </c>
      <c r="G19" s="1053">
        <f>G18*1000000/'C-Dados RT3 Simplif.'!$C$105</f>
        <v>150.42444980382106</v>
      </c>
      <c r="H19" s="1053">
        <f>H18*1000000/'C-Dados RT4 Simplif.'!$C$105</f>
        <v>224.73296580178061</v>
      </c>
    </row>
    <row r="20" spans="2:16" x14ac:dyDescent="0.25">
      <c r="B20" s="1031" t="s">
        <v>559</v>
      </c>
      <c r="C20" s="1053">
        <f>'C-Dados RT1 Simplif.'!$C$6*'C-Dados RT1 Simplif.'!$C$105/'C-Dados RT1 Simplif.'!$C$102</f>
        <v>161.68420218828629</v>
      </c>
      <c r="D20" s="1053">
        <f>'C-Dados RT1 Simplif.'!$C$6*'C-Dados RT1 Simplif.'!$C$105/'C-Dados RT1 Simplif.'!$C$102</f>
        <v>161.68420218828629</v>
      </c>
      <c r="E20" s="1053">
        <f>'C-Dados RT1 Simplif.'!$C$6*'C-Dados RT1 Simplif.'!$C$105/'C-Dados RT1 Simplif.'!$C$102</f>
        <v>161.68420218828629</v>
      </c>
      <c r="F20" s="1053">
        <f>'C-Dados RT2 Simplif.'!$C$6*'C-Dados RT2 Simplif.'!$C$105/'C-Dados RT2 Simplif.'!$C$102</f>
        <v>127.31583440114407</v>
      </c>
      <c r="G20" s="1053">
        <f>'C-Dados RT3 Simplif.'!$C$6*'C-Dados RT3 Simplif.'!$C$105/'C-Dados RT3 Simplif.'!$C$102</f>
        <v>167.26017607085541</v>
      </c>
      <c r="H20" s="1053">
        <f>'C-Dados RT4 Simplif.'!$C$6*'C-Dados RT4 Simplif.'!$C$105/'C-Dados RT4 Simplif.'!$C$102</f>
        <v>296.5578012251043</v>
      </c>
    </row>
    <row r="21" spans="2:16" x14ac:dyDescent="0.25">
      <c r="B21" s="1031" t="s">
        <v>544</v>
      </c>
      <c r="C21" s="1055">
        <f>'C-Dados RT1 Simplif.'!$C$116</f>
        <v>98.387838306984222</v>
      </c>
      <c r="D21" s="1055">
        <f>'C-Dados RT1 Simplif.'!$C$116</f>
        <v>98.387838306984222</v>
      </c>
      <c r="E21" s="1055">
        <f>'C-Dados RT1 Simplif.'!$C$116</f>
        <v>98.387838306984222</v>
      </c>
      <c r="F21" s="1055">
        <f>'C-Dados RT2 Simplif.'!$C$116</f>
        <v>102.55105673163109</v>
      </c>
      <c r="G21" s="1055">
        <f>'C-Dados RT3 Simplif.'!$C$116</f>
        <v>88.891558361789492</v>
      </c>
      <c r="H21" s="1055">
        <f>'C-Dados RT4 Simplif.'!$C$116</f>
        <v>50.314687919141505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7" t="s">
        <v>552</v>
      </c>
      <c r="C25" s="1367"/>
      <c r="D25" s="1367"/>
      <c r="E25" s="1367"/>
      <c r="F25" s="1367"/>
      <c r="G25" s="1367"/>
      <c r="H25" s="1367"/>
      <c r="J25" s="1367" t="s">
        <v>553</v>
      </c>
      <c r="K25" s="1367"/>
      <c r="L25" s="1367"/>
      <c r="M25" s="1367"/>
      <c r="N25" s="1367"/>
      <c r="O25" s="1367"/>
      <c r="P25" s="1367"/>
    </row>
    <row r="26" spans="2:16" x14ac:dyDescent="0.25">
      <c r="B26" s="1367"/>
      <c r="C26" s="1367"/>
      <c r="D26" s="1367"/>
      <c r="E26" s="1367"/>
      <c r="F26" s="1367"/>
      <c r="G26" s="1367"/>
      <c r="H26" s="1367"/>
      <c r="J26" s="1367"/>
      <c r="K26" s="1367"/>
      <c r="L26" s="1367"/>
      <c r="M26" s="1367"/>
      <c r="N26" s="1367"/>
      <c r="O26" s="1367"/>
      <c r="P26" s="1367"/>
    </row>
    <row r="27" spans="2:16" ht="15.75" x14ac:dyDescent="0.25">
      <c r="B27" s="1046" t="s">
        <v>507</v>
      </c>
      <c r="C27" s="1046" t="s">
        <v>506</v>
      </c>
      <c r="D27" s="1046" t="s">
        <v>505</v>
      </c>
      <c r="E27" s="1046" t="s">
        <v>518</v>
      </c>
      <c r="F27" s="1046" t="s">
        <v>504</v>
      </c>
      <c r="J27" s="1046" t="s">
        <v>507</v>
      </c>
      <c r="K27" s="1046" t="s">
        <v>506</v>
      </c>
      <c r="L27" s="1046" t="s">
        <v>505</v>
      </c>
      <c r="M27" s="1046" t="s">
        <v>518</v>
      </c>
      <c r="N27" s="1046" t="s">
        <v>504</v>
      </c>
    </row>
    <row r="28" spans="2:16" x14ac:dyDescent="0.25">
      <c r="B28" s="1042" t="s">
        <v>508</v>
      </c>
      <c r="C28" s="1043"/>
      <c r="D28" s="1044"/>
      <c r="F28" s="1044"/>
      <c r="J28" s="1042" t="s">
        <v>508</v>
      </c>
      <c r="K28" s="1043"/>
      <c r="L28" s="1044"/>
      <c r="N28" s="1044"/>
    </row>
    <row r="29" spans="2:16" x14ac:dyDescent="0.25">
      <c r="B29" s="1042"/>
      <c r="C29" s="1043" t="s">
        <v>499</v>
      </c>
      <c r="D29" s="1044">
        <f>'RT1A)Calc Tarifa incl Mov'!K39</f>
        <v>4.6677919970699024</v>
      </c>
      <c r="E29" s="1044">
        <f>'RT1A)Calc Tarifa incl Mov'!Q36/'RT1A)Calc Tarifa incl Mov'!O36</f>
        <v>27.853590057515561</v>
      </c>
      <c r="F29" s="1044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40.843179974361647</v>
      </c>
      <c r="J29" s="1042"/>
      <c r="K29" s="1043" t="s">
        <v>499</v>
      </c>
      <c r="L29" s="1044">
        <f>'RT1A)Calc Tarifa sem Mov'!K39</f>
        <v>4.6677919970699024</v>
      </c>
      <c r="M29" s="1044">
        <f>'RT1A)Calc Tarifa sem Mov'!Q36/'RT1A)Calc Tarifa sem Mov'!O36</f>
        <v>27.853590057515561</v>
      </c>
      <c r="N29" s="1044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40.843179974361647</v>
      </c>
    </row>
    <row r="30" spans="2:16" x14ac:dyDescent="0.25">
      <c r="B30" s="1042"/>
      <c r="C30" s="1043" t="s">
        <v>500</v>
      </c>
      <c r="D30" s="1044">
        <f>'RT1A)Calc Tarifa incl Mov'!K52</f>
        <v>6.5465782758905382</v>
      </c>
      <c r="E30" s="1044">
        <f>'RT1A)Calc Tarifa incl Mov'!Q49/'RT1A)Calc Tarifa incl Mov'!O49</f>
        <v>22.259363547015081</v>
      </c>
      <c r="F30" s="1044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73.649005603768558</v>
      </c>
      <c r="J30" s="1042"/>
      <c r="K30" s="1043" t="s">
        <v>500</v>
      </c>
      <c r="L30" s="1044">
        <f>'RT1A)Calc Tarifa sem Mov'!K52</f>
        <v>6.5465782758905382</v>
      </c>
      <c r="M30" s="1044">
        <f>'RT1A)Calc Tarifa sem Mov'!Q49/'RT1A)Calc Tarifa sem Mov'!O49</f>
        <v>22.259363547015081</v>
      </c>
      <c r="N30" s="1044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73.649005603768558</v>
      </c>
    </row>
    <row r="31" spans="2:16" x14ac:dyDescent="0.25">
      <c r="B31" s="1042"/>
      <c r="C31" s="1043" t="s">
        <v>501</v>
      </c>
      <c r="D31" s="1044">
        <f>'RT1A)Calc Tarifa incl Mov'!K65</f>
        <v>3.2732891379452691</v>
      </c>
      <c r="E31" s="1044">
        <f>'RT1A)Calc Tarifa incl Mov'!Q62/'RT1A)Calc Tarifa incl Mov'!O62</f>
        <v>7.8205395418138393</v>
      </c>
      <c r="F31" s="1044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36.824502801884279</v>
      </c>
      <c r="J31" s="1042"/>
      <c r="K31" s="1043" t="s">
        <v>501</v>
      </c>
      <c r="L31" s="1044">
        <f>'RT1A)Calc Tarifa sem Mov'!K65</f>
        <v>3.2732891379452691</v>
      </c>
      <c r="M31" s="1044">
        <f>'RT1A)Calc Tarifa sem Mov'!Q62/'RT1A)Calc Tarifa sem Mov'!O62</f>
        <v>7.8205395418138393</v>
      </c>
      <c r="N31" s="1044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36.824502801884279</v>
      </c>
    </row>
    <row r="32" spans="2:16" x14ac:dyDescent="0.25">
      <c r="B32" s="1042"/>
      <c r="C32" s="1043" t="s">
        <v>502</v>
      </c>
      <c r="D32" s="1044">
        <f>'RT1A)Calc Tarifa incl Mov'!K78</f>
        <v>6.3015191960443682</v>
      </c>
      <c r="E32" s="1044">
        <f>'RT1A)Calc Tarifa incl Mov'!Q75/'RT1A)Calc Tarifa incl Mov'!O75</f>
        <v>30.912191093519198</v>
      </c>
      <c r="F32" s="1044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59.514347962641253</v>
      </c>
      <c r="J32" s="1042"/>
      <c r="K32" s="1043" t="s">
        <v>502</v>
      </c>
      <c r="L32" s="1044">
        <f>'RT1A)Calc Tarifa sem Mov'!K78</f>
        <v>6.1614854361322706</v>
      </c>
      <c r="M32" s="1044">
        <f>'RT1A)Calc Tarifa sem Mov'!Q75/'RT1A)Calc Tarifa sem Mov'!O75</f>
        <v>30.745901003623587</v>
      </c>
      <c r="N32" s="1044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59.339305762751138</v>
      </c>
    </row>
    <row r="33" spans="2:14" x14ac:dyDescent="0.25">
      <c r="B33" s="1042"/>
      <c r="C33" s="1043" t="s">
        <v>503</v>
      </c>
      <c r="D33" s="1044">
        <f>'RT1A)Calc Tarifa incl Mov'!K91</f>
        <v>4.9011815969233972</v>
      </c>
      <c r="E33" s="1044">
        <f>'RT1A)Calc Tarifa incl Mov'!Q88/'RT1A)Calc Tarifa incl Mov'!O88</f>
        <v>67.139623795354666</v>
      </c>
      <c r="F33" s="1044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80.519411949455815</v>
      </c>
      <c r="J33" s="1042"/>
      <c r="K33" s="1043" t="s">
        <v>503</v>
      </c>
      <c r="L33" s="1044">
        <f>'RT1A)Calc Tarifa sem Mov'!K91</f>
        <v>4.9011815969233972</v>
      </c>
      <c r="M33" s="1044">
        <f>'RT1A)Calc Tarifa sem Mov'!Q88/'RT1A)Calc Tarifa sem Mov'!O88</f>
        <v>67.139623795354666</v>
      </c>
      <c r="N33" s="1044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80.519411949455815</v>
      </c>
    </row>
    <row r="34" spans="2:14" x14ac:dyDescent="0.25">
      <c r="B34" s="1042" t="s">
        <v>509</v>
      </c>
      <c r="C34" s="1043"/>
      <c r="D34" s="1044"/>
      <c r="E34" s="1044"/>
      <c r="F34" s="1044"/>
      <c r="J34" s="1042" t="s">
        <v>509</v>
      </c>
      <c r="K34" s="1043"/>
      <c r="L34" s="1044"/>
      <c r="M34" s="1044"/>
      <c r="N34" s="1044"/>
    </row>
    <row r="35" spans="2:14" x14ac:dyDescent="0.25">
      <c r="B35" s="1042"/>
      <c r="C35" s="1043" t="s">
        <v>499</v>
      </c>
      <c r="D35" s="1044">
        <f>'RT1B)Calc Tarifa incl Mov'!K39</f>
        <v>5.626019241717052</v>
      </c>
      <c r="E35" s="1044">
        <f>'RT1B)Calc Tarifa incl Mov'!Q36/'RT1B)Calc Tarifa incl Mov'!O36</f>
        <v>33.571511693933473</v>
      </c>
      <c r="F35" s="1044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49.227668365024201</v>
      </c>
      <c r="J35" s="1042"/>
      <c r="K35" s="1043" t="s">
        <v>499</v>
      </c>
      <c r="L35" s="1044">
        <f>'RT1B)Calc Tarifa sem Mov'!K39</f>
        <v>5.626019241717052</v>
      </c>
      <c r="M35" s="1044">
        <f>'RT1B)Calc Tarifa sem Mov'!Q36/'RT1B)Calc Tarifa sem Mov'!O36</f>
        <v>33.571511693933473</v>
      </c>
      <c r="N35" s="1044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49.227668365024201</v>
      </c>
    </row>
    <row r="36" spans="2:14" x14ac:dyDescent="0.25">
      <c r="B36" s="1042"/>
      <c r="C36" s="1043" t="s">
        <v>500</v>
      </c>
      <c r="D36" s="1044">
        <f>'RT1B)Calc Tarifa incl Mov'!K52</f>
        <v>7.8904919865081649</v>
      </c>
      <c r="E36" s="1044">
        <f>'RT1B)Calc Tarifa incl Mov'!Q49/'RT1B)Calc Tarifa incl Mov'!O49</f>
        <v>26.828874916125915</v>
      </c>
      <c r="F36" s="1044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88.768034848216857</v>
      </c>
      <c r="J36" s="1042"/>
      <c r="K36" s="1043" t="s">
        <v>500</v>
      </c>
      <c r="L36" s="1044">
        <f>'RT1B)Calc Tarifa sem Mov'!K52</f>
        <v>7.8904919865081649</v>
      </c>
      <c r="M36" s="1044">
        <f>'RT1B)Calc Tarifa sem Mov'!Q49/'RT1B)Calc Tarifa sem Mov'!O49</f>
        <v>26.828874916125915</v>
      </c>
      <c r="N36" s="1044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88.768034848216857</v>
      </c>
    </row>
    <row r="37" spans="2:14" x14ac:dyDescent="0.25">
      <c r="B37" s="1042"/>
      <c r="C37" s="1043" t="s">
        <v>501</v>
      </c>
      <c r="D37" s="1044">
        <f>'RT1B)Calc Tarifa incl Mov'!K65</f>
        <v>3.9452459932540824</v>
      </c>
      <c r="E37" s="1044">
        <f>'RT1B)Calc Tarifa incl Mov'!Q62/'RT1B)Calc Tarifa incl Mov'!O62</f>
        <v>9.4259782720551275</v>
      </c>
      <c r="F37" s="1044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44.384017424108428</v>
      </c>
      <c r="J37" s="1042"/>
      <c r="K37" s="1043" t="s">
        <v>501</v>
      </c>
      <c r="L37" s="1044">
        <f>'RT1B)Calc Tarifa sem Mov'!K65</f>
        <v>3.9452459932540824</v>
      </c>
      <c r="M37" s="1044">
        <f>'RT1B)Calc Tarifa sem Mov'!Q62/'RT1B)Calc Tarifa sem Mov'!O62</f>
        <v>9.4259782720551275</v>
      </c>
      <c r="N37" s="1044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44.384017424108428</v>
      </c>
    </row>
    <row r="38" spans="2:14" x14ac:dyDescent="0.25">
      <c r="B38" s="1042"/>
      <c r="C38" s="1043" t="s">
        <v>502</v>
      </c>
      <c r="D38" s="1044">
        <f>'RT1B)Calc Tarifa incl Mov'!K78</f>
        <v>7.5951259763180197</v>
      </c>
      <c r="E38" s="1044">
        <f>'RT1B)Calc Tarifa incl Mov'!Q75/'RT1B)Calc Tarifa incl Mov'!O75</f>
        <v>37.257997358267694</v>
      </c>
      <c r="F38" s="1044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71.731745331892412</v>
      </c>
      <c r="J38" s="1042"/>
      <c r="K38" s="1043" t="s">
        <v>502</v>
      </c>
      <c r="L38" s="1044">
        <f>'RT1B)Calc Tarifa sem Mov'!K78</f>
        <v>7.5951259763180197</v>
      </c>
      <c r="M38" s="1044">
        <f>'RT1B)Calc Tarifa sem Mov'!Q75/'RT1B)Calc Tarifa sem Mov'!O75</f>
        <v>37.257997358267694</v>
      </c>
      <c r="N38" s="1044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71.731745331892412</v>
      </c>
    </row>
    <row r="39" spans="2:14" x14ac:dyDescent="0.25">
      <c r="B39" s="1042"/>
      <c r="C39" s="1043" t="s">
        <v>503</v>
      </c>
      <c r="D39" s="1044">
        <f>'RT1B)Calc Tarifa incl Mov'!K91</f>
        <v>5.9073202038029038</v>
      </c>
      <c r="E39" s="1044">
        <f>'RT1B)Calc Tarifa incl Mov'!Q88/'RT1B)Calc Tarifa incl Mov'!O88</f>
        <v>80.922375202541119</v>
      </c>
      <c r="F39" s="1044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97.048831919619133</v>
      </c>
      <c r="J39" s="1042"/>
      <c r="K39" s="1043" t="s">
        <v>503</v>
      </c>
      <c r="L39" s="1044">
        <f>'RT1B)Calc Tarifa sem Mov'!K91</f>
        <v>5.9073202038029038</v>
      </c>
      <c r="M39" s="1044">
        <f>'RT1B)Calc Tarifa sem Mov'!Q88/'RT1B)Calc Tarifa sem Mov'!O88</f>
        <v>80.922375202541119</v>
      </c>
      <c r="N39" s="1044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97.048831919619133</v>
      </c>
    </row>
    <row r="40" spans="2:14" x14ac:dyDescent="0.25">
      <c r="B40" s="1042" t="s">
        <v>510</v>
      </c>
      <c r="C40" s="1043"/>
      <c r="D40" s="1044"/>
      <c r="E40" s="1044"/>
      <c r="F40" s="1044"/>
      <c r="J40" s="1042" t="s">
        <v>510</v>
      </c>
      <c r="K40" s="1043"/>
      <c r="L40" s="1044"/>
      <c r="M40" s="1044"/>
      <c r="N40" s="1044"/>
    </row>
    <row r="41" spans="2:14" x14ac:dyDescent="0.25">
      <c r="B41" s="1042"/>
      <c r="C41" s="1043" t="s">
        <v>499</v>
      </c>
      <c r="D41" s="1044">
        <f>'RT1C)Calc Tarifa incl Mov'!K39</f>
        <v>5.8950592064508109</v>
      </c>
      <c r="E41" s="1044">
        <f>'RT1C)Calc Tarifa incl Mov'!Q36/'RT1C)Calc Tarifa incl Mov'!O36</f>
        <v>35.176923608493198</v>
      </c>
      <c r="F41" s="1044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51.581768056444595</v>
      </c>
      <c r="J41" s="1042"/>
      <c r="K41" s="1043" t="s">
        <v>499</v>
      </c>
      <c r="L41" s="1044">
        <f>'RT1C)Calc Tarifa sem Mov'!K39</f>
        <v>5.8950592064508109</v>
      </c>
      <c r="M41" s="1044">
        <f>'RT1C)Calc Tarifa sem Mov'!Q36/'RT1C)Calc Tarifa sem Mov'!O36</f>
        <v>35.176923608493198</v>
      </c>
      <c r="N41" s="1044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51.581768056444595</v>
      </c>
    </row>
    <row r="42" spans="2:14" x14ac:dyDescent="0.25">
      <c r="B42" s="1042"/>
      <c r="C42" s="1043" t="s">
        <v>500</v>
      </c>
      <c r="D42" s="1044">
        <f>'RT1C)Calc Tarifa incl Mov'!K52</f>
        <v>8.2678205370472622</v>
      </c>
      <c r="E42" s="1044">
        <f>'RT1C)Calc Tarifa incl Mov'!Q49/'RT1C)Calc Tarifa incl Mov'!O49</f>
        <v>28.111849476141462</v>
      </c>
      <c r="F42" s="1044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93.012981041781714</v>
      </c>
      <c r="J42" s="1042"/>
      <c r="K42" s="1043" t="s">
        <v>500</v>
      </c>
      <c r="L42" s="1044">
        <f>'RT1C)Calc Tarifa sem Mov'!K52</f>
        <v>8.2678205370472622</v>
      </c>
      <c r="M42" s="1044">
        <f>'RT1C)Calc Tarifa sem Mov'!Q49/'RT1C)Calc Tarifa sem Mov'!O49</f>
        <v>28.111849476141462</v>
      </c>
      <c r="N42" s="1044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93.012981041781714</v>
      </c>
    </row>
    <row r="43" spans="2:14" x14ac:dyDescent="0.25">
      <c r="B43" s="1042"/>
      <c r="C43" s="1043" t="s">
        <v>501</v>
      </c>
      <c r="D43" s="1044">
        <f>'RT1C)Calc Tarifa incl Mov'!K65</f>
        <v>4.1339102685236311</v>
      </c>
      <c r="E43" s="1044">
        <f>'RT1C)Calc Tarifa incl Mov'!Q62/'RT1C)Calc Tarifa incl Mov'!O62</f>
        <v>9.876734793307433</v>
      </c>
      <c r="F43" s="1044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46.506490520890857</v>
      </c>
      <c r="J43" s="1042"/>
      <c r="K43" s="1043" t="s">
        <v>501</v>
      </c>
      <c r="L43" s="1044">
        <f>'RT1C)Calc Tarifa sem Mov'!K65</f>
        <v>4.1339102685236311</v>
      </c>
      <c r="M43" s="1044">
        <f>'RT1C)Calc Tarifa sem Mov'!Q62/'RT1C)Calc Tarifa sem Mov'!O62</f>
        <v>9.876734793307433</v>
      </c>
      <c r="N43" s="1044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46.506490520890857</v>
      </c>
    </row>
    <row r="44" spans="2:14" x14ac:dyDescent="0.25">
      <c r="B44" s="1042"/>
      <c r="C44" s="1043" t="s">
        <v>502</v>
      </c>
      <c r="D44" s="1044">
        <f>'RT1C)Calc Tarifa incl Mov'!K78</f>
        <v>7.9583299287085953</v>
      </c>
      <c r="E44" s="1044">
        <f>'RT1C)Calc Tarifa incl Mov'!Q75/'RT1C)Calc Tarifa incl Mov'!O75</f>
        <v>39.039699457860863</v>
      </c>
      <c r="F44" s="1044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75.162004882247842</v>
      </c>
      <c r="J44" s="1042"/>
      <c r="K44" s="1043" t="s">
        <v>502</v>
      </c>
      <c r="L44" s="1044">
        <f>'RT1C)Calc Tarifa sem Mov'!K78</f>
        <v>7.9583299287085953</v>
      </c>
      <c r="M44" s="1044">
        <f>'RT1C)Calc Tarifa sem Mov'!Q75/'RT1C)Calc Tarifa sem Mov'!O75</f>
        <v>39.039699457860863</v>
      </c>
      <c r="N44" s="1044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75.162004882247842</v>
      </c>
    </row>
    <row r="45" spans="2:14" x14ac:dyDescent="0.25">
      <c r="B45" s="1042"/>
      <c r="C45" s="1043" t="s">
        <v>503</v>
      </c>
      <c r="D45" s="1044">
        <f>'RT1C)Calc Tarifa incl Mov'!K91</f>
        <v>6.1898121667733506</v>
      </c>
      <c r="E45" s="1044">
        <f>'RT1C)Calc Tarifa incl Mov'!Q88/'RT1C)Calc Tarifa incl Mov'!O88</f>
        <v>84.792136757785855</v>
      </c>
      <c r="F45" s="1044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101.68977131127649</v>
      </c>
      <c r="J45" s="1042"/>
      <c r="K45" s="1043" t="s">
        <v>503</v>
      </c>
      <c r="L45" s="1044">
        <f>'RT1C)Calc Tarifa sem Mov'!K91</f>
        <v>6.1898121667733506</v>
      </c>
      <c r="M45" s="1044">
        <f>'RT1C)Calc Tarifa sem Mov'!Q88/'RT1C)Calc Tarifa sem Mov'!O88</f>
        <v>84.792136757785855</v>
      </c>
      <c r="N45" s="1044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101.68977131127649</v>
      </c>
    </row>
    <row r="46" spans="2:14" x14ac:dyDescent="0.25">
      <c r="B46" s="1042" t="s">
        <v>511</v>
      </c>
      <c r="C46" s="1043"/>
      <c r="D46" s="1044"/>
      <c r="E46" s="1044"/>
      <c r="F46" s="1044"/>
      <c r="J46" s="1042" t="s">
        <v>511</v>
      </c>
      <c r="K46" s="1043"/>
      <c r="L46" s="1044"/>
      <c r="M46" s="1044"/>
      <c r="N46" s="1044"/>
    </row>
    <row r="47" spans="2:14" x14ac:dyDescent="0.25">
      <c r="B47" s="1042"/>
      <c r="C47" s="1043" t="s">
        <v>499</v>
      </c>
      <c r="D47" s="1044">
        <f>'RT2)Calc Tarifa incl Mov'!K39</f>
        <v>4.5781084490610509</v>
      </c>
      <c r="E47" s="1044">
        <f>'RT2)Calc Tarifa incl Mov'!Q36/'RT2)Calc Tarifa incl Mov'!O36</f>
        <v>26.800819124359528</v>
      </c>
      <c r="F47" s="1044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40.058448929284197</v>
      </c>
      <c r="J47" s="1042"/>
      <c r="K47" s="1043" t="s">
        <v>499</v>
      </c>
      <c r="L47" s="1044">
        <f>'RT2)Calc Tarifa sem Mov'!K39</f>
        <v>4.5781084490610509</v>
      </c>
      <c r="M47" s="1044">
        <f>'RT2)Calc Tarifa sem Mov'!Q36/'RT2)Calc Tarifa sem Mov'!O36</f>
        <v>27.318431510881489</v>
      </c>
      <c r="N47" s="1044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40.058448929284197</v>
      </c>
    </row>
    <row r="48" spans="2:14" x14ac:dyDescent="0.25">
      <c r="B48" s="1042"/>
      <c r="C48" s="1043" t="s">
        <v>500</v>
      </c>
      <c r="D48" s="1044">
        <f>'RT2)Calc Tarifa incl Mov'!K52</f>
        <v>6.4207970998081239</v>
      </c>
      <c r="E48" s="1044">
        <f>'RT2)Calc Tarifa incl Mov'!Q49/'RT2)Calc Tarifa incl Mov'!O49</f>
        <v>21.831688384846689</v>
      </c>
      <c r="F48" s="1044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72.233967372841391</v>
      </c>
      <c r="J48" s="1042"/>
      <c r="K48" s="1043" t="s">
        <v>500</v>
      </c>
      <c r="L48" s="1044">
        <f>'RT2)Calc Tarifa sem Mov'!K52</f>
        <v>6.4207970998081239</v>
      </c>
      <c r="M48" s="1044">
        <f>'RT2)Calc Tarifa sem Mov'!Q49/'RT2)Calc Tarifa sem Mov'!O49</f>
        <v>21.831688384846689</v>
      </c>
      <c r="N48" s="1044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72.233967372841391</v>
      </c>
    </row>
    <row r="49" spans="2:14" x14ac:dyDescent="0.25">
      <c r="B49" s="1042"/>
      <c r="C49" s="1043" t="s">
        <v>501</v>
      </c>
      <c r="D49" s="1044">
        <f>'RT2)Calc Tarifa incl Mov'!K65</f>
        <v>3.2103985499040619</v>
      </c>
      <c r="E49" s="1044">
        <f>'RT2)Calc Tarifa incl Mov'!Q62/'RT2)Calc Tarifa incl Mov'!O62</f>
        <v>7.5249497562882404</v>
      </c>
      <c r="F49" s="1044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36.116983686420696</v>
      </c>
      <c r="J49" s="1042"/>
      <c r="K49" s="1043" t="s">
        <v>501</v>
      </c>
      <c r="L49" s="1044">
        <f>'RT2)Calc Tarifa sem Mov'!K65</f>
        <v>3.2103985499040619</v>
      </c>
      <c r="M49" s="1044">
        <f>'RT2)Calc Tarifa sem Mov'!Q62/'RT2)Calc Tarifa sem Mov'!O62</f>
        <v>7.6702814039418747</v>
      </c>
      <c r="N49" s="1044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36.116983686420696</v>
      </c>
    </row>
    <row r="50" spans="2:14" x14ac:dyDescent="0.25">
      <c r="B50" s="1042"/>
      <c r="C50" s="1043" t="s">
        <v>502</v>
      </c>
      <c r="D50" s="1044">
        <f>'RT2)Calc Tarifa incl Mov'!K78</f>
        <v>6.1804464062324183</v>
      </c>
      <c r="E50" s="1044">
        <f>'RT2)Calc Tarifa incl Mov'!Q75/'RT2)Calc Tarifa incl Mov'!O75</f>
        <v>29.743815448001975</v>
      </c>
      <c r="F50" s="1044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58.370882725528404</v>
      </c>
      <c r="J50" s="1042"/>
      <c r="K50" s="1043" t="s">
        <v>502</v>
      </c>
      <c r="L50" s="1044">
        <f>'RT2)Calc Tarifa sem Mov'!K78</f>
        <v>6.1804464062324183</v>
      </c>
      <c r="M50" s="1044">
        <f>'RT2)Calc Tarifa sem Mov'!Q75/'RT2)Calc Tarifa sem Mov'!O75</f>
        <v>30.318266819315323</v>
      </c>
      <c r="N50" s="1044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58.370882725528404</v>
      </c>
    </row>
    <row r="51" spans="2:14" x14ac:dyDescent="0.25">
      <c r="B51" s="1042"/>
      <c r="C51" s="1043" t="s">
        <v>503</v>
      </c>
      <c r="D51" s="1044">
        <f>'RT2)Calc Tarifa incl Mov'!K91</f>
        <v>4.8070138715141031</v>
      </c>
      <c r="E51" s="1044">
        <f>'RT2)Calc Tarifa incl Mov'!Q88/'RT2)Calc Tarifa incl Mov'!O88</f>
        <v>64.601974456478558</v>
      </c>
      <c r="F51" s="1044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78.972370746303127</v>
      </c>
      <c r="J51" s="1042"/>
      <c r="K51" s="1043" t="s">
        <v>503</v>
      </c>
      <c r="L51" s="1044">
        <f>'RT2)Calc Tarifa sem Mov'!K91</f>
        <v>4.8070138715141031</v>
      </c>
      <c r="M51" s="1044">
        <f>'RT2)Calc Tarifa sem Mov'!Q88/'RT2)Calc Tarifa sem Mov'!O88</f>
        <v>65.849652074736724</v>
      </c>
      <c r="N51" s="1044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78.972370746303127</v>
      </c>
    </row>
    <row r="52" spans="2:14" x14ac:dyDescent="0.25">
      <c r="B52" s="1042" t="s">
        <v>512</v>
      </c>
      <c r="C52" s="1043"/>
      <c r="D52" s="1044"/>
      <c r="E52" s="1044"/>
      <c r="F52" s="1044"/>
      <c r="J52" s="1042" t="s">
        <v>512</v>
      </c>
      <c r="K52" s="1043"/>
      <c r="L52" s="1044"/>
      <c r="M52" s="1044"/>
      <c r="N52" s="1044"/>
    </row>
    <row r="53" spans="2:14" x14ac:dyDescent="0.25">
      <c r="B53" s="1042"/>
      <c r="C53" s="1043" t="s">
        <v>499</v>
      </c>
      <c r="D53" s="1044">
        <f>'RT3)Calc Tarifa incl Mov'!K39</f>
        <v>6.6502578192511912</v>
      </c>
      <c r="E53" s="1044">
        <f>'RT3)Calc Tarifa incl Mov'!Q36/'RT3)Calc Tarifa incl Mov'!O36</f>
        <v>39.683335330812966</v>
      </c>
      <c r="F53" s="1044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58.189755918447915</v>
      </c>
      <c r="J53" s="1042"/>
      <c r="K53" s="1043" t="s">
        <v>499</v>
      </c>
      <c r="L53" s="1044">
        <f>'RT3)Calc Tarifa sem Mov'!K39</f>
        <v>6.6502578192511912</v>
      </c>
      <c r="M53" s="1044">
        <f>'RT3)Calc Tarifa sem Mov'!Q36/'RT3)Calc Tarifa sem Mov'!O36</f>
        <v>39.683335330812966</v>
      </c>
      <c r="N53" s="1044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58.189755918447915</v>
      </c>
    </row>
    <row r="54" spans="2:14" x14ac:dyDescent="0.25">
      <c r="B54" s="1042"/>
      <c r="C54" s="1043" t="s">
        <v>500</v>
      </c>
      <c r="D54" s="1044">
        <f>'RT3)Calc Tarifa incl Mov'!K52</f>
        <v>9.3269865914997947</v>
      </c>
      <c r="E54" s="1044">
        <f>'RT3)Calc Tarifa incl Mov'!Q49/'RT3)Calc Tarifa incl Mov'!O49</f>
        <v>31.713175431341984</v>
      </c>
      <c r="F54" s="1044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104.92859915437271</v>
      </c>
      <c r="J54" s="1042"/>
      <c r="K54" s="1043" t="s">
        <v>500</v>
      </c>
      <c r="L54" s="1044">
        <f>'RT3)Calc Tarifa sem Mov'!K52</f>
        <v>9.3269865914997947</v>
      </c>
      <c r="M54" s="1044">
        <f>'RT3)Calc Tarifa sem Mov'!Q49/'RT3)Calc Tarifa sem Mov'!O49</f>
        <v>31.713175431341984</v>
      </c>
      <c r="N54" s="1044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104.92859915437271</v>
      </c>
    </row>
    <row r="55" spans="2:14" x14ac:dyDescent="0.25">
      <c r="B55" s="1042"/>
      <c r="C55" s="1043" t="s">
        <v>501</v>
      </c>
      <c r="D55" s="1044">
        <f>'RT3)Calc Tarifa incl Mov'!K65</f>
        <v>4.6634932957498973</v>
      </c>
      <c r="E55" s="1044">
        <f>'RT3)Calc Tarifa incl Mov'!Q62/'RT3)Calc Tarifa incl Mov'!O62</f>
        <v>11.142014098176999</v>
      </c>
      <c r="F55" s="1044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52.464299577186353</v>
      </c>
      <c r="J55" s="1042"/>
      <c r="K55" s="1043" t="s">
        <v>501</v>
      </c>
      <c r="L55" s="1044">
        <f>'RT3)Calc Tarifa sem Mov'!K65</f>
        <v>4.6634932957498973</v>
      </c>
      <c r="M55" s="1044">
        <f>'RT3)Calc Tarifa sem Mov'!Q62/'RT3)Calc Tarifa sem Mov'!O62</f>
        <v>11.142014098176999</v>
      </c>
      <c r="N55" s="1044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52.464299577186353</v>
      </c>
    </row>
    <row r="56" spans="2:14" x14ac:dyDescent="0.25">
      <c r="B56" s="1042"/>
      <c r="C56" s="1043" t="s">
        <v>502</v>
      </c>
      <c r="D56" s="1044">
        <f>'RT3)Calc Tarifa incl Mov'!K78</f>
        <v>8.9778480559891083</v>
      </c>
      <c r="E56" s="1044">
        <f>'RT3)Calc Tarifa incl Mov'!Q75/'RT3)Calc Tarifa incl Mov'!O75</f>
        <v>44.040959978273968</v>
      </c>
      <c r="F56" s="1044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84.790787195452694</v>
      </c>
      <c r="J56" s="1042"/>
      <c r="K56" s="1043" t="s">
        <v>502</v>
      </c>
      <c r="L56" s="1044">
        <f>'RT3)Calc Tarifa sem Mov'!K78</f>
        <v>8.9778480559891083</v>
      </c>
      <c r="M56" s="1044">
        <f>'RT3)Calc Tarifa sem Mov'!Q75/'RT3)Calc Tarifa sem Mov'!O75</f>
        <v>44.040959978273968</v>
      </c>
      <c r="N56" s="1044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84.790787195452694</v>
      </c>
    </row>
    <row r="57" spans="2:14" x14ac:dyDescent="0.25">
      <c r="B57" s="1042"/>
      <c r="C57" s="1043" t="s">
        <v>503</v>
      </c>
      <c r="D57" s="1044">
        <f>'RT3)Calc Tarifa incl Mov'!K91</f>
        <v>6.9827707102137495</v>
      </c>
      <c r="E57" s="1044">
        <f>'RT3)Calc Tarifa incl Mov'!Q88/'RT3)Calc Tarifa incl Mov'!O88</f>
        <v>95.65460680487007</v>
      </c>
      <c r="F57" s="1044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114.71694738208305</v>
      </c>
      <c r="J57" s="1042"/>
      <c r="K57" s="1043" t="s">
        <v>503</v>
      </c>
      <c r="L57" s="1044">
        <f>'RT3)Calc Tarifa sem Mov'!K91</f>
        <v>6.9827707102137495</v>
      </c>
      <c r="M57" s="1044">
        <f>'RT3)Calc Tarifa sem Mov'!Q88/'RT3)Calc Tarifa sem Mov'!O88</f>
        <v>95.65460680487007</v>
      </c>
      <c r="N57" s="1044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114.71694738208305</v>
      </c>
    </row>
    <row r="58" spans="2:14" x14ac:dyDescent="0.25">
      <c r="B58" s="1042" t="s">
        <v>513</v>
      </c>
      <c r="C58" s="1043"/>
      <c r="D58" s="1044"/>
      <c r="E58" s="1044"/>
      <c r="F58" s="1044"/>
      <c r="J58" s="1042" t="s">
        <v>513</v>
      </c>
      <c r="K58" s="1043"/>
      <c r="L58" s="1044"/>
      <c r="M58" s="1044"/>
      <c r="N58" s="1044"/>
    </row>
    <row r="59" spans="2:14" x14ac:dyDescent="0.25">
      <c r="B59" s="1042"/>
      <c r="C59" s="1043" t="s">
        <v>499</v>
      </c>
      <c r="D59" s="1044">
        <f>'RT4)Calc Tarifa incl Mov'!K39</f>
        <v>5.4419389376545197</v>
      </c>
      <c r="E59" s="1044">
        <f>'RT4)Calc Tarifa incl Mov'!Q36/'RT4)Calc Tarifa incl Mov'!O36</f>
        <v>32.47307000453533</v>
      </c>
      <c r="F59" s="1044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47.616965704477046</v>
      </c>
      <c r="J59" s="1042"/>
      <c r="K59" s="1043" t="s">
        <v>499</v>
      </c>
      <c r="L59" s="1044">
        <f>'RT4)Calc Tarifa sem Mov'!K39</f>
        <v>5.4419389376545197</v>
      </c>
      <c r="M59" s="1044">
        <f>'RT4)Calc Tarifa sem Mov'!Q36/'RT4)Calc Tarifa sem Mov'!O36</f>
        <v>32.47307000453533</v>
      </c>
      <c r="N59" s="1044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47.616965704477046</v>
      </c>
    </row>
    <row r="60" spans="2:14" x14ac:dyDescent="0.25">
      <c r="B60" s="1042"/>
      <c r="C60" s="1043" t="s">
        <v>500</v>
      </c>
      <c r="D60" s="1044">
        <f>'RT4)Calc Tarifa incl Mov'!K52</f>
        <v>7.632319360060464</v>
      </c>
      <c r="E60" s="1044">
        <f>'RT4)Calc Tarifa incl Mov'!Q49/'RT4)Calc Tarifa incl Mov'!O49</f>
        <v>25.951048652113911</v>
      </c>
      <c r="F60" s="1044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85.863592800680223</v>
      </c>
      <c r="J60" s="1042"/>
      <c r="K60" s="1043" t="s">
        <v>500</v>
      </c>
      <c r="L60" s="1044">
        <f>'RT4)Calc Tarifa sem Mov'!K52</f>
        <v>7.632319360060464</v>
      </c>
      <c r="M60" s="1044">
        <f>'RT4)Calc Tarifa sem Mov'!Q49/'RT4)Calc Tarifa sem Mov'!O49</f>
        <v>25.951048652113911</v>
      </c>
      <c r="N60" s="1044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85.863592800680223</v>
      </c>
    </row>
    <row r="61" spans="2:14" x14ac:dyDescent="0.25">
      <c r="B61" s="1042"/>
      <c r="C61" s="1043" t="s">
        <v>501</v>
      </c>
      <c r="D61" s="1044">
        <f>'RT4)Calc Tarifa incl Mov'!K65</f>
        <v>3.816159680030232</v>
      </c>
      <c r="E61" s="1044">
        <f>'RT4)Calc Tarifa incl Mov'!Q62/'RT4)Calc Tarifa incl Mov'!O62</f>
        <v>9.1175653655473354</v>
      </c>
      <c r="F61" s="1044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42.931796400340112</v>
      </c>
      <c r="J61" s="1042"/>
      <c r="K61" s="1043" t="s">
        <v>501</v>
      </c>
      <c r="L61" s="1044">
        <f>'RT4)Calc Tarifa sem Mov'!K65</f>
        <v>3.816159680030232</v>
      </c>
      <c r="M61" s="1044">
        <f>'RT4)Calc Tarifa sem Mov'!Q62/'RT4)Calc Tarifa sem Mov'!O62</f>
        <v>9.1175653655473354</v>
      </c>
      <c r="N61" s="1044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42.931796400340112</v>
      </c>
    </row>
    <row r="62" spans="2:14" x14ac:dyDescent="0.25">
      <c r="B62" s="1042"/>
      <c r="C62" s="1043" t="s">
        <v>502</v>
      </c>
      <c r="D62" s="1044">
        <f>'RT4)Calc Tarifa incl Mov'!K78</f>
        <v>7.3466175658336024</v>
      </c>
      <c r="E62" s="1044">
        <f>'RT4)Calc Tarifa incl Mov'!Q75/'RT4)Calc Tarifa incl Mov'!O75</f>
        <v>36.03893585353353</v>
      </c>
      <c r="F62" s="1044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69.384721455095132</v>
      </c>
      <c r="J62" s="1042"/>
      <c r="K62" s="1043" t="s">
        <v>502</v>
      </c>
      <c r="L62" s="1044">
        <f>'RT4)Calc Tarifa sem Mov'!K78</f>
        <v>7.3466175658336024</v>
      </c>
      <c r="M62" s="1044">
        <f>'RT4)Calc Tarifa sem Mov'!Q75/'RT4)Calc Tarifa sem Mov'!O75</f>
        <v>36.03893585353353</v>
      </c>
      <c r="N62" s="1044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69.384721455095132</v>
      </c>
    </row>
    <row r="63" spans="2:14" x14ac:dyDescent="0.25">
      <c r="B63" s="1042"/>
      <c r="C63" s="1043" t="s">
        <v>503</v>
      </c>
      <c r="D63" s="1044">
        <f>'RT4)Calc Tarifa incl Mov'!K91</f>
        <v>5.7140358845372452</v>
      </c>
      <c r="E63" s="1044">
        <f>'RT4)Calc Tarifa incl Mov'!Q88/'RT4)Calc Tarifa incl Mov'!O88</f>
        <v>78.274638891529179</v>
      </c>
      <c r="F63" s="1044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93.873446674540446</v>
      </c>
      <c r="J63" s="1042"/>
      <c r="K63" s="1043" t="s">
        <v>503</v>
      </c>
      <c r="L63" s="1044">
        <f>'RT4)Calc Tarifa sem Mov'!K91</f>
        <v>5.7140358845372452</v>
      </c>
      <c r="M63" s="1044">
        <f>'RT4)Calc Tarifa sem Mov'!Q88/'RT4)Calc Tarifa sem Mov'!O88</f>
        <v>78.274638891529179</v>
      </c>
      <c r="N63" s="1044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93.873446674540446</v>
      </c>
    </row>
    <row r="64" spans="2:14" x14ac:dyDescent="0.25">
      <c r="J64" s="1031"/>
    </row>
    <row r="67" spans="1:29" x14ac:dyDescent="0.25">
      <c r="B67" s="1082" t="s">
        <v>560</v>
      </c>
      <c r="C67" s="1052">
        <f>'Draft para Graf RESUMO'!C8</f>
        <v>139.18478181501041</v>
      </c>
      <c r="D67" s="1052">
        <f>'Draft para Graf RESUMO'!D8</f>
        <v>167.75731676496798</v>
      </c>
      <c r="E67" s="1052">
        <f>'Draft para Graf RESUMO'!E8</f>
        <v>175.77958271308489</v>
      </c>
      <c r="F67" s="1052">
        <f>'Draft para Graf RESUMO'!F8</f>
        <v>136.51058702016019</v>
      </c>
      <c r="G67" s="1052">
        <f>'Draft para Graf RESUMO'!G8</f>
        <v>198.29818555905598</v>
      </c>
      <c r="H67" s="1052">
        <f>'Draft para Graf RESUMO'!H8</f>
        <v>162.26838817229134</v>
      </c>
      <c r="J67" s="1052">
        <v>411.59221806413029</v>
      </c>
      <c r="K67" s="1052">
        <v>380.22229158278765</v>
      </c>
      <c r="L67" s="1052">
        <v>389.70932341276273</v>
      </c>
      <c r="M67" s="1052">
        <v>405.43364465316859</v>
      </c>
      <c r="N67" s="1052">
        <v>447.56211838317608</v>
      </c>
      <c r="O67" s="1052">
        <v>543.87176680790435</v>
      </c>
      <c r="Q67" s="1052">
        <v>431.36599649327616</v>
      </c>
      <c r="R67" s="1052">
        <v>443.56632171866363</v>
      </c>
      <c r="S67" s="1052">
        <v>454.88910221055301</v>
      </c>
      <c r="T67" s="1052">
        <v>427.67447016017263</v>
      </c>
      <c r="U67" s="1052">
        <v>484.5925505026612</v>
      </c>
      <c r="V67" s="1052">
        <v>532.91378751711363</v>
      </c>
      <c r="X67" s="1052">
        <v>481.84261460737883</v>
      </c>
      <c r="Y67" s="1052">
        <v>484.54033364732044</v>
      </c>
      <c r="Z67" s="1052">
        <v>489.35742879002038</v>
      </c>
      <c r="AA67" s="1052">
        <v>479.96645350591137</v>
      </c>
      <c r="AB67" s="1052">
        <v>521.00427317865137</v>
      </c>
      <c r="AC67" s="1052">
        <v>637.94402257723743</v>
      </c>
    </row>
    <row r="68" spans="1:29" x14ac:dyDescent="0.25">
      <c r="B68" s="1082" t="s">
        <v>586</v>
      </c>
      <c r="C68" s="1052">
        <f>'Draft para Graf RESUMO'!C13</f>
        <v>17.176589954834565</v>
      </c>
      <c r="D68" s="1052">
        <f>'Draft para Graf RESUMO'!D13</f>
        <v>20.702684621260754</v>
      </c>
      <c r="E68" s="1052">
        <f>'Draft para Graf RESUMO'!E13</f>
        <v>21.692700705652644</v>
      </c>
      <c r="F68" s="1052">
        <f>'Draft para Graf RESUMO'!F13</f>
        <v>16.846571494112723</v>
      </c>
      <c r="G68" s="1052">
        <f>'Draft para Graf RESUMO'!G13</f>
        <v>24.471688482887515</v>
      </c>
      <c r="H68" s="1052">
        <f>'Draft para Graf RESUMO'!H13</f>
        <v>20.025303987413281</v>
      </c>
      <c r="J68" s="1052">
        <v>31.641352039306764</v>
      </c>
      <c r="K68" s="1052">
        <v>29.229773676839571</v>
      </c>
      <c r="L68" s="1052">
        <v>29.959093865039964</v>
      </c>
      <c r="M68" s="1052">
        <v>31.167908711654267</v>
      </c>
      <c r="N68" s="1052">
        <v>34.406555628837133</v>
      </c>
      <c r="O68" s="1052">
        <v>41.810406714558781</v>
      </c>
      <c r="Q68" s="1052">
        <v>33.161470877720681</v>
      </c>
      <c r="R68" s="1052">
        <v>34.099376815948048</v>
      </c>
      <c r="S68" s="1052">
        <v>34.969821075785454</v>
      </c>
      <c r="T68" s="1052">
        <v>32.877682994612798</v>
      </c>
      <c r="U68" s="1052">
        <v>37.253288116567788</v>
      </c>
      <c r="V68" s="1052">
        <v>40.968006724563544</v>
      </c>
      <c r="X68" s="1052">
        <v>36.82845447663113</v>
      </c>
      <c r="Y68" s="1052">
        <v>37.034647992607688</v>
      </c>
      <c r="Z68" s="1052">
        <v>37.402830805406602</v>
      </c>
      <c r="AA68" s="1052">
        <v>36.685054719902432</v>
      </c>
      <c r="AB68" s="1052">
        <v>39.821679476243688</v>
      </c>
      <c r="AC68" s="1052">
        <v>48.759681443429031</v>
      </c>
    </row>
    <row r="69" spans="1:29" x14ac:dyDescent="0.25">
      <c r="B69" s="1082" t="s">
        <v>588</v>
      </c>
      <c r="C69" s="1081">
        <f>'Draft para Graf RESUMO'!C10</f>
        <v>3.9154169667154206</v>
      </c>
      <c r="D69" s="1081">
        <f>'Draft para Graf RESUMO'!D10</f>
        <v>2.8344028878284306</v>
      </c>
      <c r="E69" s="1081">
        <f>'Draft para Graf RESUMO'!E10</f>
        <v>2.6565692637024703</v>
      </c>
      <c r="F69" s="1081">
        <f>'Draft para Graf RESUMO'!F10</f>
        <v>3.4712855280245778</v>
      </c>
      <c r="G69" s="1081">
        <f>'Draft para Graf RESUMO'!G10</f>
        <v>2.2108250466792803</v>
      </c>
      <c r="H69" s="1081">
        <f>'Draft para Graf RESUMO'!H10</f>
        <v>3.8570599340456457</v>
      </c>
      <c r="J69" s="1081">
        <v>0.82251536283111992</v>
      </c>
      <c r="K69" s="1081">
        <v>0.87255594156317906</v>
      </c>
      <c r="L69" s="1081">
        <v>0.82528534208893423</v>
      </c>
      <c r="M69" s="1081">
        <v>0.65952450453791456</v>
      </c>
      <c r="N69" s="1081">
        <v>0.55850842338180084</v>
      </c>
      <c r="O69" s="1081">
        <v>0.66396830922751759</v>
      </c>
      <c r="Q69" s="1081">
        <v>0.89752607690702446</v>
      </c>
      <c r="R69" s="1081">
        <v>0.75516224698351453</v>
      </c>
      <c r="S69" s="1081">
        <v>0.70985860795229616</v>
      </c>
      <c r="T69" s="1081">
        <v>0.73844878565070737</v>
      </c>
      <c r="U69" s="1081">
        <v>0.59040241207234334</v>
      </c>
      <c r="V69" s="1081">
        <v>0.84349643416564923</v>
      </c>
      <c r="X69" s="1081">
        <v>0.66894013917393258</v>
      </c>
      <c r="Y69" s="1081">
        <v>0.57750308921345872</v>
      </c>
      <c r="Z69" s="1081">
        <v>0.56123380593253369</v>
      </c>
      <c r="AA69" s="1081">
        <v>0.52196266541503356</v>
      </c>
      <c r="AB69" s="1081">
        <v>0.45342401473491378</v>
      </c>
      <c r="AC69" s="1081">
        <v>0.49127015434740784</v>
      </c>
    </row>
    <row r="70" spans="1:29" x14ac:dyDescent="0.25">
      <c r="B70" s="1082" t="s">
        <v>587</v>
      </c>
      <c r="C70" s="1081">
        <f>'Draft para Graf RESUMO'!C11</f>
        <v>1.9404416378833895</v>
      </c>
      <c r="D70" s="1081">
        <f>'Draft para Graf RESUMO'!D11</f>
        <v>1.6930659152684351</v>
      </c>
      <c r="E70" s="1081">
        <f>'Draft para Graf RESUMO'!E11</f>
        <v>1.6627248459357131</v>
      </c>
      <c r="F70" s="1081">
        <f>'Draft para Graf RESUMO'!F11</f>
        <v>2.133599358058917</v>
      </c>
      <c r="G70" s="1081">
        <f>'Draft para Graf RESUMO'!G11</f>
        <v>1.5364115133990111</v>
      </c>
      <c r="H70" s="1081">
        <f>'Draft para Graf RESUMO'!H11</f>
        <v>1.2108747361994028</v>
      </c>
      <c r="J70" s="1081">
        <v>0.44026524711642084</v>
      </c>
      <c r="K70" s="1081">
        <v>0.41999293585406289</v>
      </c>
      <c r="L70" s="1081">
        <v>0.38964349062711334</v>
      </c>
      <c r="M70" s="1081">
        <v>0.28110814170350329</v>
      </c>
      <c r="N70" s="1081">
        <v>0.17413224911292713</v>
      </c>
      <c r="O70" s="1081">
        <v>0.26092104449113429</v>
      </c>
      <c r="Q70" s="1081">
        <v>0.48708882574772094</v>
      </c>
      <c r="R70" s="1081">
        <v>0.33111217672156512</v>
      </c>
      <c r="S70" s="1081">
        <v>0.29508178338554714</v>
      </c>
      <c r="T70" s="1081">
        <v>0.33527406372160085</v>
      </c>
      <c r="U70" s="1081">
        <v>0.18439892854919857</v>
      </c>
      <c r="V70" s="1081">
        <v>0.35212621823046403</v>
      </c>
      <c r="X70" s="1081">
        <v>0.53041912500572641</v>
      </c>
      <c r="Y70" s="1081">
        <v>0.38568864808760001</v>
      </c>
      <c r="Z70" s="1081">
        <v>0.36805002965760064</v>
      </c>
      <c r="AA70" s="1081">
        <v>0.35760618260735039</v>
      </c>
      <c r="AB70" s="1081">
        <v>0.23303445933099157</v>
      </c>
      <c r="AC70" s="1081">
        <v>0.22402828079364168</v>
      </c>
    </row>
    <row r="71" spans="1:29" x14ac:dyDescent="0.25">
      <c r="B71" s="1082"/>
      <c r="C71" s="1080" t="s">
        <v>561</v>
      </c>
      <c r="D71" s="1080" t="s">
        <v>562</v>
      </c>
      <c r="E71" s="1080" t="s">
        <v>563</v>
      </c>
      <c r="F71" s="1080" t="s">
        <v>564</v>
      </c>
      <c r="G71" s="1080" t="s">
        <v>565</v>
      </c>
      <c r="H71" s="1080" t="s">
        <v>566</v>
      </c>
      <c r="J71" s="1079" t="s">
        <v>567</v>
      </c>
      <c r="K71" s="1079" t="s">
        <v>568</v>
      </c>
      <c r="L71" s="1079" t="s">
        <v>569</v>
      </c>
      <c r="M71" s="1079" t="s">
        <v>570</v>
      </c>
      <c r="N71" s="1079" t="s">
        <v>571</v>
      </c>
      <c r="O71" s="1079" t="s">
        <v>572</v>
      </c>
      <c r="Q71" s="1078" t="s">
        <v>573</v>
      </c>
      <c r="R71" s="1078" t="s">
        <v>574</v>
      </c>
      <c r="S71" s="1078" t="s">
        <v>575</v>
      </c>
      <c r="T71" s="1078" t="s">
        <v>576</v>
      </c>
      <c r="U71" s="1078" t="s">
        <v>577</v>
      </c>
      <c r="V71" s="1078" t="s">
        <v>578</v>
      </c>
      <c r="X71" s="1077" t="s">
        <v>579</v>
      </c>
      <c r="Y71" s="1077" t="s">
        <v>580</v>
      </c>
      <c r="Z71" s="1077" t="s">
        <v>581</v>
      </c>
      <c r="AA71" s="1077" t="s">
        <v>582</v>
      </c>
      <c r="AB71" s="1077" t="s">
        <v>583</v>
      </c>
      <c r="AC71" s="1077" t="s">
        <v>584</v>
      </c>
    </row>
    <row r="72" spans="1:29" x14ac:dyDescent="0.25">
      <c r="B72" s="1082"/>
    </row>
    <row r="73" spans="1:29" x14ac:dyDescent="0.25">
      <c r="A73">
        <v>1</v>
      </c>
      <c r="B73" s="1082" t="str">
        <f>B67</f>
        <v>Valor Tarifa (R$/t RSU)</v>
      </c>
      <c r="C73" s="1052">
        <f t="shared" ref="C73:H76" si="1">C67*$A73</f>
        <v>139.18478181501041</v>
      </c>
      <c r="D73" s="1052">
        <f t="shared" si="1"/>
        <v>167.75731676496798</v>
      </c>
      <c r="E73" s="1052">
        <f t="shared" si="1"/>
        <v>175.77958271308489</v>
      </c>
      <c r="F73" s="1052">
        <f t="shared" si="1"/>
        <v>136.51058702016019</v>
      </c>
      <c r="G73" s="1052">
        <f t="shared" si="1"/>
        <v>198.29818555905598</v>
      </c>
      <c r="H73" s="1052">
        <f t="shared" si="1"/>
        <v>162.26838817229134</v>
      </c>
      <c r="I73" s="1052"/>
      <c r="J73" s="1052">
        <f t="shared" ref="J73:O76" si="2">J67*$A73</f>
        <v>411.59221806413029</v>
      </c>
      <c r="K73" s="1052">
        <f t="shared" si="2"/>
        <v>380.22229158278765</v>
      </c>
      <c r="L73" s="1052">
        <f t="shared" si="2"/>
        <v>389.70932341276273</v>
      </c>
      <c r="M73" s="1052">
        <f t="shared" si="2"/>
        <v>405.43364465316859</v>
      </c>
      <c r="N73" s="1052">
        <f t="shared" si="2"/>
        <v>447.56211838317608</v>
      </c>
      <c r="O73" s="1052">
        <f t="shared" si="2"/>
        <v>543.87176680790435</v>
      </c>
      <c r="P73" s="1052"/>
      <c r="Q73" s="1052">
        <f t="shared" ref="Q73:V76" si="3">Q67*$A73</f>
        <v>431.36599649327616</v>
      </c>
      <c r="R73" s="1052">
        <f t="shared" si="3"/>
        <v>443.56632171866363</v>
      </c>
      <c r="S73" s="1052">
        <f t="shared" si="3"/>
        <v>454.88910221055301</v>
      </c>
      <c r="T73" s="1052">
        <f t="shared" si="3"/>
        <v>427.67447016017263</v>
      </c>
      <c r="U73" s="1052">
        <f t="shared" si="3"/>
        <v>484.5925505026612</v>
      </c>
      <c r="V73" s="1052">
        <f t="shared" si="3"/>
        <v>532.91378751711363</v>
      </c>
      <c r="W73" s="1052"/>
      <c r="X73" s="1052">
        <f t="shared" ref="X73:AC76" si="4">X67*$A73</f>
        <v>481.84261460737883</v>
      </c>
      <c r="Y73" s="1052">
        <f t="shared" si="4"/>
        <v>484.54033364732044</v>
      </c>
      <c r="Z73" s="1052">
        <f t="shared" si="4"/>
        <v>489.35742879002038</v>
      </c>
      <c r="AA73" s="1052">
        <f t="shared" si="4"/>
        <v>479.96645350591137</v>
      </c>
      <c r="AB73" s="1052">
        <f t="shared" si="4"/>
        <v>521.00427317865137</v>
      </c>
      <c r="AC73" s="1052">
        <f t="shared" si="4"/>
        <v>637.94402257723743</v>
      </c>
    </row>
    <row r="74" spans="1:29" x14ac:dyDescent="0.25">
      <c r="A74">
        <v>1</v>
      </c>
      <c r="B74" s="1082" t="str">
        <f>B68</f>
        <v>Valor Tarifa Mensal (R$/t Economias)</v>
      </c>
      <c r="C74" s="1052">
        <f t="shared" si="1"/>
        <v>17.176589954834565</v>
      </c>
      <c r="D74" s="1052">
        <f t="shared" si="1"/>
        <v>20.702684621260754</v>
      </c>
      <c r="E74" s="1052">
        <f t="shared" si="1"/>
        <v>21.692700705652644</v>
      </c>
      <c r="F74" s="1052">
        <f t="shared" si="1"/>
        <v>16.846571494112723</v>
      </c>
      <c r="G74" s="1052">
        <f t="shared" si="1"/>
        <v>24.471688482887515</v>
      </c>
      <c r="H74" s="1052">
        <f t="shared" si="1"/>
        <v>20.025303987413281</v>
      </c>
      <c r="I74" s="1052"/>
      <c r="J74" s="1052">
        <f t="shared" si="2"/>
        <v>31.641352039306764</v>
      </c>
      <c r="K74" s="1052">
        <f t="shared" si="2"/>
        <v>29.229773676839571</v>
      </c>
      <c r="L74" s="1052">
        <f t="shared" si="2"/>
        <v>29.959093865039964</v>
      </c>
      <c r="M74" s="1052">
        <f t="shared" si="2"/>
        <v>31.167908711654267</v>
      </c>
      <c r="N74" s="1052">
        <f t="shared" si="2"/>
        <v>34.406555628837133</v>
      </c>
      <c r="O74" s="1052">
        <f t="shared" si="2"/>
        <v>41.810406714558781</v>
      </c>
      <c r="P74" s="1052"/>
      <c r="Q74" s="1052">
        <f t="shared" si="3"/>
        <v>33.161470877720681</v>
      </c>
      <c r="R74" s="1052">
        <f t="shared" si="3"/>
        <v>34.099376815948048</v>
      </c>
      <c r="S74" s="1052">
        <f t="shared" si="3"/>
        <v>34.969821075785454</v>
      </c>
      <c r="T74" s="1052">
        <f t="shared" si="3"/>
        <v>32.877682994612798</v>
      </c>
      <c r="U74" s="1052">
        <f t="shared" si="3"/>
        <v>37.253288116567788</v>
      </c>
      <c r="V74" s="1052">
        <f t="shared" si="3"/>
        <v>40.968006724563544</v>
      </c>
      <c r="W74" s="1052"/>
      <c r="X74" s="1052">
        <f t="shared" si="4"/>
        <v>36.82845447663113</v>
      </c>
      <c r="Y74" s="1052">
        <f t="shared" si="4"/>
        <v>37.034647992607688</v>
      </c>
      <c r="Z74" s="1052">
        <f t="shared" si="4"/>
        <v>37.402830805406602</v>
      </c>
      <c r="AA74" s="1052">
        <f t="shared" si="4"/>
        <v>36.685054719902432</v>
      </c>
      <c r="AB74" s="1052">
        <f t="shared" si="4"/>
        <v>39.821679476243688</v>
      </c>
      <c r="AC74" s="1052">
        <f t="shared" si="4"/>
        <v>48.759681443429031</v>
      </c>
    </row>
    <row r="75" spans="1:29" x14ac:dyDescent="0.25">
      <c r="A75">
        <v>100</v>
      </c>
      <c r="B75" s="1082" t="str">
        <f>B69</f>
        <v>% Efic. Valoriz. Rot. Tecnol. com Custos Mov.</v>
      </c>
      <c r="C75" s="1052">
        <f t="shared" si="1"/>
        <v>391.54169667154207</v>
      </c>
      <c r="D75" s="1052">
        <f t="shared" si="1"/>
        <v>283.44028878284308</v>
      </c>
      <c r="E75" s="1052">
        <f t="shared" si="1"/>
        <v>265.65692637024705</v>
      </c>
      <c r="F75" s="1052">
        <f t="shared" si="1"/>
        <v>347.12855280245776</v>
      </c>
      <c r="G75" s="1052">
        <f t="shared" si="1"/>
        <v>221.08250466792802</v>
      </c>
      <c r="H75" s="1052">
        <f t="shared" si="1"/>
        <v>385.70599340456459</v>
      </c>
      <c r="I75" s="1052"/>
      <c r="J75" s="1052">
        <f t="shared" si="2"/>
        <v>82.251536283111989</v>
      </c>
      <c r="K75" s="1052">
        <f t="shared" si="2"/>
        <v>87.255594156317912</v>
      </c>
      <c r="L75" s="1052">
        <f t="shared" si="2"/>
        <v>82.528534208893419</v>
      </c>
      <c r="M75" s="1052">
        <f t="shared" si="2"/>
        <v>65.952450453791457</v>
      </c>
      <c r="N75" s="1052">
        <f t="shared" si="2"/>
        <v>55.850842338180087</v>
      </c>
      <c r="O75" s="1052">
        <f t="shared" si="2"/>
        <v>66.396830922751761</v>
      </c>
      <c r="P75" s="1052"/>
      <c r="Q75" s="1052">
        <f t="shared" si="3"/>
        <v>89.752607690702447</v>
      </c>
      <c r="R75" s="1052">
        <f t="shared" si="3"/>
        <v>75.516224698351451</v>
      </c>
      <c r="S75" s="1052">
        <f t="shared" si="3"/>
        <v>70.985860795229613</v>
      </c>
      <c r="T75" s="1052">
        <f t="shared" si="3"/>
        <v>73.844878565070744</v>
      </c>
      <c r="U75" s="1052">
        <f t="shared" si="3"/>
        <v>59.040241207234331</v>
      </c>
      <c r="V75" s="1052">
        <f t="shared" si="3"/>
        <v>84.34964341656493</v>
      </c>
      <c r="W75" s="1052"/>
      <c r="X75" s="1052">
        <f t="shared" si="4"/>
        <v>66.894013917393252</v>
      </c>
      <c r="Y75" s="1052">
        <f t="shared" si="4"/>
        <v>57.750308921345869</v>
      </c>
      <c r="Z75" s="1052">
        <f t="shared" si="4"/>
        <v>56.123380593253373</v>
      </c>
      <c r="AA75" s="1052">
        <f t="shared" si="4"/>
        <v>52.196266541503356</v>
      </c>
      <c r="AB75" s="1052">
        <f t="shared" si="4"/>
        <v>45.342401473491378</v>
      </c>
      <c r="AC75" s="1052">
        <f t="shared" si="4"/>
        <v>49.127015434740784</v>
      </c>
    </row>
    <row r="76" spans="1:29" x14ac:dyDescent="0.25">
      <c r="A76">
        <v>100</v>
      </c>
      <c r="B76" s="1082" t="str">
        <f>B70</f>
        <v>% Efic. Valoriz. Rot. Tecnológica</v>
      </c>
      <c r="C76" s="1052">
        <f t="shared" si="1"/>
        <v>194.04416378833895</v>
      </c>
      <c r="D76" s="1052">
        <f t="shared" si="1"/>
        <v>169.3065915268435</v>
      </c>
      <c r="E76" s="1052">
        <f t="shared" si="1"/>
        <v>166.27248459357131</v>
      </c>
      <c r="F76" s="1052">
        <f t="shared" si="1"/>
        <v>213.35993580589169</v>
      </c>
      <c r="G76" s="1052">
        <f t="shared" si="1"/>
        <v>153.64115133990111</v>
      </c>
      <c r="H76" s="1052">
        <f t="shared" si="1"/>
        <v>121.08747361994028</v>
      </c>
      <c r="I76" s="1052"/>
      <c r="J76" s="1052">
        <f t="shared" si="2"/>
        <v>44.026524711642082</v>
      </c>
      <c r="K76" s="1052">
        <f t="shared" si="2"/>
        <v>41.999293585406292</v>
      </c>
      <c r="L76" s="1052">
        <f t="shared" si="2"/>
        <v>38.964349062711335</v>
      </c>
      <c r="M76" s="1052">
        <f t="shared" si="2"/>
        <v>28.110814170350331</v>
      </c>
      <c r="N76" s="1052">
        <f t="shared" si="2"/>
        <v>17.413224911292712</v>
      </c>
      <c r="O76" s="1052">
        <f t="shared" si="2"/>
        <v>26.092104449113428</v>
      </c>
      <c r="P76" s="1052"/>
      <c r="Q76" s="1052">
        <f t="shared" si="3"/>
        <v>48.708882574772097</v>
      </c>
      <c r="R76" s="1052">
        <f t="shared" si="3"/>
        <v>33.111217672156513</v>
      </c>
      <c r="S76" s="1052">
        <f t="shared" si="3"/>
        <v>29.508178338554714</v>
      </c>
      <c r="T76" s="1052">
        <f t="shared" si="3"/>
        <v>33.527406372160087</v>
      </c>
      <c r="U76" s="1052">
        <f t="shared" si="3"/>
        <v>18.439892854919858</v>
      </c>
      <c r="V76" s="1052">
        <f t="shared" si="3"/>
        <v>35.212621823046405</v>
      </c>
      <c r="W76" s="1052"/>
      <c r="X76" s="1052">
        <f t="shared" si="4"/>
        <v>53.041912500572643</v>
      </c>
      <c r="Y76" s="1052">
        <f t="shared" si="4"/>
        <v>38.568864808759997</v>
      </c>
      <c r="Z76" s="1052">
        <f t="shared" si="4"/>
        <v>36.805002965760067</v>
      </c>
      <c r="AA76" s="1052">
        <f t="shared" si="4"/>
        <v>35.760618260735036</v>
      </c>
      <c r="AB76" s="1052">
        <f t="shared" si="4"/>
        <v>23.303445933099155</v>
      </c>
      <c r="AC76" s="1052">
        <f t="shared" si="4"/>
        <v>22.402828079364166</v>
      </c>
    </row>
    <row r="77" spans="1:29" s="1083" customFormat="1" x14ac:dyDescent="0.25">
      <c r="B77" s="1084"/>
      <c r="C77" s="1085" t="s">
        <v>561</v>
      </c>
      <c r="D77" s="1085" t="s">
        <v>562</v>
      </c>
      <c r="E77" s="1085" t="s">
        <v>563</v>
      </c>
      <c r="F77" s="1085" t="s">
        <v>564</v>
      </c>
      <c r="G77" s="1085" t="s">
        <v>565</v>
      </c>
      <c r="H77" s="1085" t="s">
        <v>566</v>
      </c>
      <c r="J77" s="1086" t="s">
        <v>567</v>
      </c>
      <c r="K77" s="1086" t="s">
        <v>568</v>
      </c>
      <c r="L77" s="1086" t="s">
        <v>569</v>
      </c>
      <c r="M77" s="1086" t="s">
        <v>570</v>
      </c>
      <c r="N77" s="1086" t="s">
        <v>571</v>
      </c>
      <c r="O77" s="1086" t="s">
        <v>572</v>
      </c>
      <c r="Q77" s="1087" t="s">
        <v>573</v>
      </c>
      <c r="R77" s="1087" t="s">
        <v>574</v>
      </c>
      <c r="S77" s="1087" t="s">
        <v>575</v>
      </c>
      <c r="T77" s="1087" t="s">
        <v>589</v>
      </c>
      <c r="U77" s="1087" t="s">
        <v>590</v>
      </c>
      <c r="V77" s="1087" t="s">
        <v>591</v>
      </c>
      <c r="X77" s="1088" t="s">
        <v>579</v>
      </c>
      <c r="Y77" s="1088" t="s">
        <v>580</v>
      </c>
      <c r="Z77" s="1088" t="s">
        <v>581</v>
      </c>
      <c r="AA77" s="1088" t="s">
        <v>582</v>
      </c>
      <c r="AB77" s="1088" t="s">
        <v>583</v>
      </c>
      <c r="AC77" s="1088" t="s">
        <v>584</v>
      </c>
    </row>
    <row r="78" spans="1:29" x14ac:dyDescent="0.25">
      <c r="B78" s="1082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52" customFormat="1" ht="15.75" x14ac:dyDescent="0.25">
      <c r="B1" s="1371" t="s">
        <v>332</v>
      </c>
      <c r="C1" s="1371"/>
      <c r="D1" s="1371"/>
      <c r="E1" s="1371"/>
      <c r="F1" s="1371"/>
      <c r="G1" s="1371"/>
      <c r="H1" s="1371"/>
      <c r="I1" s="1371"/>
      <c r="J1" s="1371"/>
      <c r="K1" s="1371"/>
      <c r="L1" s="656"/>
      <c r="O1" s="1373" t="s">
        <v>331</v>
      </c>
      <c r="P1" s="1373"/>
      <c r="Q1" s="1373"/>
      <c r="R1" s="1373"/>
      <c r="S1" s="1373"/>
      <c r="T1" s="1373"/>
      <c r="U1" s="1373"/>
      <c r="V1" s="1373"/>
      <c r="W1" s="1373"/>
      <c r="X1" s="1373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70" t="s">
        <v>335</v>
      </c>
      <c r="X3" s="1370"/>
      <c r="Y3" s="651"/>
      <c r="Z3" s="651"/>
      <c r="AA3" s="651"/>
      <c r="AB3" s="651"/>
      <c r="AC3" s="651"/>
      <c r="AD3" s="651"/>
      <c r="AE3" s="651"/>
    </row>
    <row r="4" spans="2:31" x14ac:dyDescent="0.25">
      <c r="B4" s="1" t="s">
        <v>323</v>
      </c>
      <c r="W4" s="1370"/>
      <c r="X4" s="1370"/>
      <c r="Y4" s="651"/>
      <c r="Z4" s="651"/>
      <c r="AA4" s="651"/>
      <c r="AB4" s="651"/>
      <c r="AC4" s="651"/>
      <c r="AD4" s="651"/>
      <c r="AE4" s="651"/>
    </row>
    <row r="5" spans="2:31" x14ac:dyDescent="0.25">
      <c r="B5" s="1368" t="s">
        <v>334</v>
      </c>
      <c r="C5" s="1368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W5" s="1370"/>
      <c r="X5" s="1370"/>
    </row>
    <row r="6" spans="2:31" x14ac:dyDescent="0.25">
      <c r="B6" s="1368"/>
      <c r="C6" s="1368"/>
      <c r="D6" s="1368"/>
      <c r="E6" s="1368"/>
      <c r="F6" s="1368"/>
      <c r="G6" s="1368"/>
      <c r="H6" s="1368"/>
      <c r="I6" s="1368"/>
      <c r="J6" s="1368"/>
      <c r="K6" s="1368"/>
      <c r="L6" s="1368"/>
      <c r="M6" s="1368"/>
      <c r="W6" s="1370"/>
      <c r="X6" s="1370"/>
    </row>
    <row r="7" spans="2:31" x14ac:dyDescent="0.25">
      <c r="B7" s="1" t="s">
        <v>324</v>
      </c>
      <c r="W7" s="1370"/>
      <c r="X7" s="1370"/>
    </row>
    <row r="8" spans="2:31" ht="15" customHeight="1" x14ac:dyDescent="0.25">
      <c r="C8" s="1" t="s">
        <v>325</v>
      </c>
      <c r="W8" s="1370"/>
      <c r="X8" s="1370"/>
    </row>
    <row r="9" spans="2:31" x14ac:dyDescent="0.25">
      <c r="C9" s="1368" t="s">
        <v>326</v>
      </c>
      <c r="D9" s="1368"/>
      <c r="E9" s="1368"/>
      <c r="F9" s="1368"/>
      <c r="G9" s="1368"/>
      <c r="H9" s="1368"/>
      <c r="I9" s="1368"/>
      <c r="J9" s="1368"/>
      <c r="K9" s="1368"/>
      <c r="L9" s="1368"/>
      <c r="M9" s="1368"/>
      <c r="N9" s="1368"/>
      <c r="W9" s="1370"/>
      <c r="X9" s="1370"/>
    </row>
    <row r="10" spans="2:31" x14ac:dyDescent="0.25">
      <c r="C10" s="1368"/>
      <c r="D10" s="1368"/>
      <c r="E10" s="1368"/>
      <c r="F10" s="1368"/>
      <c r="G10" s="1368"/>
      <c r="H10" s="1368"/>
      <c r="I10" s="1368"/>
      <c r="J10" s="1368"/>
      <c r="K10" s="1368"/>
      <c r="L10" s="1368"/>
      <c r="M10" s="1368"/>
      <c r="N10" s="1368"/>
      <c r="W10" s="1370"/>
      <c r="X10" s="1370"/>
    </row>
    <row r="11" spans="2:31" x14ac:dyDescent="0.25">
      <c r="C11" s="1368" t="s">
        <v>327</v>
      </c>
      <c r="D11" s="1368"/>
      <c r="E11" s="1368"/>
      <c r="F11" s="1368"/>
      <c r="G11" s="1368"/>
      <c r="H11" s="1368"/>
      <c r="I11" s="1368"/>
      <c r="J11" s="1368"/>
      <c r="K11" s="1368"/>
      <c r="L11" s="1368"/>
      <c r="M11" s="1368"/>
      <c r="W11" s="1370"/>
      <c r="X11" s="1370"/>
    </row>
    <row r="12" spans="2:31" x14ac:dyDescent="0.25">
      <c r="C12" s="1368"/>
      <c r="D12" s="1368"/>
      <c r="E12" s="1368"/>
      <c r="F12" s="1368"/>
      <c r="G12" s="1368"/>
      <c r="H12" s="1368"/>
      <c r="I12" s="1368"/>
      <c r="J12" s="1368"/>
      <c r="K12" s="1368"/>
      <c r="L12" s="1368"/>
      <c r="M12" s="1368"/>
      <c r="W12" s="1370"/>
      <c r="X12" s="1370"/>
    </row>
    <row r="13" spans="2:31" x14ac:dyDescent="0.25">
      <c r="C13" s="1368"/>
      <c r="D13" s="1368"/>
      <c r="E13" s="1368"/>
      <c r="F13" s="1368"/>
      <c r="G13" s="1368"/>
      <c r="H13" s="1368"/>
      <c r="I13" s="1368"/>
      <c r="J13" s="1368"/>
      <c r="K13" s="1368"/>
      <c r="L13" s="1368"/>
      <c r="M13" s="1368"/>
      <c r="W13" s="1370"/>
      <c r="X13" s="1370"/>
    </row>
    <row r="14" spans="2:31" x14ac:dyDescent="0.25">
      <c r="C14" s="1" t="s">
        <v>328</v>
      </c>
      <c r="W14" s="1370"/>
      <c r="X14" s="1370"/>
    </row>
    <row r="15" spans="2:31" ht="14.45" customHeight="1" x14ac:dyDescent="0.25">
      <c r="B15" s="1368" t="s">
        <v>329</v>
      </c>
      <c r="C15" s="1368"/>
      <c r="D15" s="1368"/>
      <c r="E15" s="1368"/>
      <c r="F15" s="1368"/>
      <c r="G15" s="1368"/>
      <c r="H15" s="1368"/>
      <c r="I15" s="1368"/>
      <c r="J15" s="1368"/>
      <c r="K15" s="1368"/>
      <c r="L15" s="1368"/>
      <c r="M15" s="1368"/>
      <c r="N15" s="1368"/>
      <c r="O15" s="1372"/>
      <c r="P15" s="1372"/>
      <c r="Q15" s="1372"/>
      <c r="R15" s="1372"/>
      <c r="S15" s="1372"/>
      <c r="T15" s="1372"/>
      <c r="U15" s="1372"/>
      <c r="V15" s="1372"/>
      <c r="W15" s="1372"/>
    </row>
    <row r="16" spans="2:31" ht="14.45" customHeight="1" x14ac:dyDescent="0.25">
      <c r="B16" s="1368"/>
      <c r="C16" s="1368"/>
      <c r="D16" s="1368"/>
      <c r="E16" s="1368"/>
      <c r="F16" s="1368"/>
      <c r="G16" s="1368"/>
      <c r="H16" s="1368"/>
      <c r="I16" s="1368"/>
      <c r="J16" s="1368"/>
      <c r="K16" s="1368"/>
      <c r="L16" s="1368"/>
      <c r="M16" s="1368"/>
      <c r="N16" s="1368"/>
      <c r="O16" s="1372"/>
      <c r="P16" s="1372"/>
      <c r="Q16" s="1372"/>
      <c r="R16" s="1372"/>
      <c r="S16" s="1372"/>
      <c r="T16" s="1372"/>
      <c r="U16" s="1372"/>
      <c r="V16" s="1372"/>
      <c r="W16" s="1372"/>
    </row>
    <row r="17" spans="2:15" x14ac:dyDescent="0.25">
      <c r="B17" s="1368"/>
      <c r="C17" s="1368"/>
      <c r="D17" s="1368"/>
      <c r="E17" s="1368"/>
      <c r="F17" s="1368"/>
      <c r="G17" s="1368"/>
      <c r="H17" s="1368"/>
      <c r="I17" s="1368"/>
      <c r="J17" s="1368"/>
      <c r="K17" s="1368"/>
      <c r="L17" s="1368"/>
      <c r="M17" s="1368"/>
      <c r="N17" s="1368"/>
      <c r="O17" s="650"/>
    </row>
    <row r="18" spans="2:15" x14ac:dyDescent="0.25">
      <c r="B18" s="1368"/>
      <c r="C18" s="1368"/>
      <c r="D18" s="1368"/>
      <c r="E18" s="1368"/>
      <c r="F18" s="1368"/>
      <c r="G18" s="1368"/>
      <c r="H18" s="1368"/>
      <c r="I18" s="1368"/>
      <c r="J18" s="1368"/>
      <c r="K18" s="1368"/>
      <c r="L18" s="1368"/>
      <c r="M18" s="1368"/>
      <c r="N18" s="1368"/>
      <c r="O18" s="650"/>
    </row>
    <row r="19" spans="2:15" x14ac:dyDescent="0.25">
      <c r="B19" s="1368"/>
      <c r="C19" s="1368"/>
      <c r="D19" s="1368"/>
      <c r="E19" s="1368"/>
      <c r="F19" s="1368"/>
      <c r="G19" s="1368"/>
      <c r="H19" s="1368"/>
      <c r="I19" s="1368"/>
      <c r="J19" s="1368"/>
      <c r="K19" s="1368"/>
      <c r="L19" s="1368"/>
      <c r="M19" s="1368"/>
      <c r="N19" s="1368"/>
      <c r="O19" s="650"/>
    </row>
    <row r="20" spans="2:15" x14ac:dyDescent="0.25">
      <c r="B20" s="1368"/>
      <c r="C20" s="1368"/>
      <c r="D20" s="1368"/>
      <c r="E20" s="1368"/>
      <c r="F20" s="1368"/>
      <c r="G20" s="1368"/>
      <c r="H20" s="1368"/>
      <c r="I20" s="1368"/>
      <c r="J20" s="1368"/>
      <c r="K20" s="1368"/>
      <c r="L20" s="1368"/>
      <c r="M20" s="1368"/>
      <c r="N20" s="1368"/>
    </row>
    <row r="21" spans="2:15" x14ac:dyDescent="0.25">
      <c r="B21" s="1368" t="s">
        <v>330</v>
      </c>
      <c r="C21" s="1368"/>
      <c r="D21" s="1368"/>
      <c r="E21" s="1368"/>
      <c r="F21" s="1368"/>
      <c r="G21" s="1368"/>
      <c r="H21" s="1368"/>
      <c r="I21" s="1368"/>
      <c r="J21" s="1368"/>
      <c r="K21" s="1368"/>
      <c r="L21" s="1368"/>
      <c r="M21" s="1368"/>
      <c r="N21" s="1368"/>
    </row>
    <row r="22" spans="2:15" ht="14.45" customHeight="1" x14ac:dyDescent="0.25">
      <c r="B22" s="1368"/>
      <c r="C22" s="1368"/>
      <c r="D22" s="1368"/>
      <c r="E22" s="1368"/>
      <c r="F22" s="1368"/>
      <c r="G22" s="1368"/>
      <c r="H22" s="1368"/>
      <c r="I22" s="1368"/>
      <c r="J22" s="1368"/>
      <c r="K22" s="1368"/>
      <c r="L22" s="1368"/>
      <c r="M22" s="1368"/>
      <c r="N22" s="1368"/>
    </row>
    <row r="23" spans="2:15" ht="64.900000000000006" customHeight="1" x14ac:dyDescent="0.25">
      <c r="C23" s="1369" t="s">
        <v>322</v>
      </c>
      <c r="D23" s="1369"/>
      <c r="E23" s="1369"/>
      <c r="F23" s="1369"/>
      <c r="G23" s="1369"/>
      <c r="H23" s="1369"/>
      <c r="I23" s="1369"/>
      <c r="J23" s="1369"/>
      <c r="K23" s="1369"/>
      <c r="L23" s="1369"/>
      <c r="M23" s="1369"/>
      <c r="N23" s="1369"/>
    </row>
    <row r="24" spans="2:15" x14ac:dyDescent="0.25">
      <c r="C24" s="650"/>
      <c r="D24" s="650"/>
      <c r="E24" s="650"/>
      <c r="F24" s="650"/>
      <c r="G24" s="650"/>
      <c r="H24" s="650"/>
      <c r="I24" s="650"/>
      <c r="J24" s="650"/>
      <c r="K24" s="650"/>
      <c r="L24" s="653"/>
      <c r="M24" s="650"/>
    </row>
    <row r="25" spans="2:15" x14ac:dyDescent="0.25">
      <c r="C25" s="650"/>
      <c r="D25" s="650"/>
      <c r="E25" s="650"/>
      <c r="F25" s="650"/>
      <c r="G25" s="650"/>
      <c r="H25" s="650"/>
      <c r="I25" s="650"/>
      <c r="J25" s="650"/>
      <c r="K25" s="650"/>
      <c r="L25" s="653"/>
      <c r="M25" s="650"/>
    </row>
    <row r="26" spans="2:15" s="2" customFormat="1" ht="30" customHeight="1" x14ac:dyDescent="0.25">
      <c r="C26" s="654"/>
      <c r="D26" s="655"/>
      <c r="E26" s="655"/>
      <c r="F26" s="753"/>
      <c r="G26" s="655"/>
      <c r="H26" s="655"/>
      <c r="I26" s="655"/>
      <c r="J26" s="655"/>
      <c r="K26" s="655"/>
      <c r="L26" s="655"/>
      <c r="M26" s="754"/>
      <c r="N26" s="393"/>
      <c r="O26" s="393"/>
    </row>
    <row r="27" spans="2:15" x14ac:dyDescent="0.25">
      <c r="D27" s="755"/>
      <c r="E27" s="756"/>
      <c r="F27" s="756"/>
      <c r="G27" s="756"/>
      <c r="H27" s="757"/>
      <c r="I27" s="757"/>
      <c r="J27" s="757"/>
      <c r="K27" s="368"/>
      <c r="L27" s="758"/>
      <c r="M27" s="759"/>
      <c r="N27" s="23"/>
      <c r="O27" s="23"/>
    </row>
    <row r="28" spans="2:15" x14ac:dyDescent="0.25">
      <c r="D28" s="755"/>
      <c r="E28" s="756"/>
      <c r="F28" s="756"/>
      <c r="G28" s="756"/>
      <c r="H28" s="757"/>
      <c r="I28" s="757"/>
      <c r="J28" s="757"/>
      <c r="K28" s="368"/>
      <c r="L28" s="756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6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39</vt:i4>
      </vt:variant>
      <vt:variant>
        <vt:lpstr>Gráficos</vt:lpstr>
      </vt:variant>
      <vt:variant>
        <vt:i4>13</vt:i4>
      </vt:variant>
    </vt:vector>
  </HeadingPairs>
  <TitlesOfParts>
    <vt:vector size="52" baseType="lpstr">
      <vt:lpstr>ANÁLISE DE SITES MULTICRITÉRIO</vt:lpstr>
      <vt:lpstr>Planilha1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2022-07-16T16:50:23Z</dcterms:modified>
</cp:coreProperties>
</file>