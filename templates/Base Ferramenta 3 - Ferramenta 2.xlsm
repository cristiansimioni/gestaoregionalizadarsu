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Backup 10 Dez 2023\02 - UNIDO\GRANFPOLIS - SC - Novo 12 Jun\templates\"/>
    </mc:Choice>
  </mc:AlternateContent>
  <xr:revisionPtr revIDLastSave="0" documentId="13_ncr:1_{D86D5296-6685-4C80-8643-32EC7829BE56}" xr6:coauthVersionLast="47" xr6:coauthVersionMax="47" xr10:uidLastSave="{00000000-0000-0000-0000-000000000000}"/>
  <bookViews>
    <workbookView xWindow="-120" yWindow="-120" windowWidth="29040" windowHeight="15720" tabRatio="949" activeTab="1" xr2:uid="{00000000-000D-0000-FFFF-FFFF00000000}"/>
  </bookViews>
  <sheets>
    <sheet name="Demanda Preço &amp; Quantidade" sheetId="50" r:id="rId1"/>
    <sheet name="RESUMO GERAL Valoriz. RT´s" sheetId="43" r:id="rId2"/>
    <sheet name="RT1C) Comercializ Gás Biomet" sheetId="59" r:id="rId3"/>
    <sheet name="C-Dados RT1 Simplif." sheetId="23" r:id="rId4"/>
    <sheet name="RT1A)BIODIG Energia Elétrica" sheetId="45" r:id="rId5"/>
    <sheet name="RT1A) Custos Valoriz E.Elétrica" sheetId="56" r:id="rId6"/>
    <sheet name="RT1B)BIODIG Descarb Biomet" sheetId="53" r:id="rId7"/>
    <sheet name="RT1B) Descarb AutoCons" sheetId="26" r:id="rId8"/>
    <sheet name="RT1B) Descarb Util Públ" sheetId="58" r:id="rId9"/>
    <sheet name="RT1B) Comercializ Gás Biome" sheetId="63" r:id="rId10"/>
    <sheet name="RT1C)BIODIG Gas Natural" sheetId="51" r:id="rId11"/>
    <sheet name="C-Dados RT2 Simplif." sheetId="29" r:id="rId12"/>
    <sheet name="2)Compostagem CDR Comp Org" sheetId="37" r:id="rId13"/>
    <sheet name="C-Dados RT3 Simplif." sheetId="31" r:id="rId14"/>
    <sheet name="3)Biosecagem Prod BioCDR" sheetId="39" r:id="rId15"/>
    <sheet name="C-Dados RT4 Simplif." sheetId="33" r:id="rId16"/>
    <sheet name="4)Incineração - E Elétrica" sheetId="41" r:id="rId17"/>
    <sheet name="RT4)Custos Valoriz E.Elétrica" sheetId="82" r:id="rId18"/>
    <sheet name="C-Dados RT5 Simplif." sheetId="95" r:id="rId19"/>
    <sheet name="5)Incineração - E Elétrica" sheetId="96" r:id="rId20"/>
    <sheet name="RT5)Custos Valoriz E.Elétrica" sheetId="97" r:id="rId21"/>
    <sheet name="Drafts Instruções" sheetId="55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43" l="1"/>
  <c r="D15" i="43"/>
  <c r="H8" i="26"/>
  <c r="C15" i="43"/>
  <c r="I71" i="43"/>
  <c r="H71" i="43"/>
  <c r="G71" i="43"/>
  <c r="F71" i="43"/>
  <c r="E71" i="43"/>
  <c r="D71" i="43"/>
  <c r="I73" i="43"/>
  <c r="I69" i="43"/>
  <c r="I70" i="43" s="1"/>
  <c r="H73" i="43" l="1"/>
  <c r="H69" i="43"/>
  <c r="H70" i="43" s="1"/>
  <c r="G73" i="43" l="1"/>
  <c r="G69" i="43"/>
  <c r="G70" i="43" s="1"/>
  <c r="F73" i="43" l="1"/>
  <c r="F69" i="43"/>
  <c r="F70" i="43" s="1"/>
  <c r="E73" i="43" l="1"/>
  <c r="D73" i="43"/>
  <c r="C73" i="43"/>
  <c r="E69" i="43" l="1"/>
  <c r="E70" i="43" s="1"/>
  <c r="D69" i="43"/>
  <c r="D70" i="43" s="1"/>
  <c r="C69" i="43"/>
  <c r="C70" i="43" s="1"/>
  <c r="F72" i="43"/>
  <c r="C72" i="43"/>
  <c r="G72" i="43"/>
  <c r="E72" i="43"/>
  <c r="I72" i="43"/>
  <c r="H72" i="43"/>
  <c r="D72" i="43"/>
  <c r="J51" i="96"/>
  <c r="J51" i="41"/>
  <c r="C81" i="50"/>
  <c r="P92" i="50"/>
  <c r="P72" i="50"/>
  <c r="P88" i="50"/>
  <c r="P89" i="50"/>
  <c r="P73" i="50"/>
  <c r="C23" i="26" s="1"/>
  <c r="J51" i="51"/>
  <c r="J51" i="53"/>
  <c r="J51" i="45"/>
  <c r="C16" i="26"/>
  <c r="F62" i="43" l="1"/>
  <c r="G62" i="43"/>
  <c r="I62" i="43"/>
  <c r="C64" i="43"/>
  <c r="D64" i="43"/>
  <c r="E64" i="43"/>
  <c r="F64" i="43"/>
  <c r="G64" i="43"/>
  <c r="H64" i="43"/>
  <c r="I64" i="43"/>
  <c r="C23" i="97"/>
  <c r="B23" i="97"/>
  <c r="C22" i="97"/>
  <c r="B22" i="97"/>
  <c r="C23" i="82"/>
  <c r="B23" i="82"/>
  <c r="C22" i="82"/>
  <c r="B22" i="82"/>
  <c r="C23" i="56" l="1"/>
  <c r="C22" i="56"/>
  <c r="B23" i="56"/>
  <c r="B22" i="56"/>
  <c r="C28" i="56" l="1"/>
  <c r="C30" i="50"/>
  <c r="C11" i="43"/>
  <c r="E30" i="43" l="1"/>
  <c r="F30" i="43"/>
  <c r="F16" i="43" s="1"/>
  <c r="G30" i="43"/>
  <c r="G16" i="43" s="1"/>
  <c r="H30" i="43"/>
  <c r="H16" i="43" s="1"/>
  <c r="I30" i="43"/>
  <c r="I16" i="43" s="1"/>
  <c r="D30" i="43"/>
  <c r="C103" i="50"/>
  <c r="C106" i="95"/>
  <c r="C134" i="95" s="1"/>
  <c r="C97" i="95"/>
  <c r="C95" i="95"/>
  <c r="C94" i="95"/>
  <c r="C61" i="95"/>
  <c r="C57" i="95"/>
  <c r="AZ36" i="95"/>
  <c r="W36" i="95"/>
  <c r="O36" i="95"/>
  <c r="BH36" i="95"/>
  <c r="BG36" i="95"/>
  <c r="BF36" i="95"/>
  <c r="BE36" i="95"/>
  <c r="BD36" i="95"/>
  <c r="BC36" i="95"/>
  <c r="BB36" i="95"/>
  <c r="BA36" i="95"/>
  <c r="AY36" i="95"/>
  <c r="AX36" i="95"/>
  <c r="AW36" i="95"/>
  <c r="AV36" i="95"/>
  <c r="AU36" i="95"/>
  <c r="AT36" i="95"/>
  <c r="AS36" i="95"/>
  <c r="AR36" i="95"/>
  <c r="AQ36" i="95"/>
  <c r="AP36" i="95"/>
  <c r="AO36" i="95"/>
  <c r="AN36" i="95"/>
  <c r="AM36" i="95"/>
  <c r="AL36" i="95"/>
  <c r="AK36" i="95"/>
  <c r="AJ36" i="95"/>
  <c r="AI36" i="95"/>
  <c r="AH36" i="95"/>
  <c r="AG36" i="95"/>
  <c r="AF36" i="95"/>
  <c r="AE36" i="95"/>
  <c r="AD36" i="95"/>
  <c r="AC36" i="95"/>
  <c r="AB36" i="95"/>
  <c r="AA36" i="95"/>
  <c r="Z36" i="95"/>
  <c r="Y36" i="95"/>
  <c r="X36" i="95"/>
  <c r="V36" i="95"/>
  <c r="U36" i="95"/>
  <c r="T36" i="95"/>
  <c r="S36" i="95"/>
  <c r="R36" i="95"/>
  <c r="Q36" i="95"/>
  <c r="P36" i="95"/>
  <c r="N36" i="95"/>
  <c r="M36" i="95"/>
  <c r="L36" i="95"/>
  <c r="K36" i="95"/>
  <c r="J36" i="95"/>
  <c r="I36" i="95"/>
  <c r="H36" i="95"/>
  <c r="G36" i="95"/>
  <c r="F36" i="95"/>
  <c r="E36" i="95"/>
  <c r="D36" i="95"/>
  <c r="C16" i="95"/>
  <c r="AG37" i="95"/>
  <c r="D4" i="95"/>
  <c r="B4" i="95"/>
  <c r="E22" i="95" l="1"/>
  <c r="U22" i="95"/>
  <c r="T28" i="95"/>
  <c r="C135" i="95"/>
  <c r="N25" i="95"/>
  <c r="I19" i="95"/>
  <c r="R25" i="95"/>
  <c r="M19" i="95"/>
  <c r="AD25" i="95"/>
  <c r="Y19" i="95"/>
  <c r="Q22" i="95"/>
  <c r="AG22" i="95"/>
  <c r="AH25" i="95"/>
  <c r="AC19" i="95"/>
  <c r="C110" i="95"/>
  <c r="L28" i="95"/>
  <c r="T31" i="95"/>
  <c r="K34" i="95"/>
  <c r="AB31" i="95"/>
  <c r="S34" i="95"/>
  <c r="C81" i="95"/>
  <c r="Q19" i="95"/>
  <c r="AG19" i="95"/>
  <c r="I22" i="95"/>
  <c r="Y22" i="95"/>
  <c r="F25" i="95"/>
  <c r="V25" i="95"/>
  <c r="AB28" i="95"/>
  <c r="D31" i="95"/>
  <c r="AJ31" i="95"/>
  <c r="AA34" i="95"/>
  <c r="E19" i="95"/>
  <c r="U19" i="95"/>
  <c r="M22" i="95"/>
  <c r="AC22" i="95"/>
  <c r="J25" i="95"/>
  <c r="Z25" i="95"/>
  <c r="D28" i="95"/>
  <c r="AJ28" i="95"/>
  <c r="L31" i="95"/>
  <c r="AI34" i="95"/>
  <c r="C88" i="95"/>
  <c r="C104" i="95"/>
  <c r="C4" i="95" s="1"/>
  <c r="I37" i="95"/>
  <c r="Y37" i="95"/>
  <c r="C39" i="95"/>
  <c r="A39" i="95" s="1"/>
  <c r="C33" i="95"/>
  <c r="A33" i="95" s="1"/>
  <c r="F19" i="95"/>
  <c r="J19" i="95"/>
  <c r="N19" i="95"/>
  <c r="R19" i="95"/>
  <c r="V19" i="95"/>
  <c r="Z19" i="95"/>
  <c r="AD19" i="95"/>
  <c r="AH19" i="95"/>
  <c r="F22" i="95"/>
  <c r="J22" i="95"/>
  <c r="N22" i="95"/>
  <c r="R22" i="95"/>
  <c r="V22" i="95"/>
  <c r="Z22" i="95"/>
  <c r="AD22" i="95"/>
  <c r="AH22" i="95"/>
  <c r="G25" i="95"/>
  <c r="K25" i="95"/>
  <c r="O25" i="95"/>
  <c r="S25" i="95"/>
  <c r="W25" i="95"/>
  <c r="AA25" i="95"/>
  <c r="AE25" i="95"/>
  <c r="AI25" i="95"/>
  <c r="C27" i="95"/>
  <c r="A27" i="95" s="1"/>
  <c r="F46" i="95" s="1"/>
  <c r="G28" i="95"/>
  <c r="O28" i="95"/>
  <c r="W28" i="95"/>
  <c r="AE28" i="95"/>
  <c r="E31" i="95"/>
  <c r="M31" i="95"/>
  <c r="U31" i="95"/>
  <c r="AC31" i="95"/>
  <c r="F34" i="95"/>
  <c r="N34" i="95"/>
  <c r="V34" i="95"/>
  <c r="AD34" i="95"/>
  <c r="C36" i="95"/>
  <c r="M37" i="95"/>
  <c r="AC37" i="95"/>
  <c r="C119" i="95"/>
  <c r="C131" i="95"/>
  <c r="G19" i="95"/>
  <c r="K19" i="95"/>
  <c r="O19" i="95"/>
  <c r="S19" i="95"/>
  <c r="W19" i="95"/>
  <c r="AA19" i="95"/>
  <c r="AE19" i="95"/>
  <c r="AI19" i="95"/>
  <c r="G22" i="95"/>
  <c r="K22" i="95"/>
  <c r="O22" i="95"/>
  <c r="S22" i="95"/>
  <c r="W22" i="95"/>
  <c r="AA22" i="95"/>
  <c r="AE22" i="95"/>
  <c r="AI22" i="95"/>
  <c r="C24" i="95"/>
  <c r="A24" i="95" s="1"/>
  <c r="D25" i="95"/>
  <c r="H25" i="95"/>
  <c r="L25" i="95"/>
  <c r="P25" i="95"/>
  <c r="T25" i="95"/>
  <c r="X25" i="95"/>
  <c r="AB25" i="95"/>
  <c r="AF25" i="95"/>
  <c r="AJ25" i="95"/>
  <c r="H28" i="95"/>
  <c r="P28" i="95"/>
  <c r="X28" i="95"/>
  <c r="AF28" i="95"/>
  <c r="C30" i="95"/>
  <c r="A30" i="95" s="1"/>
  <c r="F48" i="95" s="1"/>
  <c r="C48" i="95" s="1"/>
  <c r="H31" i="95"/>
  <c r="P31" i="95"/>
  <c r="X31" i="95"/>
  <c r="AF31" i="95"/>
  <c r="G34" i="95"/>
  <c r="O34" i="95"/>
  <c r="W34" i="95"/>
  <c r="AE34" i="95"/>
  <c r="Q37" i="95"/>
  <c r="AI40" i="95"/>
  <c r="AE40" i="95"/>
  <c r="AA40" i="95"/>
  <c r="W40" i="95"/>
  <c r="S40" i="95"/>
  <c r="O40" i="95"/>
  <c r="K40" i="95"/>
  <c r="G40" i="95"/>
  <c r="AH40" i="95"/>
  <c r="AD40" i="95"/>
  <c r="Z40" i="95"/>
  <c r="V40" i="95"/>
  <c r="R40" i="95"/>
  <c r="N40" i="95"/>
  <c r="J40" i="95"/>
  <c r="F40" i="95"/>
  <c r="AJ37" i="95"/>
  <c r="AF37" i="95"/>
  <c r="AB37" i="95"/>
  <c r="X37" i="95"/>
  <c r="T37" i="95"/>
  <c r="P37" i="95"/>
  <c r="L37" i="95"/>
  <c r="H37" i="95"/>
  <c r="D37" i="95"/>
  <c r="AK40" i="95"/>
  <c r="AG40" i="95"/>
  <c r="AC40" i="95"/>
  <c r="Y40" i="95"/>
  <c r="U40" i="95"/>
  <c r="Q40" i="95"/>
  <c r="M40" i="95"/>
  <c r="I40" i="95"/>
  <c r="E40" i="95"/>
  <c r="AI37" i="95"/>
  <c r="AE37" i="95"/>
  <c r="AA37" i="95"/>
  <c r="W37" i="95"/>
  <c r="S37" i="95"/>
  <c r="O37" i="95"/>
  <c r="K37" i="95"/>
  <c r="G37" i="95"/>
  <c r="AG34" i="95"/>
  <c r="AC34" i="95"/>
  <c r="Y34" i="95"/>
  <c r="U34" i="95"/>
  <c r="Q34" i="95"/>
  <c r="M34" i="95"/>
  <c r="I34" i="95"/>
  <c r="E34" i="95"/>
  <c r="AI31" i="95"/>
  <c r="AE31" i="95"/>
  <c r="AA31" i="95"/>
  <c r="W31" i="95"/>
  <c r="S31" i="95"/>
  <c r="O31" i="95"/>
  <c r="K31" i="95"/>
  <c r="G31" i="95"/>
  <c r="AH28" i="95"/>
  <c r="AD28" i="95"/>
  <c r="Z28" i="95"/>
  <c r="V28" i="95"/>
  <c r="R28" i="95"/>
  <c r="N28" i="95"/>
  <c r="J28" i="95"/>
  <c r="F28" i="95"/>
  <c r="AJ40" i="95"/>
  <c r="AF40" i="95"/>
  <c r="AB40" i="95"/>
  <c r="X40" i="95"/>
  <c r="T40" i="95"/>
  <c r="P40" i="95"/>
  <c r="L40" i="95"/>
  <c r="H40" i="95"/>
  <c r="D40" i="95"/>
  <c r="AH37" i="95"/>
  <c r="AD37" i="95"/>
  <c r="Z37" i="95"/>
  <c r="V37" i="95"/>
  <c r="R37" i="95"/>
  <c r="N37" i="95"/>
  <c r="J37" i="95"/>
  <c r="F37" i="95"/>
  <c r="AJ34" i="95"/>
  <c r="AF34" i="95"/>
  <c r="AB34" i="95"/>
  <c r="X34" i="95"/>
  <c r="T34" i="95"/>
  <c r="P34" i="95"/>
  <c r="L34" i="95"/>
  <c r="H34" i="95"/>
  <c r="D34" i="95"/>
  <c r="AH31" i="95"/>
  <c r="AD31" i="95"/>
  <c r="Z31" i="95"/>
  <c r="V31" i="95"/>
  <c r="R31" i="95"/>
  <c r="N31" i="95"/>
  <c r="J31" i="95"/>
  <c r="F31" i="95"/>
  <c r="AG28" i="95"/>
  <c r="AC28" i="95"/>
  <c r="Y28" i="95"/>
  <c r="U28" i="95"/>
  <c r="Q28" i="95"/>
  <c r="M28" i="95"/>
  <c r="I28" i="95"/>
  <c r="E28" i="95"/>
  <c r="C28" i="95" s="1"/>
  <c r="A28" i="95" s="1"/>
  <c r="C18" i="95"/>
  <c r="D19" i="95"/>
  <c r="H19" i="95"/>
  <c r="L19" i="95"/>
  <c r="P19" i="95"/>
  <c r="T19" i="95"/>
  <c r="X19" i="95"/>
  <c r="AB19" i="95"/>
  <c r="AF19" i="95"/>
  <c r="AJ19" i="95"/>
  <c r="C21" i="95"/>
  <c r="D22" i="95"/>
  <c r="H22" i="95"/>
  <c r="L22" i="95"/>
  <c r="P22" i="95"/>
  <c r="T22" i="95"/>
  <c r="X22" i="95"/>
  <c r="AB22" i="95"/>
  <c r="AF22" i="95"/>
  <c r="AJ22" i="95"/>
  <c r="E25" i="95"/>
  <c r="I25" i="95"/>
  <c r="M25" i="95"/>
  <c r="Q25" i="95"/>
  <c r="U25" i="95"/>
  <c r="Y25" i="95"/>
  <c r="AC25" i="95"/>
  <c r="AG25" i="95"/>
  <c r="K28" i="95"/>
  <c r="S28" i="95"/>
  <c r="AA28" i="95"/>
  <c r="AI28" i="95"/>
  <c r="I31" i="95"/>
  <c r="Q31" i="95"/>
  <c r="Y31" i="95"/>
  <c r="AG31" i="95"/>
  <c r="J34" i="95"/>
  <c r="R34" i="95"/>
  <c r="Z34" i="95"/>
  <c r="AH34" i="95"/>
  <c r="E37" i="95"/>
  <c r="U37" i="95"/>
  <c r="C113" i="95"/>
  <c r="C126" i="95"/>
  <c r="C137" i="95"/>
  <c r="C96" i="95"/>
  <c r="C132" i="95"/>
  <c r="C138" i="95"/>
  <c r="C139" i="95" s="1"/>
  <c r="C40" i="95" l="1"/>
  <c r="A40" i="95" s="1"/>
  <c r="C129" i="95"/>
  <c r="C25" i="95"/>
  <c r="A25" i="95" s="1"/>
  <c r="C123" i="95"/>
  <c r="C116" i="95"/>
  <c r="C37" i="95"/>
  <c r="A37" i="95" s="1"/>
  <c r="C22" i="95"/>
  <c r="A22" i="95" s="1"/>
  <c r="C31" i="95"/>
  <c r="A31" i="95" s="1"/>
  <c r="C20" i="95"/>
  <c r="A18" i="95"/>
  <c r="A36" i="95"/>
  <c r="F51" i="95" s="1"/>
  <c r="C51" i="95" s="1"/>
  <c r="C34" i="95"/>
  <c r="A34" i="95" s="1"/>
  <c r="F47" i="95"/>
  <c r="C47" i="95" s="1"/>
  <c r="A42" i="95"/>
  <c r="C46" i="95"/>
  <c r="C49" i="95" s="1"/>
  <c r="A21" i="95"/>
  <c r="C23" i="95"/>
  <c r="C19" i="95"/>
  <c r="A19" i="95" s="1"/>
  <c r="F49" i="95" l="1"/>
  <c r="C99" i="95"/>
  <c r="F50" i="95"/>
  <c r="C50" i="95" s="1"/>
  <c r="C53" i="95" s="1"/>
  <c r="A43" i="95"/>
  <c r="A44" i="95" s="1"/>
  <c r="F53" i="95" l="1"/>
  <c r="H92" i="95"/>
  <c r="H57" i="95"/>
  <c r="H99" i="95"/>
  <c r="H61" i="95"/>
  <c r="H79" i="95"/>
  <c r="H88" i="95"/>
  <c r="H81" i="95"/>
  <c r="H78" i="95"/>
  <c r="C132" i="33" l="1"/>
  <c r="C104" i="33"/>
  <c r="C4" i="33" s="1"/>
  <c r="C110" i="33"/>
  <c r="C97" i="33"/>
  <c r="C96" i="33"/>
  <c r="C95" i="33"/>
  <c r="C94" i="33"/>
  <c r="C61" i="33"/>
  <c r="C57" i="33"/>
  <c r="BH36" i="33"/>
  <c r="BG36" i="33"/>
  <c r="BF36" i="33"/>
  <c r="BE36" i="33"/>
  <c r="BD36" i="33"/>
  <c r="BC36" i="33"/>
  <c r="BB36" i="33"/>
  <c r="BA36" i="33"/>
  <c r="AZ36" i="33"/>
  <c r="AY36" i="33"/>
  <c r="AX36" i="33"/>
  <c r="AW36" i="33"/>
  <c r="AV36" i="33"/>
  <c r="AU36" i="33"/>
  <c r="AT36" i="33"/>
  <c r="AS36" i="33"/>
  <c r="AR36" i="33"/>
  <c r="AQ36" i="33"/>
  <c r="AP36" i="33"/>
  <c r="AO36" i="33"/>
  <c r="AN36" i="33"/>
  <c r="AM36" i="33"/>
  <c r="AL36" i="33"/>
  <c r="AK36" i="33"/>
  <c r="AJ36" i="33"/>
  <c r="AI36" i="33"/>
  <c r="AH36" i="33"/>
  <c r="AG36" i="33"/>
  <c r="AF36" i="33"/>
  <c r="AE36" i="33"/>
  <c r="AD36" i="33"/>
  <c r="AC36" i="33"/>
  <c r="AB36" i="33"/>
  <c r="AA36" i="33"/>
  <c r="Z36" i="33"/>
  <c r="Y36" i="33"/>
  <c r="X36" i="33"/>
  <c r="W36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Q37" i="33"/>
  <c r="D4" i="33"/>
  <c r="B4" i="33"/>
  <c r="C88" i="33" l="1"/>
  <c r="H62" i="43" s="1"/>
  <c r="C135" i="33"/>
  <c r="C106" i="33"/>
  <c r="C131" i="33" s="1"/>
  <c r="C138" i="33"/>
  <c r="C139" i="33" s="1"/>
  <c r="C36" i="33"/>
  <c r="C39" i="33"/>
  <c r="C33" i="33"/>
  <c r="F19" i="33"/>
  <c r="J19" i="33"/>
  <c r="N19" i="33"/>
  <c r="R19" i="33"/>
  <c r="V19" i="33"/>
  <c r="Z19" i="33"/>
  <c r="AD19" i="33"/>
  <c r="AH19" i="33"/>
  <c r="F22" i="33"/>
  <c r="J22" i="33"/>
  <c r="N22" i="33"/>
  <c r="R22" i="33"/>
  <c r="V22" i="33"/>
  <c r="Z22" i="33"/>
  <c r="AD22" i="33"/>
  <c r="AH22" i="33"/>
  <c r="G25" i="33"/>
  <c r="K25" i="33"/>
  <c r="O25" i="33"/>
  <c r="S25" i="33"/>
  <c r="W25" i="33"/>
  <c r="AA25" i="33"/>
  <c r="AE25" i="33"/>
  <c r="AI25" i="33"/>
  <c r="C27" i="33"/>
  <c r="D28" i="33"/>
  <c r="J28" i="33"/>
  <c r="O28" i="33"/>
  <c r="T28" i="33"/>
  <c r="Z28" i="33"/>
  <c r="AE28" i="33"/>
  <c r="AJ28" i="33"/>
  <c r="H31" i="33"/>
  <c r="M31" i="33"/>
  <c r="S31" i="33"/>
  <c r="X31" i="33"/>
  <c r="AC31" i="33"/>
  <c r="AI31" i="33"/>
  <c r="G34" i="33"/>
  <c r="W34" i="33"/>
  <c r="AI40" i="33"/>
  <c r="AE40" i="33"/>
  <c r="AA40" i="33"/>
  <c r="W40" i="33"/>
  <c r="S40" i="33"/>
  <c r="O40" i="33"/>
  <c r="K40" i="33"/>
  <c r="G40" i="33"/>
  <c r="AG37" i="33"/>
  <c r="AH40" i="33"/>
  <c r="AD40" i="33"/>
  <c r="Z40" i="33"/>
  <c r="V40" i="33"/>
  <c r="R40" i="33"/>
  <c r="N40" i="33"/>
  <c r="J40" i="33"/>
  <c r="F40" i="33"/>
  <c r="AJ37" i="33"/>
  <c r="AF37" i="33"/>
  <c r="AB37" i="33"/>
  <c r="X37" i="33"/>
  <c r="T37" i="33"/>
  <c r="P37" i="33"/>
  <c r="L37" i="33"/>
  <c r="H37" i="33"/>
  <c r="D37" i="33"/>
  <c r="AH34" i="33"/>
  <c r="AD34" i="33"/>
  <c r="Z34" i="33"/>
  <c r="V34" i="33"/>
  <c r="R34" i="33"/>
  <c r="N34" i="33"/>
  <c r="J34" i="33"/>
  <c r="F34" i="33"/>
  <c r="AJ31" i="33"/>
  <c r="AK40" i="33"/>
  <c r="AG40" i="33"/>
  <c r="AC40" i="33"/>
  <c r="Y40" i="33"/>
  <c r="U40" i="33"/>
  <c r="Q40" i="33"/>
  <c r="M40" i="33"/>
  <c r="I40" i="33"/>
  <c r="E40" i="33"/>
  <c r="AI37" i="33"/>
  <c r="AE37" i="33"/>
  <c r="AA37" i="33"/>
  <c r="W37" i="33"/>
  <c r="S37" i="33"/>
  <c r="O37" i="33"/>
  <c r="K37" i="33"/>
  <c r="G37" i="33"/>
  <c r="AG34" i="33"/>
  <c r="AC34" i="33"/>
  <c r="Y34" i="33"/>
  <c r="U34" i="33"/>
  <c r="Q34" i="33"/>
  <c r="M34" i="33"/>
  <c r="I34" i="33"/>
  <c r="E34" i="33"/>
  <c r="AJ40" i="33"/>
  <c r="AF40" i="33"/>
  <c r="AB40" i="33"/>
  <c r="X40" i="33"/>
  <c r="T40" i="33"/>
  <c r="P40" i="33"/>
  <c r="L40" i="33"/>
  <c r="H40" i="33"/>
  <c r="D40" i="33"/>
  <c r="AH37" i="33"/>
  <c r="AD37" i="33"/>
  <c r="Z37" i="33"/>
  <c r="V37" i="33"/>
  <c r="R37" i="33"/>
  <c r="N37" i="33"/>
  <c r="J37" i="33"/>
  <c r="F37" i="33"/>
  <c r="AJ34" i="33"/>
  <c r="AF34" i="33"/>
  <c r="AB34" i="33"/>
  <c r="X34" i="33"/>
  <c r="T34" i="33"/>
  <c r="P34" i="33"/>
  <c r="L34" i="33"/>
  <c r="H34" i="33"/>
  <c r="D34" i="33"/>
  <c r="AH31" i="33"/>
  <c r="AD31" i="33"/>
  <c r="Z31" i="33"/>
  <c r="V31" i="33"/>
  <c r="R31" i="33"/>
  <c r="N31" i="33"/>
  <c r="J31" i="33"/>
  <c r="F31" i="33"/>
  <c r="AG28" i="33"/>
  <c r="AC28" i="33"/>
  <c r="Y28" i="33"/>
  <c r="U28" i="33"/>
  <c r="Q28" i="33"/>
  <c r="M28" i="33"/>
  <c r="I28" i="33"/>
  <c r="E28" i="33"/>
  <c r="G19" i="33"/>
  <c r="K19" i="33"/>
  <c r="O19" i="33"/>
  <c r="S19" i="33"/>
  <c r="W19" i="33"/>
  <c r="AA19" i="33"/>
  <c r="AE19" i="33"/>
  <c r="AI19" i="33"/>
  <c r="G22" i="33"/>
  <c r="K22" i="33"/>
  <c r="O22" i="33"/>
  <c r="S22" i="33"/>
  <c r="W22" i="33"/>
  <c r="AA22" i="33"/>
  <c r="AE22" i="33"/>
  <c r="AI22" i="33"/>
  <c r="C24" i="33"/>
  <c r="D25" i="33"/>
  <c r="H25" i="33"/>
  <c r="L25" i="33"/>
  <c r="P25" i="33"/>
  <c r="T25" i="33"/>
  <c r="X25" i="33"/>
  <c r="AB25" i="33"/>
  <c r="AF25" i="33"/>
  <c r="AJ25" i="33"/>
  <c r="F28" i="33"/>
  <c r="K28" i="33"/>
  <c r="P28" i="33"/>
  <c r="V28" i="33"/>
  <c r="AA28" i="33"/>
  <c r="AF28" i="33"/>
  <c r="D31" i="33"/>
  <c r="I31" i="33"/>
  <c r="O31" i="33"/>
  <c r="T31" i="33"/>
  <c r="Y31" i="33"/>
  <c r="AE31" i="33"/>
  <c r="K34" i="33"/>
  <c r="AA34" i="33"/>
  <c r="E37" i="33"/>
  <c r="U37" i="33"/>
  <c r="C16" i="33"/>
  <c r="C18" i="33"/>
  <c r="D19" i="33"/>
  <c r="H19" i="33"/>
  <c r="L19" i="33"/>
  <c r="P19" i="33"/>
  <c r="T19" i="33"/>
  <c r="X19" i="33"/>
  <c r="AB19" i="33"/>
  <c r="AF19" i="33"/>
  <c r="AJ19" i="33"/>
  <c r="C21" i="33"/>
  <c r="D22" i="33"/>
  <c r="H22" i="33"/>
  <c r="L22" i="33"/>
  <c r="P22" i="33"/>
  <c r="T22" i="33"/>
  <c r="X22" i="33"/>
  <c r="AB22" i="33"/>
  <c r="AF22" i="33"/>
  <c r="AJ22" i="33"/>
  <c r="E25" i="33"/>
  <c r="I25" i="33"/>
  <c r="M25" i="33"/>
  <c r="Q25" i="33"/>
  <c r="U25" i="33"/>
  <c r="Y25" i="33"/>
  <c r="AC25" i="33"/>
  <c r="AG25" i="33"/>
  <c r="G28" i="33"/>
  <c r="L28" i="33"/>
  <c r="R28" i="33"/>
  <c r="W28" i="33"/>
  <c r="AB28" i="33"/>
  <c r="AH28" i="33"/>
  <c r="C30" i="33"/>
  <c r="E31" i="33"/>
  <c r="K31" i="33"/>
  <c r="P31" i="33"/>
  <c r="U31" i="33"/>
  <c r="AA31" i="33"/>
  <c r="AF31" i="33"/>
  <c r="O34" i="33"/>
  <c r="AE34" i="33"/>
  <c r="I37" i="33"/>
  <c r="Y37" i="33"/>
  <c r="E19" i="33"/>
  <c r="I19" i="33"/>
  <c r="M19" i="33"/>
  <c r="Q19" i="33"/>
  <c r="U19" i="33"/>
  <c r="Y19" i="33"/>
  <c r="AC19" i="33"/>
  <c r="AG19" i="33"/>
  <c r="E22" i="33"/>
  <c r="I22" i="33"/>
  <c r="M22" i="33"/>
  <c r="Q22" i="33"/>
  <c r="U22" i="33"/>
  <c r="Y22" i="33"/>
  <c r="AC22" i="33"/>
  <c r="AG22" i="33"/>
  <c r="F25" i="33"/>
  <c r="J25" i="33"/>
  <c r="N25" i="33"/>
  <c r="R25" i="33"/>
  <c r="V25" i="33"/>
  <c r="Z25" i="33"/>
  <c r="AD25" i="33"/>
  <c r="AH25" i="33"/>
  <c r="H28" i="33"/>
  <c r="N28" i="33"/>
  <c r="S28" i="33"/>
  <c r="X28" i="33"/>
  <c r="AD28" i="33"/>
  <c r="AI28" i="33"/>
  <c r="G31" i="33"/>
  <c r="L31" i="33"/>
  <c r="Q31" i="33"/>
  <c r="W31" i="33"/>
  <c r="AB31" i="33"/>
  <c r="AG31" i="33"/>
  <c r="S34" i="33"/>
  <c r="AI34" i="33"/>
  <c r="M37" i="33"/>
  <c r="AC37" i="33"/>
  <c r="C81" i="33"/>
  <c r="C116" i="33"/>
  <c r="C123" i="33"/>
  <c r="C129" i="33"/>
  <c r="C137" i="33"/>
  <c r="C134" i="33"/>
  <c r="C113" i="33"/>
  <c r="C119" i="33"/>
  <c r="C126" i="33"/>
  <c r="C34" i="33" l="1"/>
  <c r="A34" i="33" s="1"/>
  <c r="C40" i="33"/>
  <c r="A40" i="33" s="1"/>
  <c r="C22" i="33"/>
  <c r="A22" i="33" s="1"/>
  <c r="C25" i="33"/>
  <c r="A25" i="33" s="1"/>
  <c r="C28" i="33"/>
  <c r="A28" i="33" s="1"/>
  <c r="C19" i="33"/>
  <c r="A19" i="33" s="1"/>
  <c r="C31" i="33"/>
  <c r="A31" i="33" s="1"/>
  <c r="C37" i="33"/>
  <c r="A37" i="33" s="1"/>
  <c r="A39" i="33"/>
  <c r="A30" i="33"/>
  <c r="F48" i="33" s="1"/>
  <c r="C48" i="33" s="1"/>
  <c r="C23" i="33"/>
  <c r="A21" i="33"/>
  <c r="A27" i="33"/>
  <c r="F46" i="33" s="1"/>
  <c r="A36" i="33"/>
  <c r="F51" i="33" s="1"/>
  <c r="C51" i="33" s="1"/>
  <c r="C20" i="33"/>
  <c r="A18" i="33"/>
  <c r="A24" i="33"/>
  <c r="A33" i="33"/>
  <c r="F47" i="33" l="1"/>
  <c r="C47" i="33" s="1"/>
  <c r="A42" i="33"/>
  <c r="F50" i="33"/>
  <c r="C50" i="33" s="1"/>
  <c r="A43" i="33"/>
  <c r="C99" i="33"/>
  <c r="H92" i="33" s="1"/>
  <c r="C46" i="33"/>
  <c r="F49" i="33"/>
  <c r="F53" i="33" s="1"/>
  <c r="C49" i="33" l="1"/>
  <c r="C53" i="33" s="1"/>
  <c r="H57" i="33"/>
  <c r="H99" i="33"/>
  <c r="H88" i="33"/>
  <c r="H78" i="33"/>
  <c r="H79" i="33"/>
  <c r="H61" i="33"/>
  <c r="H81" i="33"/>
  <c r="A44" i="33"/>
  <c r="C132" i="31" l="1"/>
  <c r="C104" i="31"/>
  <c r="C4" i="31" s="1"/>
  <c r="C97" i="31"/>
  <c r="C96" i="31"/>
  <c r="C95" i="31"/>
  <c r="C94" i="31"/>
  <c r="C57" i="31"/>
  <c r="BG36" i="31"/>
  <c r="BH36" i="31"/>
  <c r="BF36" i="31"/>
  <c r="BE36" i="31"/>
  <c r="BD36" i="31"/>
  <c r="BC36" i="31"/>
  <c r="BB36" i="31"/>
  <c r="BA36" i="31"/>
  <c r="AZ36" i="31"/>
  <c r="AY36" i="31"/>
  <c r="AX36" i="31"/>
  <c r="AW36" i="31"/>
  <c r="AV36" i="31"/>
  <c r="AU36" i="31"/>
  <c r="AT36" i="31"/>
  <c r="AS36" i="31"/>
  <c r="AR36" i="31"/>
  <c r="AQ36" i="31"/>
  <c r="AP36" i="31"/>
  <c r="AO36" i="31"/>
  <c r="AN36" i="31"/>
  <c r="AM36" i="31"/>
  <c r="AL36" i="31"/>
  <c r="AK36" i="31"/>
  <c r="AJ36" i="31"/>
  <c r="AI36" i="31"/>
  <c r="AH36" i="31"/>
  <c r="AG36" i="31"/>
  <c r="AF36" i="31"/>
  <c r="AE36" i="31"/>
  <c r="AD36" i="31"/>
  <c r="AC36" i="31"/>
  <c r="AB36" i="31"/>
  <c r="AA36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W34" i="31"/>
  <c r="D4" i="31"/>
  <c r="B4" i="31"/>
  <c r="C61" i="31" l="1"/>
  <c r="C106" i="31"/>
  <c r="C131" i="31" s="1"/>
  <c r="C88" i="31"/>
  <c r="C135" i="31"/>
  <c r="C110" i="31"/>
  <c r="C138" i="31"/>
  <c r="C139" i="31" s="1"/>
  <c r="C36" i="31"/>
  <c r="C39" i="31"/>
  <c r="C33" i="31"/>
  <c r="F19" i="31"/>
  <c r="J19" i="31"/>
  <c r="N19" i="31"/>
  <c r="R19" i="31"/>
  <c r="V19" i="31"/>
  <c r="Z19" i="31"/>
  <c r="AD19" i="31"/>
  <c r="AH19" i="31"/>
  <c r="F22" i="31"/>
  <c r="J22" i="31"/>
  <c r="N22" i="31"/>
  <c r="R22" i="31"/>
  <c r="V22" i="31"/>
  <c r="Z22" i="31"/>
  <c r="AD22" i="31"/>
  <c r="AH22" i="31"/>
  <c r="G25" i="31"/>
  <c r="K25" i="31"/>
  <c r="O25" i="31"/>
  <c r="S25" i="31"/>
  <c r="W25" i="31"/>
  <c r="AA25" i="31"/>
  <c r="AE25" i="31"/>
  <c r="AI25" i="31"/>
  <c r="C27" i="31"/>
  <c r="D28" i="31"/>
  <c r="J28" i="31"/>
  <c r="O28" i="31"/>
  <c r="T28" i="31"/>
  <c r="Z28" i="31"/>
  <c r="AE28" i="31"/>
  <c r="AJ28" i="31"/>
  <c r="K31" i="31"/>
  <c r="S31" i="31"/>
  <c r="AA31" i="31"/>
  <c r="AI31" i="31"/>
  <c r="G34" i="31"/>
  <c r="AI40" i="31"/>
  <c r="AE40" i="31"/>
  <c r="AA40" i="31"/>
  <c r="W40" i="31"/>
  <c r="S40" i="31"/>
  <c r="O40" i="31"/>
  <c r="K40" i="31"/>
  <c r="G40" i="31"/>
  <c r="AG37" i="31"/>
  <c r="AC37" i="31"/>
  <c r="Y37" i="31"/>
  <c r="U37" i="31"/>
  <c r="Q37" i="31"/>
  <c r="M37" i="31"/>
  <c r="I37" i="31"/>
  <c r="E37" i="31"/>
  <c r="AH40" i="31"/>
  <c r="AD40" i="31"/>
  <c r="Z40" i="31"/>
  <c r="V40" i="31"/>
  <c r="R40" i="31"/>
  <c r="N40" i="31"/>
  <c r="J40" i="31"/>
  <c r="F40" i="31"/>
  <c r="AJ37" i="31"/>
  <c r="AF37" i="31"/>
  <c r="AB37" i="31"/>
  <c r="X37" i="31"/>
  <c r="T37" i="31"/>
  <c r="P37" i="31"/>
  <c r="L37" i="31"/>
  <c r="H37" i="31"/>
  <c r="D37" i="31"/>
  <c r="AH34" i="31"/>
  <c r="AD34" i="31"/>
  <c r="Z34" i="31"/>
  <c r="V34" i="31"/>
  <c r="R34" i="31"/>
  <c r="N34" i="31"/>
  <c r="J34" i="31"/>
  <c r="F34" i="31"/>
  <c r="AJ31" i="31"/>
  <c r="AF31" i="31"/>
  <c r="AB31" i="31"/>
  <c r="X31" i="31"/>
  <c r="T31" i="31"/>
  <c r="P31" i="31"/>
  <c r="L31" i="31"/>
  <c r="H31" i="31"/>
  <c r="D31" i="31"/>
  <c r="AK40" i="31"/>
  <c r="AG40" i="31"/>
  <c r="AC40" i="31"/>
  <c r="Y40" i="31"/>
  <c r="U40" i="31"/>
  <c r="Q40" i="31"/>
  <c r="M40" i="31"/>
  <c r="I40" i="31"/>
  <c r="E40" i="31"/>
  <c r="AI37" i="31"/>
  <c r="AE37" i="31"/>
  <c r="AA37" i="31"/>
  <c r="W37" i="31"/>
  <c r="S37" i="31"/>
  <c r="O37" i="31"/>
  <c r="K37" i="31"/>
  <c r="G37" i="31"/>
  <c r="AG34" i="31"/>
  <c r="AC34" i="31"/>
  <c r="Y34" i="31"/>
  <c r="U34" i="31"/>
  <c r="Q34" i="31"/>
  <c r="M34" i="31"/>
  <c r="I34" i="31"/>
  <c r="E34" i="31"/>
  <c r="AJ40" i="31"/>
  <c r="AF40" i="31"/>
  <c r="AB40" i="31"/>
  <c r="X40" i="31"/>
  <c r="T40" i="31"/>
  <c r="P40" i="31"/>
  <c r="L40" i="31"/>
  <c r="H40" i="31"/>
  <c r="D40" i="31"/>
  <c r="AH37" i="31"/>
  <c r="AD37" i="31"/>
  <c r="Z37" i="31"/>
  <c r="V37" i="31"/>
  <c r="R37" i="31"/>
  <c r="N37" i="31"/>
  <c r="J37" i="31"/>
  <c r="F37" i="31"/>
  <c r="AJ34" i="31"/>
  <c r="AF34" i="31"/>
  <c r="AB34" i="31"/>
  <c r="X34" i="31"/>
  <c r="T34" i="31"/>
  <c r="P34" i="31"/>
  <c r="L34" i="31"/>
  <c r="H34" i="31"/>
  <c r="D34" i="31"/>
  <c r="AH31" i="31"/>
  <c r="AD31" i="31"/>
  <c r="Z31" i="31"/>
  <c r="V31" i="31"/>
  <c r="R31" i="31"/>
  <c r="N31" i="31"/>
  <c r="J31" i="31"/>
  <c r="F31" i="31"/>
  <c r="AG28" i="31"/>
  <c r="AC28" i="31"/>
  <c r="Y28" i="31"/>
  <c r="U28" i="31"/>
  <c r="Q28" i="31"/>
  <c r="M28" i="31"/>
  <c r="I28" i="31"/>
  <c r="E28" i="31"/>
  <c r="G19" i="31"/>
  <c r="K19" i="31"/>
  <c r="O19" i="31"/>
  <c r="S19" i="31"/>
  <c r="W19" i="31"/>
  <c r="AA19" i="31"/>
  <c r="AE19" i="31"/>
  <c r="AI19" i="31"/>
  <c r="G22" i="31"/>
  <c r="K22" i="31"/>
  <c r="O22" i="31"/>
  <c r="S22" i="31"/>
  <c r="W22" i="31"/>
  <c r="AA22" i="31"/>
  <c r="AE22" i="31"/>
  <c r="AI22" i="31"/>
  <c r="C24" i="31"/>
  <c r="D25" i="31"/>
  <c r="H25" i="31"/>
  <c r="L25" i="31"/>
  <c r="P25" i="31"/>
  <c r="T25" i="31"/>
  <c r="X25" i="31"/>
  <c r="AB25" i="31"/>
  <c r="AF25" i="31"/>
  <c r="AJ25" i="31"/>
  <c r="F28" i="31"/>
  <c r="K28" i="31"/>
  <c r="P28" i="31"/>
  <c r="V28" i="31"/>
  <c r="AA28" i="31"/>
  <c r="AF28" i="31"/>
  <c r="E31" i="31"/>
  <c r="M31" i="31"/>
  <c r="U31" i="31"/>
  <c r="AC31" i="31"/>
  <c r="K34" i="31"/>
  <c r="AA34" i="31"/>
  <c r="C16" i="31"/>
  <c r="C18" i="31"/>
  <c r="D19" i="31"/>
  <c r="H19" i="31"/>
  <c r="L19" i="31"/>
  <c r="P19" i="31"/>
  <c r="T19" i="31"/>
  <c r="X19" i="31"/>
  <c r="AB19" i="31"/>
  <c r="AF19" i="31"/>
  <c r="AJ19" i="31"/>
  <c r="C21" i="31"/>
  <c r="D22" i="31"/>
  <c r="H22" i="31"/>
  <c r="L22" i="31"/>
  <c r="P22" i="31"/>
  <c r="T22" i="31"/>
  <c r="X22" i="31"/>
  <c r="AB22" i="31"/>
  <c r="AF22" i="31"/>
  <c r="AJ22" i="31"/>
  <c r="E25" i="31"/>
  <c r="I25" i="31"/>
  <c r="M25" i="31"/>
  <c r="Q25" i="31"/>
  <c r="U25" i="31"/>
  <c r="Y25" i="31"/>
  <c r="AC25" i="31"/>
  <c r="AG25" i="31"/>
  <c r="G28" i="31"/>
  <c r="L28" i="31"/>
  <c r="R28" i="31"/>
  <c r="W28" i="31"/>
  <c r="AB28" i="31"/>
  <c r="AH28" i="31"/>
  <c r="C30" i="31"/>
  <c r="G31" i="31"/>
  <c r="O31" i="31"/>
  <c r="W31" i="31"/>
  <c r="AE31" i="31"/>
  <c r="O34" i="31"/>
  <c r="AE34" i="31"/>
  <c r="E19" i="31"/>
  <c r="I19" i="31"/>
  <c r="M19" i="31"/>
  <c r="Q19" i="31"/>
  <c r="U19" i="31"/>
  <c r="Y19" i="31"/>
  <c r="AC19" i="31"/>
  <c r="AG19" i="31"/>
  <c r="E22" i="31"/>
  <c r="I22" i="31"/>
  <c r="M22" i="31"/>
  <c r="Q22" i="31"/>
  <c r="U22" i="31"/>
  <c r="Y22" i="31"/>
  <c r="AC22" i="31"/>
  <c r="AG22" i="31"/>
  <c r="F25" i="31"/>
  <c r="J25" i="31"/>
  <c r="N25" i="31"/>
  <c r="R25" i="31"/>
  <c r="V25" i="31"/>
  <c r="Z25" i="31"/>
  <c r="AD25" i="31"/>
  <c r="AH25" i="31"/>
  <c r="H28" i="31"/>
  <c r="N28" i="31"/>
  <c r="S28" i="31"/>
  <c r="X28" i="31"/>
  <c r="AD28" i="31"/>
  <c r="AI28" i="31"/>
  <c r="I31" i="31"/>
  <c r="Q31" i="31"/>
  <c r="Y31" i="31"/>
  <c r="AG31" i="31"/>
  <c r="S34" i="31"/>
  <c r="AI34" i="31"/>
  <c r="C81" i="31"/>
  <c r="C123" i="31"/>
  <c r="C129" i="31"/>
  <c r="C137" i="31"/>
  <c r="C134" i="31"/>
  <c r="C113" i="31"/>
  <c r="C119" i="31"/>
  <c r="C126" i="31" l="1"/>
  <c r="C116" i="31"/>
  <c r="C28" i="31"/>
  <c r="A28" i="31" s="1"/>
  <c r="C40" i="31"/>
  <c r="A40" i="31" s="1"/>
  <c r="C34" i="31"/>
  <c r="A34" i="31" s="1"/>
  <c r="A30" i="31"/>
  <c r="F48" i="31" s="1"/>
  <c r="C48" i="31" s="1"/>
  <c r="C25" i="31"/>
  <c r="A25" i="31" s="1"/>
  <c r="C22" i="31"/>
  <c r="A22" i="31" s="1"/>
  <c r="C19" i="31"/>
  <c r="A19" i="31" s="1"/>
  <c r="A24" i="31"/>
  <c r="C31" i="31"/>
  <c r="A31" i="31" s="1"/>
  <c r="A39" i="31"/>
  <c r="C37" i="31"/>
  <c r="A37" i="31" s="1"/>
  <c r="A27" i="31"/>
  <c r="F46" i="31" s="1"/>
  <c r="C23" i="31"/>
  <c r="A21" i="31"/>
  <c r="C20" i="31"/>
  <c r="A18" i="31"/>
  <c r="F47" i="31"/>
  <c r="C47" i="31" s="1"/>
  <c r="A36" i="31"/>
  <c r="F51" i="31" s="1"/>
  <c r="C51" i="31" s="1"/>
  <c r="A33" i="31"/>
  <c r="C99" i="31" l="1"/>
  <c r="H99" i="31" s="1"/>
  <c r="F50" i="31"/>
  <c r="C50" i="31" s="1"/>
  <c r="A43" i="31"/>
  <c r="C46" i="31"/>
  <c r="C49" i="31" s="1"/>
  <c r="C53" i="31" s="1"/>
  <c r="F49" i="31"/>
  <c r="A42" i="31"/>
  <c r="A44" i="31" s="1"/>
  <c r="H61" i="31" l="1"/>
  <c r="H92" i="31"/>
  <c r="H79" i="31"/>
  <c r="H81" i="31"/>
  <c r="H78" i="31"/>
  <c r="H57" i="31"/>
  <c r="H88" i="31"/>
  <c r="F53" i="31"/>
  <c r="C132" i="29" l="1"/>
  <c r="C104" i="29"/>
  <c r="C4" i="29" s="1"/>
  <c r="C97" i="29"/>
  <c r="C96" i="29"/>
  <c r="C95" i="29"/>
  <c r="C94" i="29"/>
  <c r="C57" i="29"/>
  <c r="BG36" i="29"/>
  <c r="BC36" i="29"/>
  <c r="BH36" i="29"/>
  <c r="BF36" i="29"/>
  <c r="BE36" i="29"/>
  <c r="BD36" i="29"/>
  <c r="BB36" i="29"/>
  <c r="BA36" i="29"/>
  <c r="AZ36" i="29"/>
  <c r="AY36" i="29"/>
  <c r="AX36" i="29"/>
  <c r="AW36" i="29"/>
  <c r="AV36" i="29"/>
  <c r="AU36" i="29"/>
  <c r="AT36" i="29"/>
  <c r="AS36" i="29"/>
  <c r="AR36" i="29"/>
  <c r="AQ36" i="29"/>
  <c r="AP36" i="29"/>
  <c r="AO36" i="29"/>
  <c r="AN36" i="29"/>
  <c r="AM36" i="29"/>
  <c r="AL36" i="29"/>
  <c r="AK36" i="29"/>
  <c r="AJ36" i="29"/>
  <c r="AI36" i="29"/>
  <c r="AH36" i="29"/>
  <c r="AG36" i="29"/>
  <c r="AF36" i="29"/>
  <c r="AE36" i="29"/>
  <c r="AD36" i="29"/>
  <c r="AC36" i="29"/>
  <c r="AB36" i="29"/>
  <c r="AA36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D4" i="29"/>
  <c r="B4" i="29"/>
  <c r="C61" i="29" l="1"/>
  <c r="C106" i="29"/>
  <c r="C131" i="29" s="1"/>
  <c r="C88" i="29"/>
  <c r="C135" i="29"/>
  <c r="C110" i="29"/>
  <c r="C138" i="29"/>
  <c r="C139" i="29" s="1"/>
  <c r="AI40" i="29"/>
  <c r="AE40" i="29"/>
  <c r="AA40" i="29"/>
  <c r="W40" i="29"/>
  <c r="S40" i="29"/>
  <c r="O40" i="29"/>
  <c r="K40" i="29"/>
  <c r="G40" i="29"/>
  <c r="AH40" i="29"/>
  <c r="AD40" i="29"/>
  <c r="Z40" i="29"/>
  <c r="V40" i="29"/>
  <c r="R40" i="29"/>
  <c r="N40" i="29"/>
  <c r="J40" i="29"/>
  <c r="F40" i="29"/>
  <c r="AJ37" i="29"/>
  <c r="AF37" i="29"/>
  <c r="AB37" i="29"/>
  <c r="X37" i="29"/>
  <c r="T37" i="29"/>
  <c r="P37" i="29"/>
  <c r="L37" i="29"/>
  <c r="H37" i="29"/>
  <c r="D37" i="29"/>
  <c r="AH34" i="29"/>
  <c r="AD34" i="29"/>
  <c r="Z34" i="29"/>
  <c r="V34" i="29"/>
  <c r="AK40" i="29"/>
  <c r="AG40" i="29"/>
  <c r="AC40" i="29"/>
  <c r="Y40" i="29"/>
  <c r="U40" i="29"/>
  <c r="Q40" i="29"/>
  <c r="M40" i="29"/>
  <c r="I40" i="29"/>
  <c r="E40" i="29"/>
  <c r="AI37" i="29"/>
  <c r="AE37" i="29"/>
  <c r="AA37" i="29"/>
  <c r="W37" i="29"/>
  <c r="S37" i="29"/>
  <c r="O37" i="29"/>
  <c r="K37" i="29"/>
  <c r="G37" i="29"/>
  <c r="AJ40" i="29"/>
  <c r="AF40" i="29"/>
  <c r="AB40" i="29"/>
  <c r="X40" i="29"/>
  <c r="T40" i="29"/>
  <c r="P40" i="29"/>
  <c r="L40" i="29"/>
  <c r="H40" i="29"/>
  <c r="D40" i="29"/>
  <c r="AH37" i="29"/>
  <c r="AD37" i="29"/>
  <c r="Z37" i="29"/>
  <c r="V37" i="29"/>
  <c r="R37" i="29"/>
  <c r="N37" i="29"/>
  <c r="J37" i="29"/>
  <c r="F37" i="29"/>
  <c r="AJ34" i="29"/>
  <c r="AF34" i="29"/>
  <c r="AB34" i="29"/>
  <c r="X34" i="29"/>
  <c r="T34" i="29"/>
  <c r="P34" i="29"/>
  <c r="L34" i="29"/>
  <c r="H34" i="29"/>
  <c r="D34" i="29"/>
  <c r="AH31" i="29"/>
  <c r="AD31" i="29"/>
  <c r="Z31" i="29"/>
  <c r="V31" i="29"/>
  <c r="R31" i="29"/>
  <c r="N31" i="29"/>
  <c r="J31" i="29"/>
  <c r="F31" i="29"/>
  <c r="AG28" i="29"/>
  <c r="AC28" i="29"/>
  <c r="Y28" i="29"/>
  <c r="U28" i="29"/>
  <c r="Q28" i="29"/>
  <c r="M28" i="29"/>
  <c r="I28" i="29"/>
  <c r="E28" i="29"/>
  <c r="G19" i="29"/>
  <c r="K19" i="29"/>
  <c r="O19" i="29"/>
  <c r="S19" i="29"/>
  <c r="W19" i="29"/>
  <c r="AA19" i="29"/>
  <c r="AE19" i="29"/>
  <c r="AI19" i="29"/>
  <c r="G22" i="29"/>
  <c r="K22" i="29"/>
  <c r="O22" i="29"/>
  <c r="S22" i="29"/>
  <c r="W22" i="29"/>
  <c r="AA22" i="29"/>
  <c r="AE22" i="29"/>
  <c r="AI22" i="29"/>
  <c r="C24" i="29"/>
  <c r="D25" i="29"/>
  <c r="H25" i="29"/>
  <c r="L25" i="29"/>
  <c r="P25" i="29"/>
  <c r="T25" i="29"/>
  <c r="X25" i="29"/>
  <c r="AB25" i="29"/>
  <c r="AF25" i="29"/>
  <c r="AJ25" i="29"/>
  <c r="F28" i="29"/>
  <c r="K28" i="29"/>
  <c r="P28" i="29"/>
  <c r="V28" i="29"/>
  <c r="AA28" i="29"/>
  <c r="AF28" i="29"/>
  <c r="D31" i="29"/>
  <c r="I31" i="29"/>
  <c r="O31" i="29"/>
  <c r="T31" i="29"/>
  <c r="Y31" i="29"/>
  <c r="AE31" i="29"/>
  <c r="AJ31" i="29"/>
  <c r="I34" i="29"/>
  <c r="N34" i="29"/>
  <c r="S34" i="29"/>
  <c r="AA34" i="29"/>
  <c r="AI34" i="29"/>
  <c r="E37" i="29"/>
  <c r="U37" i="29"/>
  <c r="C16" i="29"/>
  <c r="C18" i="29"/>
  <c r="D19" i="29"/>
  <c r="H19" i="29"/>
  <c r="L19" i="29"/>
  <c r="P19" i="29"/>
  <c r="T19" i="29"/>
  <c r="X19" i="29"/>
  <c r="AB19" i="29"/>
  <c r="AF19" i="29"/>
  <c r="AJ19" i="29"/>
  <c r="C21" i="29"/>
  <c r="D22" i="29"/>
  <c r="H22" i="29"/>
  <c r="L22" i="29"/>
  <c r="P22" i="29"/>
  <c r="T22" i="29"/>
  <c r="X22" i="29"/>
  <c r="AB22" i="29"/>
  <c r="AF22" i="29"/>
  <c r="AJ22" i="29"/>
  <c r="E25" i="29"/>
  <c r="I25" i="29"/>
  <c r="M25" i="29"/>
  <c r="Q25" i="29"/>
  <c r="U25" i="29"/>
  <c r="Y25" i="29"/>
  <c r="AC25" i="29"/>
  <c r="AG25" i="29"/>
  <c r="G28" i="29"/>
  <c r="L28" i="29"/>
  <c r="R28" i="29"/>
  <c r="W28" i="29"/>
  <c r="AB28" i="29"/>
  <c r="AH28" i="29"/>
  <c r="C30" i="29"/>
  <c r="A30" i="29" s="1"/>
  <c r="F48" i="29" s="1"/>
  <c r="C48" i="29" s="1"/>
  <c r="E31" i="29"/>
  <c r="K31" i="29"/>
  <c r="P31" i="29"/>
  <c r="U31" i="29"/>
  <c r="AA31" i="29"/>
  <c r="AF31" i="29"/>
  <c r="E34" i="29"/>
  <c r="J34" i="29"/>
  <c r="O34" i="29"/>
  <c r="U34" i="29"/>
  <c r="AC34" i="29"/>
  <c r="I37" i="29"/>
  <c r="Y37" i="29"/>
  <c r="E19" i="29"/>
  <c r="I19" i="29"/>
  <c r="M19" i="29"/>
  <c r="Q19" i="29"/>
  <c r="U19" i="29"/>
  <c r="Y19" i="29"/>
  <c r="AC19" i="29"/>
  <c r="AG19" i="29"/>
  <c r="E22" i="29"/>
  <c r="I22" i="29"/>
  <c r="M22" i="29"/>
  <c r="Q22" i="29"/>
  <c r="U22" i="29"/>
  <c r="Y22" i="29"/>
  <c r="AC22" i="29"/>
  <c r="AG22" i="29"/>
  <c r="F25" i="29"/>
  <c r="J25" i="29"/>
  <c r="N25" i="29"/>
  <c r="R25" i="29"/>
  <c r="V25" i="29"/>
  <c r="Z25" i="29"/>
  <c r="AD25" i="29"/>
  <c r="AH25" i="29"/>
  <c r="H28" i="29"/>
  <c r="N28" i="29"/>
  <c r="S28" i="29"/>
  <c r="X28" i="29"/>
  <c r="AD28" i="29"/>
  <c r="AI28" i="29"/>
  <c r="G31" i="29"/>
  <c r="L31" i="29"/>
  <c r="Q31" i="29"/>
  <c r="W31" i="29"/>
  <c r="AB31" i="29"/>
  <c r="AG31" i="29"/>
  <c r="F34" i="29"/>
  <c r="K34" i="29"/>
  <c r="Q34" i="29"/>
  <c r="W34" i="29"/>
  <c r="AE34" i="29"/>
  <c r="M37" i="29"/>
  <c r="AC37" i="29"/>
  <c r="C36" i="29"/>
  <c r="C39" i="29"/>
  <c r="A39" i="29" s="1"/>
  <c r="C33" i="29"/>
  <c r="A33" i="29" s="1"/>
  <c r="F19" i="29"/>
  <c r="J19" i="29"/>
  <c r="N19" i="29"/>
  <c r="R19" i="29"/>
  <c r="V19" i="29"/>
  <c r="Z19" i="29"/>
  <c r="AD19" i="29"/>
  <c r="AH19" i="29"/>
  <c r="F22" i="29"/>
  <c r="J22" i="29"/>
  <c r="N22" i="29"/>
  <c r="R22" i="29"/>
  <c r="V22" i="29"/>
  <c r="Z22" i="29"/>
  <c r="AD22" i="29"/>
  <c r="AH22" i="29"/>
  <c r="G25" i="29"/>
  <c r="K25" i="29"/>
  <c r="O25" i="29"/>
  <c r="S25" i="29"/>
  <c r="W25" i="29"/>
  <c r="AA25" i="29"/>
  <c r="AE25" i="29"/>
  <c r="AI25" i="29"/>
  <c r="C27" i="29"/>
  <c r="A27" i="29" s="1"/>
  <c r="F46" i="29" s="1"/>
  <c r="D28" i="29"/>
  <c r="J28" i="29"/>
  <c r="O28" i="29"/>
  <c r="T28" i="29"/>
  <c r="Z28" i="29"/>
  <c r="AE28" i="29"/>
  <c r="AJ28" i="29"/>
  <c r="H31" i="29"/>
  <c r="M31" i="29"/>
  <c r="S31" i="29"/>
  <c r="X31" i="29"/>
  <c r="AC31" i="29"/>
  <c r="AI31" i="29"/>
  <c r="G34" i="29"/>
  <c r="M34" i="29"/>
  <c r="R34" i="29"/>
  <c r="Y34" i="29"/>
  <c r="AG34" i="29"/>
  <c r="Q37" i="29"/>
  <c r="AG37" i="29"/>
  <c r="C81" i="29"/>
  <c r="C116" i="29"/>
  <c r="C123" i="29"/>
  <c r="C129" i="29"/>
  <c r="C137" i="29"/>
  <c r="C134" i="29"/>
  <c r="C113" i="29"/>
  <c r="C126" i="29"/>
  <c r="C119" i="29" l="1"/>
  <c r="C40" i="29"/>
  <c r="A40" i="29" s="1"/>
  <c r="C28" i="29"/>
  <c r="A28" i="29" s="1"/>
  <c r="C19" i="29"/>
  <c r="A19" i="29" s="1"/>
  <c r="C34" i="29"/>
  <c r="A34" i="29" s="1"/>
  <c r="C31" i="29"/>
  <c r="A31" i="29" s="1"/>
  <c r="C25" i="29"/>
  <c r="A25" i="29" s="1"/>
  <c r="C22" i="29"/>
  <c r="A22" i="29" s="1"/>
  <c r="C37" i="29"/>
  <c r="A37" i="29" s="1"/>
  <c r="A36" i="29"/>
  <c r="F51" i="29" s="1"/>
  <c r="C51" i="29" s="1"/>
  <c r="A21" i="29"/>
  <c r="C23" i="29"/>
  <c r="A24" i="29"/>
  <c r="C99" i="29"/>
  <c r="H81" i="29" s="1"/>
  <c r="A18" i="29"/>
  <c r="C20" i="29"/>
  <c r="C46" i="29"/>
  <c r="H57" i="29" l="1"/>
  <c r="F50" i="29"/>
  <c r="C50" i="29" s="1"/>
  <c r="A43" i="29"/>
  <c r="H99" i="29"/>
  <c r="H79" i="29"/>
  <c r="H88" i="29"/>
  <c r="H78" i="29"/>
  <c r="H61" i="29"/>
  <c r="F47" i="29"/>
  <c r="A42" i="29"/>
  <c r="H92" i="29"/>
  <c r="A44" i="29" l="1"/>
  <c r="C47" i="29"/>
  <c r="C49" i="29" s="1"/>
  <c r="C53" i="29" s="1"/>
  <c r="F49" i="29"/>
  <c r="F53" i="29" s="1"/>
  <c r="C104" i="23" l="1"/>
  <c r="C4" i="23" s="1"/>
  <c r="C97" i="23"/>
  <c r="C96" i="23"/>
  <c r="C95" i="23"/>
  <c r="C94" i="23"/>
  <c r="C57" i="23"/>
  <c r="BH36" i="23"/>
  <c r="AB36" i="23"/>
  <c r="BG36" i="23"/>
  <c r="BF36" i="23"/>
  <c r="BE36" i="23"/>
  <c r="BD36" i="23"/>
  <c r="BC36" i="23"/>
  <c r="BB36" i="23"/>
  <c r="BA36" i="23"/>
  <c r="AZ36" i="23"/>
  <c r="AY36" i="23"/>
  <c r="AX36" i="23"/>
  <c r="AW36" i="23"/>
  <c r="AV36" i="23"/>
  <c r="AU36" i="23"/>
  <c r="AT36" i="23"/>
  <c r="AS36" i="23"/>
  <c r="AR36" i="23"/>
  <c r="AQ36" i="23"/>
  <c r="AP36" i="23"/>
  <c r="AO36" i="23"/>
  <c r="AN36" i="23"/>
  <c r="AM36" i="23"/>
  <c r="AL36" i="23"/>
  <c r="AK36" i="23"/>
  <c r="AJ36" i="23"/>
  <c r="AI36" i="23"/>
  <c r="AH36" i="23"/>
  <c r="AG36" i="23"/>
  <c r="AF36" i="23"/>
  <c r="AE36" i="23"/>
  <c r="AD36" i="23"/>
  <c r="AC36" i="23"/>
  <c r="AA36" i="23"/>
  <c r="Z36" i="23"/>
  <c r="Y36" i="23"/>
  <c r="X36" i="23"/>
  <c r="W36" i="23"/>
  <c r="V36" i="23"/>
  <c r="U36" i="23"/>
  <c r="T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G34" i="23"/>
  <c r="D4" i="23"/>
  <c r="B4" i="23"/>
  <c r="C61" i="23" l="1"/>
  <c r="O28" i="23"/>
  <c r="AE28" i="23"/>
  <c r="J19" i="23"/>
  <c r="AH22" i="23"/>
  <c r="N19" i="23"/>
  <c r="AD19" i="23"/>
  <c r="F22" i="23"/>
  <c r="V22" i="23"/>
  <c r="S25" i="23"/>
  <c r="AI25" i="23"/>
  <c r="J28" i="23"/>
  <c r="D28" i="23"/>
  <c r="AI31" i="23"/>
  <c r="Z19" i="23"/>
  <c r="R22" i="23"/>
  <c r="O25" i="23"/>
  <c r="AE25" i="23"/>
  <c r="AA31" i="23"/>
  <c r="W34" i="23"/>
  <c r="R19" i="23"/>
  <c r="AH19" i="23"/>
  <c r="J22" i="23"/>
  <c r="Z22" i="23"/>
  <c r="G25" i="23"/>
  <c r="W25" i="23"/>
  <c r="T28" i="23"/>
  <c r="K31" i="23"/>
  <c r="C88" i="23"/>
  <c r="C132" i="23"/>
  <c r="C135" i="23"/>
  <c r="F19" i="23"/>
  <c r="V19" i="23"/>
  <c r="N22" i="23"/>
  <c r="AD22" i="23"/>
  <c r="K25" i="23"/>
  <c r="AA25" i="23"/>
  <c r="Z28" i="23"/>
  <c r="AJ28" i="23"/>
  <c r="S31" i="23"/>
  <c r="C110" i="23"/>
  <c r="C106" i="23"/>
  <c r="C131" i="23" s="1"/>
  <c r="C138" i="23"/>
  <c r="C139" i="23" s="1"/>
  <c r="C36" i="23"/>
  <c r="C39" i="23"/>
  <c r="C33" i="23"/>
  <c r="C27" i="23"/>
  <c r="AI40" i="23"/>
  <c r="AE40" i="23"/>
  <c r="AA40" i="23"/>
  <c r="W40" i="23"/>
  <c r="S40" i="23"/>
  <c r="O40" i="23"/>
  <c r="K40" i="23"/>
  <c r="G40" i="23"/>
  <c r="AG37" i="23"/>
  <c r="AC37" i="23"/>
  <c r="Y37" i="23"/>
  <c r="U37" i="23"/>
  <c r="Q37" i="23"/>
  <c r="M37" i="23"/>
  <c r="I37" i="23"/>
  <c r="E37" i="23"/>
  <c r="AH40" i="23"/>
  <c r="AD40" i="23"/>
  <c r="Z40" i="23"/>
  <c r="V40" i="23"/>
  <c r="R40" i="23"/>
  <c r="N40" i="23"/>
  <c r="J40" i="23"/>
  <c r="F40" i="23"/>
  <c r="AJ37" i="23"/>
  <c r="AF37" i="23"/>
  <c r="AB37" i="23"/>
  <c r="X37" i="23"/>
  <c r="T37" i="23"/>
  <c r="P37" i="23"/>
  <c r="L37" i="23"/>
  <c r="H37" i="23"/>
  <c r="D37" i="23"/>
  <c r="AH34" i="23"/>
  <c r="AD34" i="23"/>
  <c r="Z34" i="23"/>
  <c r="V34" i="23"/>
  <c r="R34" i="23"/>
  <c r="N34" i="23"/>
  <c r="J34" i="23"/>
  <c r="F34" i="23"/>
  <c r="AJ31" i="23"/>
  <c r="AF31" i="23"/>
  <c r="AB31" i="23"/>
  <c r="X31" i="23"/>
  <c r="T31" i="23"/>
  <c r="P31" i="23"/>
  <c r="L31" i="23"/>
  <c r="H31" i="23"/>
  <c r="D31" i="23"/>
  <c r="AK40" i="23"/>
  <c r="AG40" i="23"/>
  <c r="AC40" i="23"/>
  <c r="Y40" i="23"/>
  <c r="U40" i="23"/>
  <c r="Q40" i="23"/>
  <c r="M40" i="23"/>
  <c r="I40" i="23"/>
  <c r="E40" i="23"/>
  <c r="AI37" i="23"/>
  <c r="AE37" i="23"/>
  <c r="AA37" i="23"/>
  <c r="W37" i="23"/>
  <c r="S37" i="23"/>
  <c r="O37" i="23"/>
  <c r="K37" i="23"/>
  <c r="G37" i="23"/>
  <c r="AG34" i="23"/>
  <c r="AC34" i="23"/>
  <c r="Y34" i="23"/>
  <c r="U34" i="23"/>
  <c r="Q34" i="23"/>
  <c r="M34" i="23"/>
  <c r="I34" i="23"/>
  <c r="E34" i="23"/>
  <c r="AJ40" i="23"/>
  <c r="AF40" i="23"/>
  <c r="AB40" i="23"/>
  <c r="X40" i="23"/>
  <c r="T40" i="23"/>
  <c r="P40" i="23"/>
  <c r="L40" i="23"/>
  <c r="H40" i="23"/>
  <c r="D40" i="23"/>
  <c r="AH37" i="23"/>
  <c r="AD37" i="23"/>
  <c r="Z37" i="23"/>
  <c r="V37" i="23"/>
  <c r="R37" i="23"/>
  <c r="N37" i="23"/>
  <c r="J37" i="23"/>
  <c r="F37" i="23"/>
  <c r="AJ34" i="23"/>
  <c r="AF34" i="23"/>
  <c r="AB34" i="23"/>
  <c r="X34" i="23"/>
  <c r="T34" i="23"/>
  <c r="P34" i="23"/>
  <c r="L34" i="23"/>
  <c r="H34" i="23"/>
  <c r="D34" i="23"/>
  <c r="AH31" i="23"/>
  <c r="AD31" i="23"/>
  <c r="Z31" i="23"/>
  <c r="V31" i="23"/>
  <c r="R31" i="23"/>
  <c r="N31" i="23"/>
  <c r="J31" i="23"/>
  <c r="F31" i="23"/>
  <c r="AG28" i="23"/>
  <c r="AC28" i="23"/>
  <c r="Y28" i="23"/>
  <c r="U28" i="23"/>
  <c r="Q28" i="23"/>
  <c r="M28" i="23"/>
  <c r="I28" i="23"/>
  <c r="E28" i="23"/>
  <c r="G19" i="23"/>
  <c r="K19" i="23"/>
  <c r="O19" i="23"/>
  <c r="S19" i="23"/>
  <c r="W19" i="23"/>
  <c r="AA19" i="23"/>
  <c r="AE19" i="23"/>
  <c r="AI19" i="23"/>
  <c r="G22" i="23"/>
  <c r="K22" i="23"/>
  <c r="O22" i="23"/>
  <c r="S22" i="23"/>
  <c r="W22" i="23"/>
  <c r="AA22" i="23"/>
  <c r="AE22" i="23"/>
  <c r="AI22" i="23"/>
  <c r="C24" i="23"/>
  <c r="D25" i="23"/>
  <c r="H25" i="23"/>
  <c r="L25" i="23"/>
  <c r="P25" i="23"/>
  <c r="T25" i="23"/>
  <c r="X25" i="23"/>
  <c r="AB25" i="23"/>
  <c r="AF25" i="23"/>
  <c r="AJ25" i="23"/>
  <c r="F28" i="23"/>
  <c r="K28" i="23"/>
  <c r="P28" i="23"/>
  <c r="V28" i="23"/>
  <c r="AA28" i="23"/>
  <c r="AF28" i="23"/>
  <c r="E31" i="23"/>
  <c r="M31" i="23"/>
  <c r="U31" i="23"/>
  <c r="AC31" i="23"/>
  <c r="K34" i="23"/>
  <c r="AA34" i="23"/>
  <c r="C16" i="23"/>
  <c r="C18" i="23"/>
  <c r="D19" i="23"/>
  <c r="H19" i="23"/>
  <c r="L19" i="23"/>
  <c r="P19" i="23"/>
  <c r="T19" i="23"/>
  <c r="X19" i="23"/>
  <c r="AB19" i="23"/>
  <c r="AF19" i="23"/>
  <c r="AJ19" i="23"/>
  <c r="C21" i="23"/>
  <c r="D22" i="23"/>
  <c r="H22" i="23"/>
  <c r="L22" i="23"/>
  <c r="P22" i="23"/>
  <c r="T22" i="23"/>
  <c r="X22" i="23"/>
  <c r="AB22" i="23"/>
  <c r="AF22" i="23"/>
  <c r="AJ22" i="23"/>
  <c r="E25" i="23"/>
  <c r="I25" i="23"/>
  <c r="M25" i="23"/>
  <c r="Q25" i="23"/>
  <c r="U25" i="23"/>
  <c r="Y25" i="23"/>
  <c r="AC25" i="23"/>
  <c r="AG25" i="23"/>
  <c r="G28" i="23"/>
  <c r="L28" i="23"/>
  <c r="R28" i="23"/>
  <c r="W28" i="23"/>
  <c r="AB28" i="23"/>
  <c r="AH28" i="23"/>
  <c r="C30" i="23"/>
  <c r="G31" i="23"/>
  <c r="O31" i="23"/>
  <c r="W31" i="23"/>
  <c r="AE31" i="23"/>
  <c r="O34" i="23"/>
  <c r="AE34" i="23"/>
  <c r="E19" i="23"/>
  <c r="I19" i="23"/>
  <c r="M19" i="23"/>
  <c r="Q19" i="23"/>
  <c r="U19" i="23"/>
  <c r="Y19" i="23"/>
  <c r="AC19" i="23"/>
  <c r="AG19" i="23"/>
  <c r="E22" i="23"/>
  <c r="I22" i="23"/>
  <c r="M22" i="23"/>
  <c r="Q22" i="23"/>
  <c r="U22" i="23"/>
  <c r="Y22" i="23"/>
  <c r="AC22" i="23"/>
  <c r="AG22" i="23"/>
  <c r="F25" i="23"/>
  <c r="J25" i="23"/>
  <c r="N25" i="23"/>
  <c r="R25" i="23"/>
  <c r="V25" i="23"/>
  <c r="Z25" i="23"/>
  <c r="AD25" i="23"/>
  <c r="AH25" i="23"/>
  <c r="H28" i="23"/>
  <c r="N28" i="23"/>
  <c r="S28" i="23"/>
  <c r="X28" i="23"/>
  <c r="AD28" i="23"/>
  <c r="AI28" i="23"/>
  <c r="I31" i="23"/>
  <c r="Q31" i="23"/>
  <c r="Y31" i="23"/>
  <c r="AG31" i="23"/>
  <c r="S34" i="23"/>
  <c r="AI34" i="23"/>
  <c r="C81" i="23"/>
  <c r="C116" i="23"/>
  <c r="C129" i="23"/>
  <c r="C137" i="23"/>
  <c r="C113" i="23"/>
  <c r="C16" i="43" l="1"/>
  <c r="D16" i="43"/>
  <c r="E16" i="43"/>
  <c r="A30" i="23"/>
  <c r="F48" i="23" s="1"/>
  <c r="C48" i="23" s="1"/>
  <c r="C134" i="23"/>
  <c r="C123" i="23"/>
  <c r="C126" i="23"/>
  <c r="C119" i="23"/>
  <c r="E62" i="43"/>
  <c r="D62" i="43"/>
  <c r="C62" i="43"/>
  <c r="C28" i="23"/>
  <c r="A28" i="23" s="1"/>
  <c r="C22" i="23"/>
  <c r="A22" i="23" s="1"/>
  <c r="C34" i="23"/>
  <c r="A34" i="23" s="1"/>
  <c r="C40" i="23"/>
  <c r="A40" i="23" s="1"/>
  <c r="C25" i="23"/>
  <c r="A25" i="23" s="1"/>
  <c r="C19" i="23"/>
  <c r="A19" i="23" s="1"/>
  <c r="C31" i="23"/>
  <c r="A31" i="23" s="1"/>
  <c r="A24" i="23"/>
  <c r="F47" i="23" s="1"/>
  <c r="C47" i="23" s="1"/>
  <c r="A39" i="23"/>
  <c r="C37" i="23"/>
  <c r="A37" i="23" s="1"/>
  <c r="A27" i="23"/>
  <c r="F46" i="23" s="1"/>
  <c r="C23" i="23"/>
  <c r="A21" i="23"/>
  <c r="A36" i="23"/>
  <c r="F51" i="23" s="1"/>
  <c r="C51" i="23" s="1"/>
  <c r="C20" i="23"/>
  <c r="A18" i="23"/>
  <c r="A33" i="23"/>
  <c r="C99" i="23" l="1"/>
  <c r="H99" i="23" s="1"/>
  <c r="F50" i="23"/>
  <c r="C50" i="23" s="1"/>
  <c r="A43" i="23"/>
  <c r="A42" i="23"/>
  <c r="C46" i="23"/>
  <c r="C49" i="23" s="1"/>
  <c r="C53" i="23" s="1"/>
  <c r="F49" i="23"/>
  <c r="H79" i="23" l="1"/>
  <c r="H61" i="23"/>
  <c r="H88" i="23"/>
  <c r="H92" i="23"/>
  <c r="H81" i="23"/>
  <c r="H57" i="23"/>
  <c r="H78" i="23"/>
  <c r="A44" i="23"/>
  <c r="F53" i="23"/>
  <c r="E29" i="43" l="1"/>
  <c r="F29" i="43"/>
  <c r="G29" i="43"/>
  <c r="H29" i="43"/>
  <c r="I29" i="43"/>
  <c r="D29" i="43"/>
  <c r="E31" i="43"/>
  <c r="F31" i="43"/>
  <c r="G31" i="43"/>
  <c r="H31" i="43"/>
  <c r="I31" i="43"/>
  <c r="D31" i="43"/>
  <c r="M9" i="96" l="1"/>
  <c r="M8" i="96"/>
  <c r="U8" i="96" s="1"/>
  <c r="M9" i="41"/>
  <c r="M8" i="41"/>
  <c r="M9" i="39"/>
  <c r="M8" i="39"/>
  <c r="M9" i="37"/>
  <c r="M8" i="37"/>
  <c r="M9" i="51"/>
  <c r="M8" i="51"/>
  <c r="M9" i="53"/>
  <c r="M8" i="53"/>
  <c r="M9" i="45"/>
  <c r="M8" i="45"/>
  <c r="D11" i="43"/>
  <c r="C10" i="43"/>
  <c r="D10" i="43" s="1"/>
  <c r="E10" i="43" s="1"/>
  <c r="F10" i="43" s="1"/>
  <c r="G10" i="43" s="1"/>
  <c r="H10" i="43" s="1"/>
  <c r="I10" i="43" s="1"/>
  <c r="C9" i="43"/>
  <c r="D9" i="43" s="1"/>
  <c r="E9" i="43" s="1"/>
  <c r="F9" i="43" s="1"/>
  <c r="G9" i="43" s="1"/>
  <c r="H9" i="43" s="1"/>
  <c r="I9" i="43" s="1"/>
  <c r="I59" i="43"/>
  <c r="I58" i="43"/>
  <c r="I57" i="43"/>
  <c r="I56" i="43"/>
  <c r="I54" i="43"/>
  <c r="I52" i="43"/>
  <c r="I23" i="43"/>
  <c r="I22" i="43"/>
  <c r="I21" i="43"/>
  <c r="I20" i="43"/>
  <c r="I19" i="43"/>
  <c r="I18" i="43"/>
  <c r="I17" i="43"/>
  <c r="I15" i="43"/>
  <c r="I14" i="43"/>
  <c r="I53" i="43"/>
  <c r="C14" i="97"/>
  <c r="C7" i="97"/>
  <c r="C6" i="97"/>
  <c r="C5" i="97"/>
  <c r="C10" i="97" s="1"/>
  <c r="C4" i="97"/>
  <c r="C17" i="97"/>
  <c r="J41" i="96"/>
  <c r="J40" i="96"/>
  <c r="F33" i="96"/>
  <c r="F9" i="96"/>
  <c r="F25" i="96"/>
  <c r="F21" i="96"/>
  <c r="I24" i="43" s="1"/>
  <c r="C53" i="96"/>
  <c r="H42" i="96"/>
  <c r="F42" i="96"/>
  <c r="J42" i="96" s="1"/>
  <c r="H41" i="96"/>
  <c r="F41" i="96"/>
  <c r="H40" i="96"/>
  <c r="F40" i="96"/>
  <c r="H37" i="96"/>
  <c r="F37" i="96"/>
  <c r="J37" i="96" s="1"/>
  <c r="H34" i="96"/>
  <c r="F34" i="96"/>
  <c r="J34" i="96" s="1"/>
  <c r="M12" i="96" s="1"/>
  <c r="F19" i="96"/>
  <c r="H19" i="96" s="1"/>
  <c r="H15" i="96"/>
  <c r="H12" i="96"/>
  <c r="H36" i="96" s="1"/>
  <c r="F12" i="96"/>
  <c r="C24" i="97" s="1"/>
  <c r="H9" i="96"/>
  <c r="H33" i="96" s="1"/>
  <c r="B13" i="43"/>
  <c r="B12" i="43"/>
  <c r="H39" i="96" l="1"/>
  <c r="C28" i="97"/>
  <c r="F36" i="96"/>
  <c r="M15" i="96"/>
  <c r="I36" i="43" s="1"/>
  <c r="F15" i="96"/>
  <c r="U12" i="96"/>
  <c r="I35" i="43"/>
  <c r="M20" i="96"/>
  <c r="I41" i="43" s="1"/>
  <c r="E11" i="43"/>
  <c r="C12" i="97"/>
  <c r="C15" i="97" s="1"/>
  <c r="R9" i="96"/>
  <c r="M19" i="96"/>
  <c r="I42" i="43" s="1"/>
  <c r="I51" i="43"/>
  <c r="I55" i="43"/>
  <c r="T8" i="96"/>
  <c r="V8" i="96" s="1"/>
  <c r="M18" i="96"/>
  <c r="I40" i="43" s="1"/>
  <c r="H43" i="96"/>
  <c r="F43" i="96"/>
  <c r="R13" i="96"/>
  <c r="T12" i="96"/>
  <c r="C18" i="97" l="1"/>
  <c r="C20" i="97" s="1"/>
  <c r="J33" i="96" s="1"/>
  <c r="C29" i="97"/>
  <c r="C30" i="97" s="1"/>
  <c r="U20" i="96"/>
  <c r="V12" i="96"/>
  <c r="U15" i="96"/>
  <c r="R21" i="96"/>
  <c r="T20" i="96"/>
  <c r="V20" i="96" s="1"/>
  <c r="T15" i="96"/>
  <c r="V15" i="96" s="1"/>
  <c r="R16" i="96"/>
  <c r="F11" i="43"/>
  <c r="U19" i="96"/>
  <c r="T19" i="96"/>
  <c r="J43" i="96"/>
  <c r="T18" i="96"/>
  <c r="U18" i="96"/>
  <c r="R19" i="96"/>
  <c r="R20" i="96"/>
  <c r="F39" i="96"/>
  <c r="C19" i="97" l="1"/>
  <c r="V19" i="96"/>
  <c r="V18" i="96"/>
  <c r="G11" i="43"/>
  <c r="C31" i="97"/>
  <c r="J39" i="96" s="1"/>
  <c r="M17" i="96" s="1"/>
  <c r="I39" i="43" s="1"/>
  <c r="M11" i="96"/>
  <c r="I34" i="43" s="1"/>
  <c r="M7" i="96"/>
  <c r="I32" i="43" s="1"/>
  <c r="M21" i="96"/>
  <c r="I38" i="43" s="1"/>
  <c r="I33" i="43" l="1"/>
  <c r="H11" i="43"/>
  <c r="T17" i="96"/>
  <c r="R18" i="96"/>
  <c r="U17" i="96"/>
  <c r="I46" i="43"/>
  <c r="O7" i="96"/>
  <c r="R8" i="96"/>
  <c r="Q7" i="96"/>
  <c r="U11" i="96"/>
  <c r="R12" i="96"/>
  <c r="T11" i="96"/>
  <c r="T21" i="96"/>
  <c r="R22" i="96"/>
  <c r="U21" i="96"/>
  <c r="H23" i="43"/>
  <c r="H22" i="43"/>
  <c r="H21" i="43"/>
  <c r="H20" i="43"/>
  <c r="H19" i="43"/>
  <c r="H18" i="43"/>
  <c r="H17" i="43"/>
  <c r="H15" i="43"/>
  <c r="H14" i="43"/>
  <c r="G23" i="43"/>
  <c r="G22" i="43"/>
  <c r="G21" i="43"/>
  <c r="G20" i="43"/>
  <c r="G19" i="43"/>
  <c r="G18" i="43"/>
  <c r="G17" i="43"/>
  <c r="G15" i="43"/>
  <c r="G14" i="43"/>
  <c r="F17" i="43"/>
  <c r="F15" i="43"/>
  <c r="F14" i="43"/>
  <c r="E17" i="43"/>
  <c r="E14" i="43"/>
  <c r="D17" i="43"/>
  <c r="D14" i="43"/>
  <c r="C17" i="43"/>
  <c r="C14" i="43"/>
  <c r="I11" i="43" l="1"/>
  <c r="S8" i="96"/>
  <c r="V17" i="96"/>
  <c r="Q8" i="96"/>
  <c r="V7" i="96"/>
  <c r="V11" i="96"/>
  <c r="V21" i="96"/>
  <c r="F21" i="43"/>
  <c r="F23" i="43"/>
  <c r="F22" i="43"/>
  <c r="F18" i="43"/>
  <c r="F19" i="43"/>
  <c r="F20" i="43"/>
  <c r="C19" i="43" l="1"/>
  <c r="E19" i="43"/>
  <c r="D19" i="43"/>
  <c r="E22" i="43"/>
  <c r="D22" i="43"/>
  <c r="C22" i="43"/>
  <c r="C20" i="43"/>
  <c r="E20" i="43"/>
  <c r="D20" i="43"/>
  <c r="E18" i="43"/>
  <c r="C18" i="43"/>
  <c r="D18" i="43"/>
  <c r="E21" i="43" l="1"/>
  <c r="D21" i="43"/>
  <c r="C21" i="43"/>
  <c r="D23" i="43"/>
  <c r="C23" i="43"/>
  <c r="E23" i="43"/>
  <c r="C7" i="82" l="1"/>
  <c r="C14" i="82" l="1"/>
  <c r="C17" i="82" l="1"/>
  <c r="C5" i="82"/>
  <c r="C10" i="82" l="1"/>
  <c r="C12" i="82"/>
  <c r="C6" i="82"/>
  <c r="C4" i="82"/>
  <c r="C15" i="82" l="1"/>
  <c r="P87" i="50" l="1"/>
  <c r="C27" i="58" s="1"/>
  <c r="P70" i="50"/>
  <c r="P86" i="50"/>
  <c r="C21" i="58"/>
  <c r="C35" i="58"/>
  <c r="C20" i="63" l="1"/>
  <c r="C22" i="63" s="1"/>
  <c r="C12" i="59" l="1"/>
  <c r="C14" i="56"/>
  <c r="C5" i="59"/>
  <c r="C6" i="63"/>
  <c r="C12" i="26" l="1"/>
  <c r="C12" i="58"/>
  <c r="C12" i="63"/>
  <c r="C13" i="63" s="1"/>
  <c r="C3" i="63"/>
  <c r="F22" i="51"/>
  <c r="E27" i="43" s="1"/>
  <c r="F21" i="45"/>
  <c r="C25" i="43" s="1"/>
  <c r="F22" i="53"/>
  <c r="D26" i="43" s="1"/>
  <c r="C4" i="63"/>
  <c r="C5" i="26"/>
  <c r="C5" i="63"/>
  <c r="C6" i="56"/>
  <c r="C5" i="58"/>
  <c r="C14" i="63" l="1"/>
  <c r="C15" i="63" s="1"/>
  <c r="P90" i="50" l="1"/>
  <c r="C26" i="58"/>
  <c r="P91" i="50"/>
  <c r="C25" i="58" s="1"/>
  <c r="P74" i="50"/>
  <c r="C28" i="26"/>
  <c r="P71" i="50"/>
  <c r="C27" i="26" s="1"/>
  <c r="P76" i="50"/>
  <c r="C26" i="26" s="1"/>
  <c r="P75" i="50"/>
  <c r="C25" i="26" s="1"/>
  <c r="K65" i="50" l="1"/>
  <c r="I65" i="50"/>
  <c r="G65" i="50"/>
  <c r="E65" i="50"/>
  <c r="C20" i="59"/>
  <c r="C36" i="26"/>
  <c r="H15" i="41"/>
  <c r="C28" i="82" s="1"/>
  <c r="C36" i="58" l="1"/>
  <c r="C22" i="59"/>
  <c r="C13" i="59"/>
  <c r="C6" i="59"/>
  <c r="C4" i="59"/>
  <c r="H53" i="43"/>
  <c r="G53" i="43"/>
  <c r="F53" i="43"/>
  <c r="E53" i="43"/>
  <c r="D53" i="43"/>
  <c r="C53" i="43"/>
  <c r="C14" i="59" l="1"/>
  <c r="C15" i="59" s="1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5" i="43"/>
  <c r="F45" i="43"/>
  <c r="H12" i="41"/>
  <c r="H12" i="45"/>
  <c r="F12" i="41"/>
  <c r="C24" i="82" s="1"/>
  <c r="H9" i="41"/>
  <c r="H9" i="45"/>
  <c r="H18" i="39"/>
  <c r="H17" i="39"/>
  <c r="H18" i="37"/>
  <c r="H17" i="37"/>
  <c r="E45" i="43"/>
  <c r="H18" i="51"/>
  <c r="H17" i="51"/>
  <c r="C29" i="58"/>
  <c r="C17" i="56"/>
  <c r="H10" i="53"/>
  <c r="C24" i="58"/>
  <c r="C23" i="58"/>
  <c r="C20" i="58"/>
  <c r="C16" i="58"/>
  <c r="C29" i="26"/>
  <c r="C24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32" i="58" l="1"/>
  <c r="C26" i="97"/>
  <c r="I49" i="43" s="1"/>
  <c r="C25" i="97"/>
  <c r="C88" i="50"/>
  <c r="C28" i="58"/>
  <c r="C72" i="50"/>
  <c r="J36" i="96" l="1"/>
  <c r="I45" i="43"/>
  <c r="F13" i="53"/>
  <c r="F10" i="53"/>
  <c r="C22" i="26"/>
  <c r="M14" i="96" l="1"/>
  <c r="I37" i="43" s="1"/>
  <c r="J49" i="96"/>
  <c r="J55" i="96" s="1"/>
  <c r="C24" i="50"/>
  <c r="C16" i="63" s="1"/>
  <c r="F39" i="51"/>
  <c r="F36" i="51"/>
  <c r="F37" i="51"/>
  <c r="F34" i="51"/>
  <c r="T14" i="96" l="1"/>
  <c r="R15" i="96"/>
  <c r="U14" i="96"/>
  <c r="C26" i="50"/>
  <c r="C16" i="59"/>
  <c r="C6" i="26"/>
  <c r="C7" i="56"/>
  <c r="C6" i="58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V14" i="96" l="1"/>
  <c r="C38" i="26"/>
  <c r="C32" i="26"/>
  <c r="C38" i="58"/>
  <c r="C71" i="50"/>
  <c r="D59" i="43"/>
  <c r="D54" i="43"/>
  <c r="C59" i="43"/>
  <c r="C54" i="43"/>
  <c r="F9" i="39"/>
  <c r="F9" i="37"/>
  <c r="F25" i="37"/>
  <c r="F19" i="37" s="1"/>
  <c r="H19" i="37" s="1"/>
  <c r="C4" i="58" l="1"/>
  <c r="C14" i="58" s="1"/>
  <c r="C33" i="58" s="1"/>
  <c r="C4" i="26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8" i="56" s="1"/>
  <c r="F12" i="45"/>
  <c r="C24" i="56" s="1"/>
  <c r="C34" i="58"/>
  <c r="C41" i="58" s="1"/>
  <c r="C15" i="58"/>
  <c r="F23" i="39"/>
  <c r="F17" i="39" s="1"/>
  <c r="C3" i="58"/>
  <c r="C17" i="26"/>
  <c r="C3" i="26"/>
  <c r="C4" i="56"/>
  <c r="F24" i="51"/>
  <c r="F18" i="51" s="1"/>
  <c r="P52" i="50" l="1"/>
  <c r="C26" i="82"/>
  <c r="H49" i="43" s="1"/>
  <c r="C25" i="82"/>
  <c r="C26" i="56"/>
  <c r="C49" i="43" s="1"/>
  <c r="C25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C40" i="58"/>
  <c r="C42" i="58" s="1"/>
  <c r="C46" i="43"/>
  <c r="J33" i="45"/>
  <c r="M11" i="45" s="1"/>
  <c r="C34" i="43" s="1"/>
  <c r="J36" i="45"/>
  <c r="D48" i="43" l="1"/>
  <c r="J37" i="53"/>
  <c r="M15" i="53" s="1"/>
  <c r="R12" i="45"/>
  <c r="T11" i="45"/>
  <c r="U11" i="45"/>
  <c r="C45" i="43"/>
  <c r="D58" i="43"/>
  <c r="C58" i="43"/>
  <c r="D57" i="43"/>
  <c r="C57" i="43"/>
  <c r="V11" i="45" l="1"/>
  <c r="D56" i="43" l="1"/>
  <c r="D55" i="43" s="1"/>
  <c r="C56" i="43"/>
  <c r="C55" i="43" s="1"/>
  <c r="D52" i="43" l="1"/>
  <c r="D51" i="43" s="1"/>
  <c r="C52" i="43"/>
  <c r="C51" i="43" s="1"/>
  <c r="H34" i="53" l="1"/>
  <c r="H37" i="53"/>
  <c r="F37" i="53" l="1"/>
  <c r="D36" i="43" s="1"/>
  <c r="H37" i="51"/>
  <c r="H34" i="51"/>
  <c r="F37" i="45"/>
  <c r="F34" i="45"/>
  <c r="F42" i="41"/>
  <c r="F37" i="41"/>
  <c r="F34" i="41"/>
  <c r="H59" i="43"/>
  <c r="G59" i="43"/>
  <c r="F59" i="43"/>
  <c r="E59" i="43"/>
  <c r="H54" i="43"/>
  <c r="G54" i="43"/>
  <c r="F54" i="43"/>
  <c r="E54" i="43"/>
  <c r="G58" i="43"/>
  <c r="G57" i="43"/>
  <c r="J34" i="51" l="1"/>
  <c r="M12" i="51" s="1"/>
  <c r="J37" i="51"/>
  <c r="M15" i="51" s="1"/>
  <c r="E37" i="43" s="1"/>
  <c r="F34" i="53"/>
  <c r="C29" i="63" s="1"/>
  <c r="H39" i="51"/>
  <c r="H39" i="53"/>
  <c r="J39" i="53" s="1"/>
  <c r="H41" i="51"/>
  <c r="H41" i="53"/>
  <c r="H36" i="51"/>
  <c r="H36" i="53"/>
  <c r="H42" i="51"/>
  <c r="H42" i="53"/>
  <c r="F36" i="41"/>
  <c r="F36" i="45"/>
  <c r="H41" i="45"/>
  <c r="H39" i="45"/>
  <c r="H42" i="45"/>
  <c r="H36" i="45"/>
  <c r="H37" i="45"/>
  <c r="H34" i="45"/>
  <c r="G56" i="43"/>
  <c r="G55" i="43" s="1"/>
  <c r="F40" i="41"/>
  <c r="G52" i="43"/>
  <c r="G51" i="43" s="1"/>
  <c r="J39" i="51" l="1"/>
  <c r="M17" i="51" s="1"/>
  <c r="E39" i="43" s="1"/>
  <c r="J36" i="51"/>
  <c r="M14" i="51" s="1"/>
  <c r="R15" i="51" s="1"/>
  <c r="J36" i="53"/>
  <c r="M14" i="53" s="1"/>
  <c r="M12" i="45"/>
  <c r="M17" i="53"/>
  <c r="D39" i="43" s="1"/>
  <c r="R16" i="53"/>
  <c r="T15" i="53"/>
  <c r="U15" i="53"/>
  <c r="M14" i="45"/>
  <c r="C37" i="43" s="1"/>
  <c r="M15" i="45"/>
  <c r="T15" i="51"/>
  <c r="U15" i="51"/>
  <c r="R16" i="51"/>
  <c r="U12" i="51"/>
  <c r="T12" i="51"/>
  <c r="R13" i="51"/>
  <c r="F43" i="39"/>
  <c r="H40" i="53"/>
  <c r="H37" i="41"/>
  <c r="F41" i="41"/>
  <c r="U14" i="53" l="1"/>
  <c r="R15" i="53"/>
  <c r="T14" i="53"/>
  <c r="R18" i="53"/>
  <c r="U12" i="45"/>
  <c r="T12" i="45"/>
  <c r="U17" i="53"/>
  <c r="T17" i="53"/>
  <c r="V15" i="53"/>
  <c r="T14" i="51"/>
  <c r="U14" i="51"/>
  <c r="V15" i="51"/>
  <c r="V12" i="51"/>
  <c r="U17" i="51"/>
  <c r="R18" i="51"/>
  <c r="T17" i="51"/>
  <c r="H40" i="45"/>
  <c r="H42" i="41"/>
  <c r="H41" i="41"/>
  <c r="H34" i="41"/>
  <c r="H36" i="41"/>
  <c r="V14" i="53" l="1"/>
  <c r="V12" i="45"/>
  <c r="V17" i="53"/>
  <c r="V14" i="51"/>
  <c r="H39" i="41"/>
  <c r="V17" i="51"/>
  <c r="H40" i="37"/>
  <c r="F33" i="39"/>
  <c r="H42" i="39"/>
  <c r="F42" i="39"/>
  <c r="H41" i="39"/>
  <c r="F41" i="39"/>
  <c r="H39" i="39"/>
  <c r="F39" i="39"/>
  <c r="F37" i="39"/>
  <c r="H36" i="39"/>
  <c r="F36" i="39"/>
  <c r="H34" i="39"/>
  <c r="F34" i="39"/>
  <c r="F39" i="37"/>
  <c r="J39" i="37" s="1"/>
  <c r="H42" i="37"/>
  <c r="H41" i="37"/>
  <c r="H39" i="37"/>
  <c r="F37" i="37"/>
  <c r="J37" i="37" s="1"/>
  <c r="H36" i="37"/>
  <c r="F36" i="37"/>
  <c r="H34" i="37"/>
  <c r="F34" i="37"/>
  <c r="H37" i="37"/>
  <c r="J34" i="37" l="1"/>
  <c r="M12" i="37" s="1"/>
  <c r="J36" i="37"/>
  <c r="M14" i="37" s="1"/>
  <c r="J39" i="39"/>
  <c r="M17" i="39" s="1"/>
  <c r="J41" i="39"/>
  <c r="J34" i="39"/>
  <c r="M12" i="39" s="1"/>
  <c r="J36" i="39"/>
  <c r="M14" i="39" s="1"/>
  <c r="T14" i="39" s="1"/>
  <c r="J42" i="39"/>
  <c r="M15" i="37"/>
  <c r="M17" i="37"/>
  <c r="H40" i="39"/>
  <c r="H37" i="39"/>
  <c r="J37" i="39" s="1"/>
  <c r="M15" i="39" s="1"/>
  <c r="M19" i="39" l="1"/>
  <c r="G42" i="43" s="1"/>
  <c r="M20" i="39"/>
  <c r="R21" i="39" s="1"/>
  <c r="U12" i="39"/>
  <c r="H40" i="41"/>
  <c r="U14" i="39"/>
  <c r="V14" i="39" s="1"/>
  <c r="R15" i="39"/>
  <c r="R18" i="39"/>
  <c r="U17" i="39"/>
  <c r="T17" i="39"/>
  <c r="T19" i="39" l="1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8" i="43" l="1"/>
  <c r="F57" i="43"/>
  <c r="F33" i="37" l="1"/>
  <c r="F56" i="43"/>
  <c r="F55" i="43" s="1"/>
  <c r="F52" i="43"/>
  <c r="F51" i="43" s="1"/>
  <c r="F41" i="37" l="1"/>
  <c r="J41" i="37" s="1"/>
  <c r="F42" i="37"/>
  <c r="J42" i="37" s="1"/>
  <c r="R16" i="37"/>
  <c r="U15" i="37"/>
  <c r="T15" i="37"/>
  <c r="U14" i="37"/>
  <c r="T14" i="37"/>
  <c r="R15" i="37"/>
  <c r="R18" i="37"/>
  <c r="T17" i="37"/>
  <c r="U17" i="37"/>
  <c r="M20" i="37" l="1"/>
  <c r="F41" i="43" s="1"/>
  <c r="M19" i="37"/>
  <c r="F42" i="43" s="1"/>
  <c r="V15" i="37"/>
  <c r="V17" i="37"/>
  <c r="V14" i="37"/>
  <c r="F40" i="37"/>
  <c r="R13" i="37"/>
  <c r="T12" i="37"/>
  <c r="U12" i="37"/>
  <c r="J40" i="37" l="1"/>
  <c r="M18" i="37" s="1"/>
  <c r="U20" i="37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8" i="43" l="1"/>
  <c r="E57" i="43"/>
  <c r="F33" i="51" l="1"/>
  <c r="F33" i="53"/>
  <c r="E52" i="43"/>
  <c r="E51" i="43" s="1"/>
  <c r="E56" i="43"/>
  <c r="E55" i="43" s="1"/>
  <c r="H33" i="53" l="1"/>
  <c r="J33" i="53" s="1"/>
  <c r="H33" i="51"/>
  <c r="J33" i="51" s="1"/>
  <c r="F33" i="45"/>
  <c r="F15" i="45"/>
  <c r="C29" i="56" s="1"/>
  <c r="H33" i="45"/>
  <c r="U15" i="45"/>
  <c r="T15" i="45"/>
  <c r="R16" i="45"/>
  <c r="U14" i="45"/>
  <c r="R15" i="45"/>
  <c r="T14" i="45"/>
  <c r="M7" i="45" l="1"/>
  <c r="M11" i="53"/>
  <c r="D34" i="43" s="1"/>
  <c r="F43" i="51"/>
  <c r="F43" i="53"/>
  <c r="H43" i="53"/>
  <c r="J43" i="53" s="1"/>
  <c r="F42" i="51"/>
  <c r="J42" i="51" s="1"/>
  <c r="F42" i="53"/>
  <c r="J42" i="53" s="1"/>
  <c r="H33" i="39"/>
  <c r="J33" i="39" s="1"/>
  <c r="H33" i="37"/>
  <c r="J33" i="37" s="1"/>
  <c r="H43" i="45"/>
  <c r="H43" i="51"/>
  <c r="J43" i="51" s="1"/>
  <c r="F42" i="45"/>
  <c r="H43" i="39"/>
  <c r="J43" i="39" s="1"/>
  <c r="F43" i="45"/>
  <c r="F43" i="37"/>
  <c r="H43" i="37"/>
  <c r="J43" i="37" s="1"/>
  <c r="V15" i="45"/>
  <c r="V14" i="45"/>
  <c r="J43" i="45" l="1"/>
  <c r="J42" i="45"/>
  <c r="M20" i="45" s="1"/>
  <c r="C41" i="43" s="1"/>
  <c r="C31" i="56"/>
  <c r="J39" i="45" s="1"/>
  <c r="C30" i="56"/>
  <c r="M7" i="51"/>
  <c r="M7" i="53"/>
  <c r="D32" i="43" s="1"/>
  <c r="M21" i="37"/>
  <c r="F38" i="43" s="1"/>
  <c r="F33" i="43" s="1"/>
  <c r="M21" i="39"/>
  <c r="G38" i="43" s="1"/>
  <c r="G33" i="43" s="1"/>
  <c r="M20" i="53"/>
  <c r="D41" i="43" s="1"/>
  <c r="M20" i="51"/>
  <c r="E41" i="43" s="1"/>
  <c r="J51" i="37"/>
  <c r="M7" i="37" s="1"/>
  <c r="M11" i="37"/>
  <c r="F34" i="43" s="1"/>
  <c r="J51" i="39"/>
  <c r="M7" i="39" s="1"/>
  <c r="M11" i="39"/>
  <c r="G34" i="43" s="1"/>
  <c r="M11" i="51"/>
  <c r="E34" i="43" s="1"/>
  <c r="T11" i="53"/>
  <c r="U11" i="53"/>
  <c r="R12" i="53"/>
  <c r="F39" i="45"/>
  <c r="F40" i="45"/>
  <c r="M18" i="45" s="1"/>
  <c r="C40" i="43" s="1"/>
  <c r="M17" i="45" l="1"/>
  <c r="C39" i="43" s="1"/>
  <c r="O7" i="37"/>
  <c r="F32" i="43"/>
  <c r="R8" i="37"/>
  <c r="Q7" i="37"/>
  <c r="V7" i="37" s="1"/>
  <c r="O7" i="39"/>
  <c r="R8" i="39"/>
  <c r="G32" i="43"/>
  <c r="Q7" i="39"/>
  <c r="V7" i="39" s="1"/>
  <c r="O7" i="51"/>
  <c r="Q7" i="51"/>
  <c r="V7" i="51" s="1"/>
  <c r="E32" i="43"/>
  <c r="R8" i="51"/>
  <c r="O7" i="53"/>
  <c r="R8" i="53"/>
  <c r="Q7" i="53"/>
  <c r="J49" i="37"/>
  <c r="J55" i="37" s="1"/>
  <c r="T20" i="53"/>
  <c r="R21" i="51"/>
  <c r="U20" i="51"/>
  <c r="U20" i="53"/>
  <c r="T20" i="51"/>
  <c r="R21" i="53"/>
  <c r="M21" i="53"/>
  <c r="D38" i="43" s="1"/>
  <c r="M21" i="51"/>
  <c r="E38" i="43" s="1"/>
  <c r="M21" i="45"/>
  <c r="C38" i="43" s="1"/>
  <c r="V11" i="53"/>
  <c r="H33" i="41"/>
  <c r="F41" i="51"/>
  <c r="J41" i="51" s="1"/>
  <c r="F41" i="53"/>
  <c r="R21" i="45"/>
  <c r="T11" i="51"/>
  <c r="U11" i="51"/>
  <c r="R12" i="51"/>
  <c r="T20" i="45"/>
  <c r="R22" i="39"/>
  <c r="T21" i="39"/>
  <c r="U21" i="39"/>
  <c r="F41" i="45"/>
  <c r="J41" i="45" s="1"/>
  <c r="C14" i="26"/>
  <c r="C33" i="26" s="1"/>
  <c r="R12" i="37"/>
  <c r="U11" i="37"/>
  <c r="T11" i="37"/>
  <c r="J41" i="53" l="1"/>
  <c r="M19" i="53" s="1"/>
  <c r="D42" i="43" s="1"/>
  <c r="I28" i="43"/>
  <c r="C34" i="26"/>
  <c r="C15" i="26"/>
  <c r="V7" i="53"/>
  <c r="V20" i="53"/>
  <c r="T21" i="53"/>
  <c r="K57" i="50"/>
  <c r="V20" i="51"/>
  <c r="R22" i="45"/>
  <c r="R22" i="53"/>
  <c r="U21" i="53"/>
  <c r="M19" i="51"/>
  <c r="E42" i="43" s="1"/>
  <c r="M19" i="45"/>
  <c r="C42" i="43" s="1"/>
  <c r="C33" i="43" s="1"/>
  <c r="J49" i="45"/>
  <c r="J55" i="45" s="1"/>
  <c r="K47" i="50"/>
  <c r="C32" i="43"/>
  <c r="U17" i="45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C39" i="26" l="1"/>
  <c r="C41" i="26"/>
  <c r="U9" i="96"/>
  <c r="T9" i="96"/>
  <c r="V9" i="96" s="1"/>
  <c r="M10" i="96"/>
  <c r="Q9" i="96"/>
  <c r="S9" i="96"/>
  <c r="F28" i="43"/>
  <c r="D28" i="43"/>
  <c r="C28" i="43"/>
  <c r="G28" i="43"/>
  <c r="T9" i="41"/>
  <c r="U9" i="41"/>
  <c r="T9" i="51"/>
  <c r="U9" i="51"/>
  <c r="T9" i="39"/>
  <c r="U9" i="39"/>
  <c r="U9" i="37"/>
  <c r="T9" i="37"/>
  <c r="R10" i="45"/>
  <c r="U9" i="45"/>
  <c r="R13" i="45"/>
  <c r="T9" i="45"/>
  <c r="E28" i="43"/>
  <c r="T9" i="53"/>
  <c r="U9" i="53"/>
  <c r="Q8" i="45"/>
  <c r="V7" i="45"/>
  <c r="V21" i="53"/>
  <c r="T19" i="51"/>
  <c r="R20" i="51"/>
  <c r="U19" i="51"/>
  <c r="K46" i="50"/>
  <c r="K56" i="50"/>
  <c r="V17" i="45"/>
  <c r="T18" i="45"/>
  <c r="R20" i="53"/>
  <c r="U19" i="53"/>
  <c r="T19" i="53"/>
  <c r="R19" i="45"/>
  <c r="U18" i="45"/>
  <c r="V21" i="45"/>
  <c r="V21" i="51"/>
  <c r="V21" i="37"/>
  <c r="V11" i="39"/>
  <c r="O10" i="96" l="1"/>
  <c r="M13" i="96"/>
  <c r="M16" i="96" s="1"/>
  <c r="R11" i="96"/>
  <c r="Q10" i="96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V19" i="51"/>
  <c r="S8" i="45"/>
  <c r="V18" i="45"/>
  <c r="V19" i="53"/>
  <c r="R20" i="45"/>
  <c r="T19" i="45"/>
  <c r="U19" i="45"/>
  <c r="V10" i="96" l="1"/>
  <c r="Q11" i="96"/>
  <c r="Q12" i="96" s="1"/>
  <c r="U13" i="96"/>
  <c r="R14" i="96"/>
  <c r="O13" i="96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M16" i="45" s="1"/>
  <c r="U10" i="45"/>
  <c r="V8" i="39"/>
  <c r="Q10" i="37"/>
  <c r="O10" i="37"/>
  <c r="R11" i="37"/>
  <c r="M13" i="37"/>
  <c r="S9" i="37"/>
  <c r="Q10" i="45"/>
  <c r="C40" i="26"/>
  <c r="C42" i="26" s="1"/>
  <c r="V19" i="45"/>
  <c r="J34" i="53" l="1"/>
  <c r="D47" i="43"/>
  <c r="S11" i="96"/>
  <c r="S12" i="96" s="1"/>
  <c r="O16" i="96"/>
  <c r="R17" i="96"/>
  <c r="M22" i="96"/>
  <c r="I44" i="43" s="1"/>
  <c r="U16" i="96"/>
  <c r="Q13" i="96"/>
  <c r="S11" i="51"/>
  <c r="S11" i="39"/>
  <c r="R14" i="45"/>
  <c r="U13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M12" i="53" l="1"/>
  <c r="D35" i="43" s="1"/>
  <c r="D45" i="43"/>
  <c r="I63" i="43"/>
  <c r="I61" i="43"/>
  <c r="Q14" i="96"/>
  <c r="V13" i="96"/>
  <c r="O22" i="96"/>
  <c r="U22" i="96"/>
  <c r="Q13" i="39"/>
  <c r="V13" i="39" s="1"/>
  <c r="S12" i="37"/>
  <c r="Q13" i="37"/>
  <c r="S14" i="37" s="1"/>
  <c r="R17" i="39"/>
  <c r="U16" i="39"/>
  <c r="O16" i="39"/>
  <c r="R17" i="45"/>
  <c r="O16" i="45"/>
  <c r="U16" i="45"/>
  <c r="M22" i="45"/>
  <c r="C44" i="43" s="1"/>
  <c r="O16" i="51"/>
  <c r="U16" i="51"/>
  <c r="R17" i="51"/>
  <c r="M22" i="37"/>
  <c r="F44" i="43" s="1"/>
  <c r="U16" i="37"/>
  <c r="R17" i="37"/>
  <c r="O16" i="37"/>
  <c r="Q12" i="51"/>
  <c r="Q13" i="51" s="1"/>
  <c r="S12" i="51"/>
  <c r="S12" i="39"/>
  <c r="Q12" i="45"/>
  <c r="Q13" i="45" s="1"/>
  <c r="S11" i="45"/>
  <c r="S12" i="45" s="1"/>
  <c r="R13" i="53"/>
  <c r="U12" i="53"/>
  <c r="T12" i="53"/>
  <c r="M13" i="53"/>
  <c r="M16" i="53" s="1"/>
  <c r="Q12" i="53"/>
  <c r="S12" i="53" s="1"/>
  <c r="C61" i="43" l="1"/>
  <c r="C63" i="43"/>
  <c r="F61" i="43"/>
  <c r="F63" i="43"/>
  <c r="S14" i="39"/>
  <c r="Q14" i="39"/>
  <c r="Q15" i="39" s="1"/>
  <c r="Q16" i="39" s="1"/>
  <c r="I12" i="43"/>
  <c r="Q15" i="96"/>
  <c r="Q16" i="96" s="1"/>
  <c r="S14" i="96"/>
  <c r="S15" i="96" s="1"/>
  <c r="V13" i="37"/>
  <c r="Q14" i="37"/>
  <c r="S15" i="37" s="1"/>
  <c r="S14" i="51"/>
  <c r="V13" i="51"/>
  <c r="Q14" i="51"/>
  <c r="O22" i="37"/>
  <c r="U22" i="37"/>
  <c r="U22" i="45"/>
  <c r="O22" i="45"/>
  <c r="Q14" i="45"/>
  <c r="V13" i="45"/>
  <c r="R14" i="53"/>
  <c r="O13" i="53"/>
  <c r="Q13" i="53" s="1"/>
  <c r="U13" i="53"/>
  <c r="V12" i="53"/>
  <c r="I60" i="43" l="1"/>
  <c r="I50" i="43" s="1"/>
  <c r="I65" i="43" s="1"/>
  <c r="S15" i="39"/>
  <c r="C12" i="43"/>
  <c r="V16" i="96"/>
  <c r="Q17" i="96"/>
  <c r="I43" i="43"/>
  <c r="F12" i="43"/>
  <c r="Q15" i="37"/>
  <c r="Q16" i="37" s="1"/>
  <c r="S17" i="37" s="1"/>
  <c r="V16" i="39"/>
  <c r="Q17" i="39"/>
  <c r="S17" i="39"/>
  <c r="Q15" i="51"/>
  <c r="Q16" i="51" s="1"/>
  <c r="S15" i="51"/>
  <c r="S14" i="45"/>
  <c r="S15" i="45" s="1"/>
  <c r="Q15" i="45"/>
  <c r="Q16" i="45" s="1"/>
  <c r="V13" i="53"/>
  <c r="Q14" i="53"/>
  <c r="S14" i="53"/>
  <c r="U16" i="53"/>
  <c r="O16" i="53"/>
  <c r="R17" i="53"/>
  <c r="I66" i="43" l="1"/>
  <c r="I68" i="43" s="1"/>
  <c r="I13" i="43" s="1"/>
  <c r="C60" i="43"/>
  <c r="C50" i="43" s="1"/>
  <c r="C65" i="43" s="1"/>
  <c r="F60" i="43"/>
  <c r="F50" i="43" s="1"/>
  <c r="F65" i="43" s="1"/>
  <c r="Q18" i="96"/>
  <c r="S17" i="96"/>
  <c r="S18" i="96" s="1"/>
  <c r="V16" i="37"/>
  <c r="Q17" i="37"/>
  <c r="Q18" i="37" s="1"/>
  <c r="C43" i="43"/>
  <c r="F43" i="43"/>
  <c r="V16" i="51"/>
  <c r="Q17" i="51"/>
  <c r="S17" i="51"/>
  <c r="Q17" i="45"/>
  <c r="Q18" i="45" s="1"/>
  <c r="V16" i="45"/>
  <c r="Q15" i="53"/>
  <c r="Q16" i="53" s="1"/>
  <c r="S17" i="53" s="1"/>
  <c r="I67" i="43" l="1"/>
  <c r="S17" i="45"/>
  <c r="S18" i="45" s="1"/>
  <c r="C66" i="43"/>
  <c r="C68" i="43" s="1"/>
  <c r="F66" i="43"/>
  <c r="F68" i="43" s="1"/>
  <c r="Q19" i="96"/>
  <c r="S19" i="96"/>
  <c r="S18" i="37"/>
  <c r="Q19" i="37"/>
  <c r="Q20" i="37" s="1"/>
  <c r="Q21" i="37" s="1"/>
  <c r="Q19" i="45"/>
  <c r="Q20" i="45" s="1"/>
  <c r="Q21" i="45" s="1"/>
  <c r="S15" i="53"/>
  <c r="V16" i="53"/>
  <c r="Q17" i="53"/>
  <c r="F67" i="43" l="1"/>
  <c r="C67" i="43"/>
  <c r="C13" i="43"/>
  <c r="F13" i="43"/>
  <c r="S19" i="37"/>
  <c r="S20" i="37" s="1"/>
  <c r="S19" i="45"/>
  <c r="S20" i="45" s="1"/>
  <c r="S20" i="96"/>
  <c r="Q20" i="96"/>
  <c r="Q21" i="96" s="1"/>
  <c r="S21" i="37"/>
  <c r="Q22" i="37"/>
  <c r="V22" i="37" s="1"/>
  <c r="Q22" i="45"/>
  <c r="V22" i="45" s="1"/>
  <c r="S21" i="45"/>
  <c r="S21" i="96" l="1"/>
  <c r="Q22" i="96"/>
  <c r="V22" i="96" s="1"/>
  <c r="F40" i="39" l="1"/>
  <c r="J40" i="39" s="1"/>
  <c r="M18" i="39" l="1"/>
  <c r="M22" i="39" s="1"/>
  <c r="G44" i="43" s="1"/>
  <c r="J49" i="39"/>
  <c r="J55" i="39" s="1"/>
  <c r="G61" i="43" l="1"/>
  <c r="G63" i="43"/>
  <c r="S18" i="39"/>
  <c r="R19" i="39"/>
  <c r="Q18" i="39"/>
  <c r="Q19" i="39" s="1"/>
  <c r="Q20" i="39" s="1"/>
  <c r="Q21" i="39" s="1"/>
  <c r="S21" i="39" s="1"/>
  <c r="T18" i="39"/>
  <c r="U18" i="39"/>
  <c r="U22" i="39"/>
  <c r="O22" i="39"/>
  <c r="G12" i="43" l="1"/>
  <c r="S19" i="39"/>
  <c r="S20" i="39" s="1"/>
  <c r="V18" i="39"/>
  <c r="Q22" i="39"/>
  <c r="V22" i="39" s="1"/>
  <c r="G43" i="43" l="1"/>
  <c r="G60" i="43"/>
  <c r="G50" i="43" l="1"/>
  <c r="G65" i="43" s="1"/>
  <c r="G66" i="43" l="1"/>
  <c r="G68" i="43" s="1"/>
  <c r="G67" i="43" l="1"/>
  <c r="G13" i="43"/>
  <c r="F33" i="41" l="1"/>
  <c r="M65" i="50"/>
  <c r="F9" i="41"/>
  <c r="C18" i="82" l="1"/>
  <c r="C20" i="82" s="1"/>
  <c r="J33" i="41" s="1"/>
  <c r="H58" i="43"/>
  <c r="H57" i="43"/>
  <c r="C19" i="82" l="1"/>
  <c r="F21" i="41"/>
  <c r="F15" i="41" s="1"/>
  <c r="C29" i="82" s="1"/>
  <c r="M14" i="41"/>
  <c r="H37" i="43" s="1"/>
  <c r="J40" i="41"/>
  <c r="M18" i="41" s="1"/>
  <c r="H40" i="43" s="1"/>
  <c r="J41" i="41"/>
  <c r="M19" i="41" s="1"/>
  <c r="H42" i="43" s="1"/>
  <c r="J37" i="41"/>
  <c r="M15" i="41" s="1"/>
  <c r="H36" i="43" s="1"/>
  <c r="J42" i="41"/>
  <c r="M20" i="41" s="1"/>
  <c r="H41" i="43" s="1"/>
  <c r="J34" i="41"/>
  <c r="M12" i="41" s="1"/>
  <c r="H35" i="43" s="1"/>
  <c r="F39" i="41" l="1"/>
  <c r="H24" i="43"/>
  <c r="H56" i="43"/>
  <c r="H55" i="43" s="1"/>
  <c r="U20" i="41"/>
  <c r="T20" i="41"/>
  <c r="V20" i="41" s="1"/>
  <c r="R21" i="41"/>
  <c r="U14" i="41"/>
  <c r="R15" i="41"/>
  <c r="T14" i="41"/>
  <c r="U15" i="41"/>
  <c r="R16" i="41"/>
  <c r="T15" i="41"/>
  <c r="M11" i="41"/>
  <c r="H34" i="43" s="1"/>
  <c r="U19" i="41"/>
  <c r="R20" i="41"/>
  <c r="T19" i="41"/>
  <c r="T12" i="41"/>
  <c r="R13" i="41"/>
  <c r="U12" i="41"/>
  <c r="R19" i="41"/>
  <c r="T18" i="41"/>
  <c r="U18" i="41"/>
  <c r="C31" i="82" l="1"/>
  <c r="J39" i="41" s="1"/>
  <c r="C30" i="82"/>
  <c r="V12" i="41"/>
  <c r="V15" i="41"/>
  <c r="V14" i="41"/>
  <c r="V19" i="41"/>
  <c r="F25" i="41"/>
  <c r="F19" i="41" s="1"/>
  <c r="M7" i="41"/>
  <c r="V18" i="41"/>
  <c r="R12" i="41"/>
  <c r="T11" i="41"/>
  <c r="H46" i="43"/>
  <c r="U11" i="41"/>
  <c r="M17" i="41" l="1"/>
  <c r="H39" i="43" s="1"/>
  <c r="H45" i="43"/>
  <c r="M10" i="41"/>
  <c r="R8" i="41"/>
  <c r="Q7" i="41"/>
  <c r="O7" i="41"/>
  <c r="H32" i="43"/>
  <c r="V11" i="41"/>
  <c r="H19" i="41"/>
  <c r="H43" i="41" s="1"/>
  <c r="F43" i="41"/>
  <c r="R18" i="41" l="1"/>
  <c r="T17" i="41"/>
  <c r="V17" i="41" s="1"/>
  <c r="U17" i="41"/>
  <c r="J43" i="41"/>
  <c r="S8" i="41"/>
  <c r="V7" i="41"/>
  <c r="Q8" i="41"/>
  <c r="H28" i="43"/>
  <c r="O10" i="41"/>
  <c r="Q10" i="41"/>
  <c r="R11" i="41"/>
  <c r="M13" i="41"/>
  <c r="M16" i="41" s="1"/>
  <c r="M21" i="41" l="1"/>
  <c r="H38" i="43" s="1"/>
  <c r="H33" i="43" s="1"/>
  <c r="J49" i="41"/>
  <c r="J55" i="41" s="1"/>
  <c r="V10" i="41"/>
  <c r="Q11" i="41"/>
  <c r="Q12" i="41" s="1"/>
  <c r="Q9" i="41"/>
  <c r="S9" i="41"/>
  <c r="O13" i="41"/>
  <c r="R14" i="41"/>
  <c r="U13" i="41"/>
  <c r="U21" i="41"/>
  <c r="T21" i="41" l="1"/>
  <c r="R22" i="41"/>
  <c r="S11" i="41"/>
  <c r="S12" i="41" s="1"/>
  <c r="V21" i="41"/>
  <c r="Q13" i="41"/>
  <c r="M22" i="41"/>
  <c r="H44" i="43" s="1"/>
  <c r="U16" i="41"/>
  <c r="O16" i="41"/>
  <c r="R17" i="41"/>
  <c r="H61" i="43" l="1"/>
  <c r="H63" i="43"/>
  <c r="V13" i="41"/>
  <c r="Q14" i="41"/>
  <c r="O22" i="41"/>
  <c r="U22" i="41"/>
  <c r="H12" i="43" l="1"/>
  <c r="Q15" i="41"/>
  <c r="Q16" i="41" s="1"/>
  <c r="S14" i="41"/>
  <c r="S15" i="41" s="1"/>
  <c r="H43" i="43" l="1"/>
  <c r="Q17" i="41"/>
  <c r="V16" i="41"/>
  <c r="Q18" i="41" l="1"/>
  <c r="S17" i="41"/>
  <c r="S18" i="41" s="1"/>
  <c r="S19" i="41" l="1"/>
  <c r="Q19" i="41"/>
  <c r="Q20" i="41" l="1"/>
  <c r="Q21" i="41" s="1"/>
  <c r="S20" i="41"/>
  <c r="Q22" i="41" l="1"/>
  <c r="V22" i="41" s="1"/>
  <c r="S21" i="41"/>
  <c r="H52" i="43" l="1"/>
  <c r="H51" i="43" s="1"/>
  <c r="H60" i="43" l="1"/>
  <c r="H50" i="43" l="1"/>
  <c r="H65" i="43" s="1"/>
  <c r="H66" i="43" l="1"/>
  <c r="H68" i="43" s="1"/>
  <c r="H67" i="43" l="1"/>
  <c r="H13" i="43"/>
  <c r="E103" i="50" l="1"/>
  <c r="C104" i="50"/>
  <c r="F16" i="53"/>
  <c r="F16" i="51"/>
  <c r="F40" i="51" l="1"/>
  <c r="C19" i="59"/>
  <c r="C25" i="59" s="1"/>
  <c r="H22" i="53"/>
  <c r="F40" i="53"/>
  <c r="E105" i="50"/>
  <c r="C105" i="50"/>
  <c r="C19" i="63" s="1"/>
  <c r="C23" i="63" l="1"/>
  <c r="C24" i="63"/>
  <c r="C26" i="63" s="1"/>
  <c r="C24" i="59"/>
  <c r="C23" i="59"/>
  <c r="C26" i="59" l="1"/>
  <c r="J40" i="51" s="1"/>
  <c r="J40" i="53"/>
  <c r="J49" i="53" s="1"/>
  <c r="J49" i="51" l="1"/>
  <c r="J55" i="51" s="1"/>
  <c r="M18" i="51"/>
  <c r="E40" i="43" s="1"/>
  <c r="E33" i="43" s="1"/>
  <c r="J55" i="53"/>
  <c r="M18" i="53"/>
  <c r="D40" i="43" s="1"/>
  <c r="D33" i="43" s="1"/>
  <c r="Q18" i="51" l="1"/>
  <c r="Q19" i="51" s="1"/>
  <c r="Q20" i="51" s="1"/>
  <c r="Q21" i="51" s="1"/>
  <c r="U18" i="51"/>
  <c r="R19" i="51"/>
  <c r="T18" i="51"/>
  <c r="M22" i="51"/>
  <c r="E44" i="43" s="1"/>
  <c r="Q18" i="53"/>
  <c r="Q19" i="53" s="1"/>
  <c r="Q20" i="53" s="1"/>
  <c r="Q21" i="53" s="1"/>
  <c r="R19" i="53"/>
  <c r="U18" i="53"/>
  <c r="T18" i="53"/>
  <c r="M22" i="53"/>
  <c r="D44" i="43" s="1"/>
  <c r="E61" i="43" l="1"/>
  <c r="E63" i="43"/>
  <c r="S18" i="51"/>
  <c r="D61" i="43"/>
  <c r="D63" i="43"/>
  <c r="V18" i="51"/>
  <c r="S19" i="51"/>
  <c r="S20" i="51" s="1"/>
  <c r="U22" i="51"/>
  <c r="O22" i="51"/>
  <c r="Q22" i="51" s="1"/>
  <c r="V22" i="51" s="1"/>
  <c r="S21" i="51"/>
  <c r="S18" i="53"/>
  <c r="S21" i="53"/>
  <c r="O22" i="53"/>
  <c r="Q22" i="53" s="1"/>
  <c r="V22" i="53" s="1"/>
  <c r="U22" i="53"/>
  <c r="V18" i="53"/>
  <c r="S19" i="53"/>
  <c r="S20" i="53" s="1"/>
  <c r="D60" i="43" l="1"/>
  <c r="E12" i="43"/>
  <c r="D12" i="43"/>
  <c r="E60" i="43" l="1"/>
  <c r="D50" i="43"/>
  <c r="D65" i="43" s="1"/>
  <c r="E43" i="43"/>
  <c r="D43" i="43"/>
  <c r="E50" i="43" l="1"/>
  <c r="E65" i="43" s="1"/>
  <c r="D66" i="43"/>
  <c r="D68" i="43" s="1"/>
  <c r="E66" i="43" l="1"/>
  <c r="E68" i="43" s="1"/>
  <c r="E13" i="43" s="1"/>
  <c r="D67" i="43"/>
  <c r="D13" i="43"/>
  <c r="E67" i="43" l="1"/>
</calcChain>
</file>

<file path=xl/sharedStrings.xml><?xml version="1.0" encoding="utf-8"?>
<sst xmlns="http://schemas.openxmlformats.org/spreadsheetml/2006/main" count="2387" uniqueCount="434">
  <si>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</si>
  <si>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</si>
  <si>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</si>
  <si>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</si>
  <si>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</si>
  <si>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</si>
  <si>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</si>
  <si>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</si>
  <si>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</si>
  <si>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</si>
  <si>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</si>
  <si>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</si>
  <si>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</si>
  <si>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</si>
  <si>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</si>
  <si>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</si>
  <si>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</si>
  <si>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</si>
  <si>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</si>
  <si>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</si>
  <si>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</si>
  <si>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</si>
  <si>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</si>
  <si>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</si>
  <si>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</si>
  <si>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</si>
  <si>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</si>
  <si>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</si>
  <si>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</si>
  <si>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</si>
  <si>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</si>
  <si>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</si>
  <si>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</si>
  <si>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</si>
  <si>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</si>
  <si>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</si>
  <si>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</si>
  <si>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</si>
  <si>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</si>
  <si>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</si>
  <si>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</si>
  <si>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</si>
  <si>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</si>
  <si>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</si>
  <si>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</si>
  <si>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</si>
  <si>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</si>
  <si>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</si>
  <si>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</si>
  <si>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</si>
  <si>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</si>
  <si>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</si>
  <si>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</si>
  <si>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</si>
  <si>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</si>
  <si>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</si>
  <si>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</si>
  <si>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</si>
  <si>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</si>
  <si>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</si>
  <si>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</si>
  <si>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</si>
  <si>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</si>
  <si>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</si>
  <si>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</si>
  <si>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</si>
  <si>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</si>
  <si>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</si>
  <si>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</si>
  <si>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</si>
  <si>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</si>
  <si>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</si>
  <si>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</si>
  <si>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</si>
  <si>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</si>
  <si>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</si>
  <si>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</si>
  <si>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</si>
  <si>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</si>
  <si>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</si>
  <si>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</si>
  <si>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</si>
  <si>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</si>
  <si>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</si>
  <si>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</si>
  <si>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</si>
  <si>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</si>
  <si>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</si>
  <si>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</si>
  <si>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</si>
  <si>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</si>
  <si>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</si>
  <si>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</si>
  <si>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</si>
  <si>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</si>
  <si>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</si>
  <si>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</si>
  <si>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</si>
  <si>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</si>
  <si>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</si>
  <si>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</si>
  <si>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</si>
  <si>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</si>
  <si>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</si>
  <si>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</si>
  <si>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</si>
  <si>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</si>
  <si>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</si>
  <si>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</si>
  <si>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</si>
  <si>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</si>
  <si>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</si>
  <si>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</si>
  <si>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</si>
  <si>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</si>
  <si>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</si>
  <si>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</si>
  <si>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</si>
  <si>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</si>
  <si>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</si>
  <si>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</si>
  <si>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</si>
  <si>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</si>
  <si>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</si>
  <si>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</si>
  <si>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</si>
  <si>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</si>
  <si>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</si>
  <si>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</si>
  <si>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</si>
  <si>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</si>
  <si>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</si>
  <si>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</si>
  <si>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</si>
  <si>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</si>
  <si>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</si>
  <si>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</si>
  <si>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</si>
  <si>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</si>
  <si>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</si>
  <si>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</si>
  <si>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</si>
  <si>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</si>
  <si>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</si>
  <si>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</si>
  <si>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</si>
  <si>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</si>
  <si>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</si>
  <si>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</si>
  <si>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</si>
  <si>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</si>
  <si>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</si>
  <si>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</si>
  <si>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</si>
  <si>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</si>
  <si>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</si>
  <si>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</si>
  <si>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</si>
  <si>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</si>
  <si>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</si>
  <si>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</si>
  <si>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</si>
  <si>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</si>
  <si>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</si>
  <si>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</si>
  <si>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</si>
  <si>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</si>
  <si>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</si>
  <si>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</si>
  <si>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</si>
  <si>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</si>
  <si>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</si>
  <si>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</si>
  <si>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</si>
  <si>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</si>
  <si>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</si>
  <si>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</si>
  <si>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</si>
  <si>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</si>
  <si>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</si>
  <si>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</si>
  <si>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</si>
  <si>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</si>
  <si>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</si>
  <si>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</si>
  <si>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</si>
  <si>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</si>
  <si>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</si>
  <si>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</si>
  <si>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</si>
  <si>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</si>
  <si>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</si>
  <si>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</si>
  <si>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</si>
  <si>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</si>
  <si>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</si>
  <si>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</si>
  <si>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</si>
  <si>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</si>
  <si>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</si>
  <si>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</si>
  <si>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</si>
  <si>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</si>
  <si>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</si>
  <si>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</si>
  <si>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</si>
  <si>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</si>
  <si>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</si>
  <si>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</si>
  <si>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</si>
  <si>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</si>
  <si>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</si>
  <si>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</si>
  <si>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</si>
  <si>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</si>
  <si>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</si>
  <si>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</si>
  <si>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</si>
  <si>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</si>
  <si>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</si>
  <si>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</si>
  <si>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</si>
  <si>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</si>
  <si>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</si>
  <si>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</si>
  <si>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</si>
  <si>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</si>
  <si>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</si>
  <si>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</si>
  <si>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</si>
  <si>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</si>
  <si>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</si>
  <si>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</si>
  <si>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</si>
  <si>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</si>
  <si>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</si>
  <si>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</si>
  <si>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</si>
  <si>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</si>
  <si>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</si>
  <si>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</si>
  <si>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</si>
  <si>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</si>
  <si>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</si>
  <si>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</si>
  <si>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</si>
  <si>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</si>
  <si>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</si>
  <si>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</si>
  <si>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</si>
  <si>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</si>
  <si>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</si>
  <si>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</si>
  <si>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</si>
  <si>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</si>
  <si>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</si>
  <si>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</si>
  <si>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</si>
  <si>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</si>
  <si>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</si>
  <si>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</si>
  <si>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</si>
  <si>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</si>
  <si>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</si>
  <si>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</si>
  <si>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</si>
  <si>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</si>
  <si>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</si>
  <si>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</si>
  <si>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</si>
  <si>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</si>
  <si>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</si>
  <si>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</si>
  <si>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</si>
  <si>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</si>
  <si>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</si>
  <si>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</si>
  <si>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</si>
  <si>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</si>
  <si>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</si>
  <si>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</si>
  <si>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</si>
  <si>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</si>
  <si>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</si>
  <si>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</si>
  <si>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</si>
  <si>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</si>
  <si>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</si>
  <si>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</si>
  <si>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</si>
  <si>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</si>
  <si>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</si>
  <si>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</si>
  <si>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</si>
  <si>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</si>
  <si>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</si>
  <si>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</si>
  <si>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</si>
  <si>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</si>
  <si>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</si>
  <si>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</si>
  <si>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</si>
  <si>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</si>
  <si>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</si>
  <si>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</si>
  <si>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</si>
  <si>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</si>
  <si>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</si>
  <si>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</si>
  <si>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</si>
  <si>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</si>
  <si>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</si>
  <si>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</si>
  <si>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</si>
  <si>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</si>
  <si>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</si>
  <si>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</si>
  <si>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</si>
  <si>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</si>
  <si>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</si>
  <si>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</si>
  <si>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</si>
  <si>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</si>
  <si>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</si>
  <si>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</si>
  <si>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</si>
  <si>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</si>
  <si>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</si>
  <si>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</si>
  <si>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</si>
  <si>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</si>
  <si>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</si>
  <si>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</si>
  <si>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</si>
  <si>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</si>
  <si>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</si>
  <si>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</si>
  <si>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</si>
  <si>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</si>
  <si>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Ganhos Comercialização</t>
  </si>
  <si>
    <t>Preço COMERCIALIZAÇÃO Energia Elétrica</t>
  </si>
  <si>
    <t>Ganhos Totais Gerados + Modic. Tarifária</t>
  </si>
  <si>
    <t>Economia Autoconsumo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</si>
  <si>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</si>
  <si>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</si>
  <si>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</si>
  <si>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</si>
  <si>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</si>
  <si>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</si>
  <si>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</si>
  <si>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</si>
  <si>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</si>
  <si>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</si>
  <si>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</si>
  <si>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</si>
  <si>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</si>
  <si>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</si>
  <si>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</si>
  <si>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Estimativa Valor TARIFA BRUTA PROJETO</t>
  </si>
  <si>
    <t>Est. Valor TARIFA BRUTA ACIONISTA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</si>
  <si>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</si>
  <si>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</si>
  <si>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</si>
  <si>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</si>
  <si>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</si>
  <si>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</si>
  <si>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</si>
  <si>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</si>
  <si>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</si>
  <si>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</si>
  <si>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</si>
  <si>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>R$/t RSU</t>
  </si>
  <si>
    <t>Custo da Prefeitura p/ Gestão da RT Atual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</si>
  <si>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</si>
  <si>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</si>
  <si>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</si>
  <si>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</si>
  <si>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</si>
  <si>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</si>
  <si>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</si>
  <si>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</si>
  <si>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</si>
  <si>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</si>
  <si>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</si>
  <si>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</si>
  <si>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</si>
  <si>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</si>
  <si>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</si>
  <si>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</si>
  <si>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t>RT 5</t>
  </si>
  <si>
    <r>
      <rPr>
        <b/>
        <i/>
        <u/>
        <sz val="12"/>
        <color theme="1"/>
        <rFont val="Calibri"/>
        <family val="2"/>
        <scheme val="minor"/>
      </rPr>
      <t>RT 5)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</si>
  <si>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População Consórcio</t>
  </si>
  <si>
    <t>Geração Per Capta RSU</t>
  </si>
  <si>
    <t>Custo Atual Gestão RSU/Desoneração Prefeitura</t>
  </si>
  <si>
    <t>hab</t>
  </si>
  <si>
    <r>
      <t>Kg RSU.hab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.d</t>
    </r>
    <r>
      <rPr>
        <vertAlign val="superscript"/>
        <sz val="11"/>
        <color theme="1"/>
        <rFont val="Calibri"/>
        <family val="2"/>
        <scheme val="minor"/>
      </rPr>
      <t>-1</t>
    </r>
  </si>
  <si>
    <t>CENÁRIO Nova Rota Tecnológica
DADOS MODELO SIMPLIFICADO SIMULAÇÃO</t>
  </si>
  <si>
    <t>Gestão Atual RSU</t>
  </si>
  <si>
    <t>Geração per Capita RSU</t>
  </si>
  <si>
    <t>Kg RSU.habt-1.d-1</t>
  </si>
  <si>
    <t>Nm3/t FORSU</t>
  </si>
  <si>
    <t>Nm3/d | base 52*12=312 dias</t>
  </si>
  <si>
    <t xml:space="preserve">(Ganhos Totais + Modic.Tarifária + Desoneração Prefeitura) / (Tarifa Munícipe) </t>
  </si>
  <si>
    <t>Nr Empregos Diretos</t>
  </si>
  <si>
    <t>Nr Empregos Indiretos</t>
  </si>
  <si>
    <t>Relação Empregos Indiretos/Empregos Diretos</t>
  </si>
  <si>
    <t>Emissão CO2 (Cenário Base)</t>
  </si>
  <si>
    <t>Emissão CO2 (Cenário Futuro RT1A)</t>
  </si>
  <si>
    <t>Emissão CO2 (Cenário Futuro RT1B)</t>
  </si>
  <si>
    <t>Emissão CO2 (Cenário Futuro RT1C)</t>
  </si>
  <si>
    <t>Emissão CO2 (Cenário Futuro)</t>
  </si>
  <si>
    <t>t CO2</t>
  </si>
  <si>
    <r>
      <t>t CO</t>
    </r>
    <r>
      <rPr>
        <vertAlign val="subscript"/>
        <sz val="11"/>
        <color theme="1"/>
        <rFont val="Calibri"/>
        <family val="2"/>
        <scheme val="minor"/>
      </rPr>
      <t>2</t>
    </r>
  </si>
  <si>
    <t>CIRSOP - Consórcio RSU Oeste Paulista</t>
  </si>
  <si>
    <t>Mat. Recicl.: Papel/Papelão — Triagem Mecanizada</t>
  </si>
  <si>
    <t>Mat. Recicl.: Plástico Filme — Triagem Mecanizada</t>
  </si>
  <si>
    <t>Mat. Recicl.: Plástico Rígido — Triagem Mecanizada</t>
  </si>
  <si>
    <t>Mat. Recicl.: Vidros — Triagem Mecânica</t>
  </si>
  <si>
    <t>Mat. Recicl.: Metais Não Ferrosos — Triagem Mecanizada</t>
  </si>
  <si>
    <t>Mat. Recicl.: Metais Ferrosos — Triagem Mecanizada</t>
  </si>
  <si>
    <t>Doação Receitas Venda Materiais Recicláveis</t>
  </si>
  <si>
    <t>% Venda Matetriais Reciclávevis fora do Estado</t>
  </si>
  <si>
    <t>Preço Médio Bruto — Venda (FOB): Papel/Papelão</t>
  </si>
  <si>
    <t>Preço Médio Bruto — Venda (FOB): Plástico Filme</t>
  </si>
  <si>
    <t>Preço Médio Bruto — Venda (FOB): Plástico Rígido</t>
  </si>
  <si>
    <t>Preço Médio Bruto — Venda(FOB): Vidros</t>
  </si>
  <si>
    <t>Preço Médio Bruto — Venda (FOB): Metais Ferrosos</t>
  </si>
  <si>
    <t>Preço Médio Bruto — Venda (FOB): Metais Não Ferrosos</t>
  </si>
  <si>
    <t>Ano do Contrato</t>
  </si>
  <si>
    <t>Dados Quantitativos RSU</t>
  </si>
  <si>
    <t>Dados de Capex</t>
  </si>
  <si>
    <t>Dados de Opex + Gestão do Contrato</t>
  </si>
  <si>
    <t>Dados de Receitas Diretas</t>
  </si>
  <si>
    <t>Receita do Ente Público pela disposição do RPU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</si>
</sst>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0.0"/>
    <numFmt numFmtId="166" formatCode="0.0%"/>
    <numFmt numFmtId="167" formatCode="0.000"/>
    <numFmt numFmtId="168" formatCode="#,##0.0"/>
    <numFmt numFmtId="169" formatCode="#,##0.000"/>
    <numFmt numFmtId="170" formatCode="#,##0.00000_ ;[Red]\-#,##0.00000\ "/>
    <numFmt numFmtId="171" formatCode="#,##0.000000"/>
    <numFmt numFmtId="172" formatCode="0_ ;[Red]\-0\ "/>
    <numFmt numFmtId="173" formatCode="_(&quot;R$ &quot;* #,##0.00_);_(&quot;R$ &quot;* \(#,##0.00\);_(&quot;R$ &quot;* &quot;-&quot;??_);_(@_)"/>
    <numFmt numFmtId="174" formatCode="0.0_ ;[Red]\-0.0\ "/>
  </numFmts>
  <fonts count="9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</fills>
  <borders count="170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</borders>
  <cellStyleXfs count="11">
    <xf numFmtId="0" fontId="0" fillId="0" borderId="0"/>
    <xf numFmtId="0" fontId="2" fillId="0" borderId="0"/>
    <xf numFmtId="9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73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858">
    <xf numFmtId="0" fontId="0" fillId="0" borderId="0" xfId="0"/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right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7" fillId="9" borderId="27" xfId="6" applyFont="1" applyFill="1" applyBorder="1" applyAlignment="1">
      <alignment horizontal="right" vertical="center"/>
    </xf>
    <xf numFmtId="0" fontId="3" fillId="9" borderId="35" xfId="6" applyFont="1" applyFill="1" applyBorder="1" applyAlignment="1">
      <alignment horizontal="right" vertical="center"/>
    </xf>
    <xf numFmtId="1" fontId="3" fillId="9" borderId="35" xfId="6" applyNumberFormat="1" applyFont="1" applyFill="1" applyBorder="1" applyAlignment="1">
      <alignment horizontal="center" vertical="center"/>
    </xf>
    <xf numFmtId="0" fontId="3" fillId="9" borderId="56" xfId="6" applyFont="1" applyFill="1" applyBorder="1" applyAlignment="1">
      <alignment vertical="center"/>
    </xf>
    <xf numFmtId="0" fontId="3" fillId="9" borderId="7" xfId="6" applyFont="1" applyFill="1" applyBorder="1" applyAlignment="1">
      <alignment horizontal="right" vertical="center"/>
    </xf>
    <xf numFmtId="0" fontId="3" fillId="9" borderId="16" xfId="6" applyFont="1" applyFill="1" applyBorder="1" applyAlignment="1">
      <alignment vertical="center"/>
    </xf>
    <xf numFmtId="166" fontId="25" fillId="0" borderId="0" xfId="2" applyNumberFormat="1" applyFont="1" applyBorder="1" applyAlignment="1">
      <alignment horizontal="center" vertical="center"/>
    </xf>
    <xf numFmtId="9" fontId="5" fillId="10" borderId="44" xfId="2" applyFont="1" applyFill="1" applyBorder="1" applyAlignment="1">
      <alignment horizontal="center" vertical="center"/>
    </xf>
    <xf numFmtId="9" fontId="25" fillId="4" borderId="44" xfId="2" applyFont="1" applyFill="1" applyBorder="1" applyAlignment="1">
      <alignment horizontal="center" vertical="center"/>
    </xf>
    <xf numFmtId="9" fontId="5" fillId="10" borderId="52" xfId="2" applyFont="1" applyFill="1" applyBorder="1" applyAlignment="1">
      <alignment horizontal="center" vertical="center"/>
    </xf>
    <xf numFmtId="9" fontId="5" fillId="10" borderId="39" xfId="2" applyFont="1" applyFill="1" applyBorder="1" applyAlignment="1">
      <alignment horizontal="center" vertical="center"/>
    </xf>
    <xf numFmtId="9" fontId="25" fillId="4" borderId="0" xfId="2" applyFont="1" applyFill="1" applyBorder="1" applyAlignment="1">
      <alignment horizontal="center" vertical="center"/>
    </xf>
    <xf numFmtId="9" fontId="25" fillId="10" borderId="67" xfId="2" applyFont="1" applyFill="1" applyBorder="1" applyAlignment="1">
      <alignment horizontal="center" vertical="center"/>
    </xf>
    <xf numFmtId="9" fontId="5" fillId="4" borderId="0" xfId="2" applyFont="1" applyFill="1" applyBorder="1" applyAlignment="1">
      <alignment horizontal="center" vertical="center"/>
    </xf>
    <xf numFmtId="9" fontId="38" fillId="4" borderId="0" xfId="2" applyFont="1" applyFill="1" applyBorder="1" applyAlignment="1">
      <alignment horizontal="center" vertical="center"/>
    </xf>
    <xf numFmtId="9" fontId="5" fillId="0" borderId="0" xfId="2" applyFont="1" applyFill="1" applyBorder="1" applyAlignment="1">
      <alignment horizontal="center" vertical="center"/>
    </xf>
    <xf numFmtId="166" fontId="25" fillId="0" borderId="67" xfId="2" applyNumberFormat="1" applyFont="1" applyFill="1" applyBorder="1" applyAlignment="1">
      <alignment horizontal="center" vertical="center"/>
    </xf>
    <xf numFmtId="9" fontId="5" fillId="0" borderId="44" xfId="2" applyFont="1" applyFill="1" applyBorder="1" applyAlignment="1">
      <alignment horizontal="center" vertical="center"/>
    </xf>
    <xf numFmtId="9" fontId="38" fillId="4" borderId="52" xfId="2" applyFont="1" applyFill="1" applyBorder="1" applyAlignment="1">
      <alignment horizontal="center" vertical="center"/>
    </xf>
    <xf numFmtId="10" fontId="25" fillId="0" borderId="67" xfId="2" applyNumberFormat="1" applyFont="1" applyFill="1" applyBorder="1" applyAlignment="1">
      <alignment horizontal="center" vertical="center"/>
    </xf>
    <xf numFmtId="9" fontId="39" fillId="4" borderId="0" xfId="2" applyFont="1" applyFill="1" applyAlignment="1">
      <alignment horizontal="center" vertical="center"/>
    </xf>
    <xf numFmtId="0" fontId="2" fillId="0" borderId="39" xfId="6" applyBorder="1" applyAlignment="1">
      <alignment horizontal="right" vertical="center"/>
    </xf>
    <xf numFmtId="3" fontId="2" fillId="4" borderId="64" xfId="6" applyNumberFormat="1" applyFill="1" applyBorder="1" applyAlignment="1">
      <alignment horizontal="center" vertical="center"/>
    </xf>
    <xf numFmtId="0" fontId="9" fillId="0" borderId="39" xfId="6" applyFont="1" applyBorder="1" applyAlignment="1">
      <alignment vertical="center"/>
    </xf>
    <xf numFmtId="0" fontId="9" fillId="0" borderId="39" xfId="6" applyFont="1" applyBorder="1" applyAlignment="1">
      <alignment horizontal="right" vertical="center"/>
    </xf>
    <xf numFmtId="0" fontId="2" fillId="0" borderId="39" xfId="6" applyBorder="1" applyAlignment="1">
      <alignment horizontal="right"/>
    </xf>
    <xf numFmtId="0" fontId="2" fillId="0" borderId="39" xfId="6" applyBorder="1" applyAlignment="1">
      <alignment vertical="center"/>
    </xf>
    <xf numFmtId="0" fontId="2" fillId="4" borderId="64" xfId="6" applyFill="1" applyBorder="1" applyAlignment="1">
      <alignment horizontal="center"/>
    </xf>
    <xf numFmtId="0" fontId="2" fillId="0" borderId="39" xfId="6" applyBorder="1"/>
    <xf numFmtId="0" fontId="2" fillId="0" borderId="12" xfId="6" applyBorder="1" applyAlignment="1">
      <alignment horizontal="right" vertical="center"/>
    </xf>
    <xf numFmtId="0" fontId="9" fillId="0" borderId="0" xfId="6" applyFont="1" applyAlignment="1">
      <alignment vertical="center"/>
    </xf>
    <xf numFmtId="0" fontId="2" fillId="0" borderId="70" xfId="6" applyBorder="1" applyAlignment="1">
      <alignment horizontal="right" vertical="center"/>
    </xf>
    <xf numFmtId="0" fontId="9" fillId="0" borderId="72" xfId="6" applyFont="1" applyBorder="1" applyAlignment="1">
      <alignment vertical="center"/>
    </xf>
    <xf numFmtId="0" fontId="6" fillId="0" borderId="0" xfId="6" applyFont="1" applyAlignment="1">
      <alignment horizontal="right" vertical="center"/>
    </xf>
    <xf numFmtId="0" fontId="9" fillId="0" borderId="10" xfId="6" applyFont="1" applyBorder="1" applyAlignment="1">
      <alignment vertical="center"/>
    </xf>
    <xf numFmtId="0" fontId="6" fillId="0" borderId="19" xfId="6" applyFont="1" applyBorder="1" applyAlignment="1">
      <alignment horizontal="right" vertical="center"/>
    </xf>
    <xf numFmtId="0" fontId="2" fillId="0" borderId="0" xfId="6" applyAlignment="1">
      <alignment vertical="center"/>
    </xf>
    <xf numFmtId="0" fontId="11" fillId="0" borderId="0" xfId="6" applyFont="1" applyAlignment="1">
      <alignment vertical="center"/>
    </xf>
    <xf numFmtId="0" fontId="6" fillId="0" borderId="0" xfId="6" applyFont="1" applyAlignment="1">
      <alignment vertical="center"/>
    </xf>
    <xf numFmtId="0" fontId="13" fillId="0" borderId="0" xfId="6" applyFont="1" applyAlignment="1">
      <alignment vertical="center"/>
    </xf>
    <xf numFmtId="0" fontId="13" fillId="7" borderId="0" xfId="6" applyFont="1" applyFill="1" applyAlignment="1">
      <alignment horizontal="center" vertical="center"/>
    </xf>
    <xf numFmtId="0" fontId="23" fillId="0" borderId="0" xfId="6" applyFont="1" applyAlignment="1">
      <alignment vertical="center"/>
    </xf>
    <xf numFmtId="0" fontId="10" fillId="0" borderId="0" xfId="6" applyFont="1" applyAlignment="1">
      <alignment vertical="center"/>
    </xf>
    <xf numFmtId="0" fontId="2" fillId="0" borderId="0" xfId="6" applyAlignment="1">
      <alignment horizontal="right" vertical="center"/>
    </xf>
    <xf numFmtId="168" fontId="2" fillId="0" borderId="0" xfId="6" applyNumberFormat="1" applyAlignment="1">
      <alignment horizontal="center" vertical="center"/>
    </xf>
    <xf numFmtId="0" fontId="2" fillId="0" borderId="0" xfId="6" applyAlignment="1">
      <alignment horizontal="center" vertical="center"/>
    </xf>
    <xf numFmtId="3" fontId="22" fillId="0" borderId="47" xfId="6" applyNumberFormat="1" applyFont="1" applyBorder="1" applyAlignment="1">
      <alignment horizontal="center" vertical="center"/>
    </xf>
    <xf numFmtId="3" fontId="22" fillId="0" borderId="51" xfId="6" applyNumberFormat="1" applyFont="1" applyBorder="1" applyAlignment="1">
      <alignment horizontal="center" vertical="center"/>
    </xf>
    <xf numFmtId="3" fontId="22" fillId="0" borderId="49" xfId="6" applyNumberFormat="1" applyFont="1" applyBorder="1" applyAlignment="1">
      <alignment horizontal="center" vertical="center"/>
    </xf>
    <xf numFmtId="3" fontId="22" fillId="0" borderId="0" xfId="6" applyNumberFormat="1" applyFont="1" applyAlignment="1">
      <alignment horizontal="center" vertical="center"/>
    </xf>
    <xf numFmtId="0" fontId="2" fillId="0" borderId="0" xfId="6"/>
    <xf numFmtId="169" fontId="22" fillId="0" borderId="47" xfId="6" applyNumberFormat="1" applyFont="1" applyBorder="1" applyAlignment="1">
      <alignment horizontal="center" vertical="center"/>
    </xf>
    <xf numFmtId="4" fontId="22" fillId="0" borderId="47" xfId="6" applyNumberFormat="1" applyFont="1" applyBorder="1" applyAlignment="1">
      <alignment horizontal="center" vertical="center"/>
    </xf>
    <xf numFmtId="169" fontId="22" fillId="0" borderId="0" xfId="6" applyNumberFormat="1" applyFont="1" applyAlignment="1">
      <alignment horizontal="center" vertical="center"/>
    </xf>
    <xf numFmtId="169" fontId="2" fillId="0" borderId="0" xfId="6" applyNumberFormat="1" applyAlignment="1">
      <alignment horizontal="center" vertical="center"/>
    </xf>
    <xf numFmtId="3" fontId="2" fillId="0" borderId="0" xfId="6" applyNumberFormat="1" applyAlignment="1">
      <alignment horizontal="center" vertical="center"/>
    </xf>
    <xf numFmtId="3" fontId="2" fillId="0" borderId="45" xfId="6" applyNumberFormat="1" applyBorder="1" applyAlignment="1">
      <alignment horizontal="center" vertical="center"/>
    </xf>
    <xf numFmtId="3" fontId="2" fillId="0" borderId="47" xfId="6" applyNumberFormat="1" applyBorder="1" applyAlignment="1">
      <alignment horizontal="center" vertical="center"/>
    </xf>
    <xf numFmtId="3" fontId="2" fillId="0" borderId="0" xfId="6" applyNumberFormat="1"/>
    <xf numFmtId="171" fontId="2" fillId="0" borderId="0" xfId="6" applyNumberFormat="1"/>
    <xf numFmtId="0" fontId="9" fillId="0" borderId="0" xfId="6" applyFont="1"/>
    <xf numFmtId="10" fontId="2" fillId="0" borderId="0" xfId="6" applyNumberFormat="1"/>
    <xf numFmtId="0" fontId="6" fillId="0" borderId="0" xfId="6" applyFont="1"/>
    <xf numFmtId="0" fontId="19" fillId="0" borderId="0" xfId="6" applyFont="1"/>
    <xf numFmtId="0" fontId="13" fillId="7" borderId="0" xfId="6" applyFont="1" applyFill="1" applyAlignment="1">
      <alignment horizontal="center"/>
    </xf>
    <xf numFmtId="168" fontId="9" fillId="0" borderId="45" xfId="6" applyNumberFormat="1" applyFont="1" applyBorder="1" applyAlignment="1">
      <alignment horizontal="center" vertical="center"/>
    </xf>
    <xf numFmtId="3" fontId="2" fillId="0" borderId="48" xfId="6" applyNumberFormat="1" applyBorder="1" applyAlignment="1">
      <alignment horizontal="center" vertical="center"/>
    </xf>
    <xf numFmtId="3" fontId="2" fillId="0" borderId="0" xfId="6" applyNumberFormat="1" applyAlignment="1">
      <alignment horizontal="center"/>
    </xf>
    <xf numFmtId="168" fontId="2" fillId="6" borderId="51" xfId="6" applyNumberFormat="1" applyFill="1" applyBorder="1" applyAlignment="1">
      <alignment horizontal="center"/>
    </xf>
    <xf numFmtId="168" fontId="9" fillId="0" borderId="47" xfId="6" applyNumberFormat="1" applyFont="1" applyBorder="1" applyAlignment="1">
      <alignment horizontal="center" vertical="center"/>
    </xf>
    <xf numFmtId="169" fontId="2" fillId="0" borderId="47" xfId="6" applyNumberFormat="1" applyBorder="1" applyAlignment="1">
      <alignment horizontal="center" vertical="center"/>
    </xf>
    <xf numFmtId="4" fontId="2" fillId="0" borderId="45" xfId="6" applyNumberFormat="1" applyBorder="1" applyAlignment="1">
      <alignment horizontal="center" vertical="center"/>
    </xf>
    <xf numFmtId="0" fontId="2" fillId="0" borderId="0" xfId="6" applyAlignment="1">
      <alignment horizontal="right"/>
    </xf>
    <xf numFmtId="168" fontId="9" fillId="0" borderId="0" xfId="6" applyNumberFormat="1" applyFont="1" applyAlignment="1">
      <alignment horizontal="center" vertical="center"/>
    </xf>
    <xf numFmtId="3" fontId="9" fillId="0" borderId="0" xfId="6" applyNumberFormat="1" applyFont="1" applyAlignment="1">
      <alignment horizontal="center" vertical="center"/>
    </xf>
    <xf numFmtId="3" fontId="2" fillId="8" borderId="48" xfId="6" applyNumberFormat="1" applyFill="1" applyBorder="1" applyAlignment="1">
      <alignment horizontal="center" vertical="center"/>
    </xf>
    <xf numFmtId="169" fontId="2" fillId="8" borderId="48" xfId="6" applyNumberFormat="1" applyFill="1" applyBorder="1" applyAlignment="1">
      <alignment horizontal="center" vertical="center"/>
    </xf>
    <xf numFmtId="168" fontId="9" fillId="0" borderId="50" xfId="6" applyNumberFormat="1" applyFont="1" applyBorder="1" applyAlignment="1">
      <alignment horizontal="center" vertical="center"/>
    </xf>
    <xf numFmtId="0" fontId="19" fillId="0" borderId="0" xfId="6" applyFont="1" applyAlignment="1">
      <alignment vertical="center"/>
    </xf>
    <xf numFmtId="0" fontId="3" fillId="0" borderId="0" xfId="6" applyFont="1" applyAlignment="1">
      <alignment vertical="center"/>
    </xf>
    <xf numFmtId="168" fontId="6" fillId="0" borderId="0" xfId="6" applyNumberFormat="1" applyFont="1" applyAlignment="1">
      <alignment horizontal="center" vertical="center"/>
    </xf>
    <xf numFmtId="0" fontId="42" fillId="5" borderId="83" xfId="6" applyFont="1" applyFill="1" applyBorder="1" applyAlignment="1">
      <alignment vertical="center"/>
    </xf>
    <xf numFmtId="0" fontId="11" fillId="0" borderId="0" xfId="6" applyFont="1" applyAlignment="1">
      <alignment horizontal="right" vertical="center"/>
    </xf>
    <xf numFmtId="1" fontId="44" fillId="0" borderId="0" xfId="6" applyNumberFormat="1" applyFont="1" applyAlignment="1">
      <alignment horizontal="center" vertical="center"/>
    </xf>
    <xf numFmtId="0" fontId="44" fillId="0" borderId="0" xfId="6" applyFont="1" applyAlignment="1">
      <alignment horizontal="center" vertical="center"/>
    </xf>
    <xf numFmtId="0" fontId="19" fillId="0" borderId="0" xfId="6" applyFont="1" applyAlignment="1">
      <alignment horizontal="right" vertical="center"/>
    </xf>
    <xf numFmtId="0" fontId="44" fillId="0" borderId="0" xfId="6" applyFont="1" applyAlignment="1">
      <alignment horizontal="right" vertical="center"/>
    </xf>
    <xf numFmtId="9" fontId="44" fillId="0" borderId="0" xfId="2" applyFont="1" applyBorder="1" applyAlignment="1">
      <alignment horizontal="center" vertical="center"/>
    </xf>
    <xf numFmtId="1" fontId="45" fillId="0" borderId="0" xfId="6" applyNumberFormat="1" applyFont="1" applyAlignment="1">
      <alignment horizontal="center" vertical="center"/>
    </xf>
    <xf numFmtId="0" fontId="45" fillId="0" borderId="0" xfId="6" applyFont="1" applyAlignment="1">
      <alignment horizontal="center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11" fillId="0" borderId="0" xfId="6" applyFont="1"/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9" borderId="5" xfId="0" applyFont="1" applyFill="1" applyBorder="1" applyAlignment="1">
      <alignment horizontal="right" vertical="center"/>
    </xf>
    <xf numFmtId="3" fontId="27" fillId="9" borderId="5" xfId="0" applyNumberFormat="1" applyFont="1" applyFill="1" applyBorder="1" applyAlignment="1">
      <alignment horizontal="center" vertical="center"/>
    </xf>
    <xf numFmtId="0" fontId="27" fillId="9" borderId="11" xfId="0" applyFont="1" applyFill="1" applyBorder="1" applyAlignment="1">
      <alignment horizontal="left" vertical="center"/>
    </xf>
    <xf numFmtId="0" fontId="28" fillId="9" borderId="12" xfId="0" applyFont="1" applyFill="1" applyBorder="1" applyAlignment="1">
      <alignment vertical="center"/>
    </xf>
    <xf numFmtId="0" fontId="28" fillId="9" borderId="17" xfId="0" applyFont="1" applyFill="1" applyBorder="1" applyAlignment="1">
      <alignment vertical="center"/>
    </xf>
    <xf numFmtId="0" fontId="27" fillId="9" borderId="39" xfId="0" applyFont="1" applyFill="1" applyBorder="1" applyAlignment="1">
      <alignment vertical="center"/>
    </xf>
    <xf numFmtId="0" fontId="27" fillId="9" borderId="57" xfId="0" applyFont="1" applyFill="1" applyBorder="1" applyAlignment="1">
      <alignment vertical="center"/>
    </xf>
    <xf numFmtId="0" fontId="27" fillId="9" borderId="10" xfId="0" applyFont="1" applyFill="1" applyBorder="1" applyAlignment="1">
      <alignment vertical="center"/>
    </xf>
    <xf numFmtId="0" fontId="27" fillId="9" borderId="19" xfId="0" applyFont="1" applyFill="1" applyBorder="1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169" fontId="32" fillId="0" borderId="26" xfId="0" applyNumberFormat="1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169" fontId="34" fillId="0" borderId="26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3" fontId="35" fillId="0" borderId="26" xfId="0" applyNumberFormat="1" applyFont="1" applyBorder="1" applyAlignment="1">
      <alignment horizontal="center" vertical="center"/>
    </xf>
    <xf numFmtId="3" fontId="25" fillId="0" borderId="22" xfId="0" applyNumberFormat="1" applyFont="1" applyBorder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/>
    </xf>
    <xf numFmtId="169" fontId="25" fillId="0" borderId="26" xfId="0" applyNumberFormat="1" applyFont="1" applyBorder="1" applyAlignment="1">
      <alignment horizontal="center" vertical="center"/>
    </xf>
    <xf numFmtId="170" fontId="0" fillId="0" borderId="22" xfId="0" applyNumberFormat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1" fontId="25" fillId="0" borderId="0" xfId="0" applyNumberFormat="1" applyFont="1" applyAlignment="1">
      <alignment horizontal="center" vertical="center"/>
    </xf>
    <xf numFmtId="0" fontId="25" fillId="4" borderId="0" xfId="0" applyFont="1" applyFill="1" applyAlignment="1">
      <alignment horizontal="right" vertical="center"/>
    </xf>
    <xf numFmtId="169" fontId="25" fillId="4" borderId="26" xfId="0" applyNumberFormat="1" applyFont="1" applyFill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25" fillId="0" borderId="0" xfId="0" applyNumberFormat="1" applyFont="1" applyAlignment="1">
      <alignment horizontal="right" vertical="center"/>
    </xf>
    <xf numFmtId="1" fontId="25" fillId="0" borderId="26" xfId="0" applyNumberFormat="1" applyFont="1" applyBorder="1" applyAlignment="1">
      <alignment horizontal="center" vertical="center"/>
    </xf>
    <xf numFmtId="0" fontId="25" fillId="4" borderId="0" xfId="0" quotePrefix="1" applyFont="1" applyFill="1" applyAlignment="1">
      <alignment horizontal="right" vertical="center"/>
    </xf>
    <xf numFmtId="169" fontId="0" fillId="0" borderId="0" xfId="0" applyNumberFormat="1" applyAlignment="1">
      <alignment vertical="center"/>
    </xf>
    <xf numFmtId="0" fontId="25" fillId="4" borderId="18" xfId="0" applyFont="1" applyFill="1" applyBorder="1" applyAlignment="1">
      <alignment horizontal="right" vertical="center"/>
    </xf>
    <xf numFmtId="0" fontId="5" fillId="4" borderId="0" xfId="0" applyFont="1" applyFill="1" applyAlignment="1">
      <alignment vertical="center"/>
    </xf>
    <xf numFmtId="3" fontId="5" fillId="4" borderId="0" xfId="0" applyNumberFormat="1" applyFont="1" applyFill="1" applyAlignment="1">
      <alignment horizontal="center" vertical="center"/>
    </xf>
    <xf numFmtId="0" fontId="25" fillId="4" borderId="57" xfId="0" applyFont="1" applyFill="1" applyBorder="1" applyAlignment="1">
      <alignment horizontal="right" vertical="center"/>
    </xf>
    <xf numFmtId="169" fontId="25" fillId="4" borderId="64" xfId="0" applyNumberFormat="1" applyFont="1" applyFill="1" applyBorder="1" applyAlignment="1">
      <alignment horizontal="center" vertical="center"/>
    </xf>
    <xf numFmtId="0" fontId="5" fillId="4" borderId="39" xfId="0" applyFont="1" applyFill="1" applyBorder="1" applyAlignment="1">
      <alignment vertical="center"/>
    </xf>
    <xf numFmtId="1" fontId="5" fillId="4" borderId="39" xfId="0" applyNumberFormat="1" applyFont="1" applyFill="1" applyBorder="1" applyAlignment="1">
      <alignment horizontal="center" vertical="center"/>
    </xf>
    <xf numFmtId="0" fontId="32" fillId="4" borderId="17" xfId="0" applyFont="1" applyFill="1" applyBorder="1" applyAlignment="1">
      <alignment horizontal="right" vertical="center"/>
    </xf>
    <xf numFmtId="169" fontId="32" fillId="4" borderId="54" xfId="0" applyNumberFormat="1" applyFont="1" applyFill="1" applyBorder="1" applyAlignment="1">
      <alignment horizontal="center" vertical="center"/>
    </xf>
    <xf numFmtId="0" fontId="32" fillId="4" borderId="12" xfId="0" applyFont="1" applyFill="1" applyBorder="1" applyAlignment="1">
      <alignment vertical="center"/>
    </xf>
    <xf numFmtId="3" fontId="32" fillId="4" borderId="12" xfId="0" applyNumberFormat="1" applyFont="1" applyFill="1" applyBorder="1" applyAlignment="1">
      <alignment horizontal="center" vertical="center"/>
    </xf>
    <xf numFmtId="169" fontId="35" fillId="4" borderId="26" xfId="0" applyNumberFormat="1" applyFont="1" applyFill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0" fontId="5" fillId="10" borderId="65" xfId="0" applyFont="1" applyFill="1" applyBorder="1" applyAlignment="1">
      <alignment horizontal="right" vertical="center"/>
    </xf>
    <xf numFmtId="3" fontId="25" fillId="10" borderId="65" xfId="0" applyNumberFormat="1" applyFont="1" applyFill="1" applyBorder="1" applyAlignment="1">
      <alignment horizontal="center" vertical="center"/>
    </xf>
    <xf numFmtId="0" fontId="5" fillId="10" borderId="65" xfId="0" applyFont="1" applyFill="1" applyBorder="1" applyAlignment="1">
      <alignment vertical="center"/>
    </xf>
    <xf numFmtId="0" fontId="35" fillId="4" borderId="17" xfId="0" applyFont="1" applyFill="1" applyBorder="1" applyAlignment="1">
      <alignment horizontal="right" vertical="center"/>
    </xf>
    <xf numFmtId="169" fontId="35" fillId="4" borderId="54" xfId="0" applyNumberFormat="1" applyFont="1" applyFill="1" applyBorder="1" applyAlignment="1">
      <alignment horizontal="center" vertical="center"/>
    </xf>
    <xf numFmtId="0" fontId="35" fillId="4" borderId="12" xfId="0" applyFont="1" applyFill="1" applyBorder="1" applyAlignment="1">
      <alignment vertical="center"/>
    </xf>
    <xf numFmtId="1" fontId="35" fillId="4" borderId="12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5" fillId="10" borderId="44" xfId="0" applyFont="1" applyFill="1" applyBorder="1" applyAlignment="1">
      <alignment horizontal="right" vertical="center"/>
    </xf>
    <xf numFmtId="3" fontId="25" fillId="10" borderId="44" xfId="0" applyNumberFormat="1" applyFont="1" applyFill="1" applyBorder="1" applyAlignment="1">
      <alignment horizontal="center" vertical="center"/>
    </xf>
    <xf numFmtId="0" fontId="5" fillId="10" borderId="44" xfId="0" applyFont="1" applyFill="1" applyBorder="1" applyAlignment="1">
      <alignment vertical="center"/>
    </xf>
    <xf numFmtId="1" fontId="5" fillId="10" borderId="44" xfId="0" applyNumberFormat="1" applyFont="1" applyFill="1" applyBorder="1" applyAlignment="1">
      <alignment horizontal="center" vertical="center"/>
    </xf>
    <xf numFmtId="0" fontId="25" fillId="4" borderId="66" xfId="0" applyFont="1" applyFill="1" applyBorder="1" applyAlignment="1">
      <alignment horizontal="right" vertical="center"/>
    </xf>
    <xf numFmtId="3" fontId="25" fillId="4" borderId="67" xfId="0" applyNumberFormat="1" applyFont="1" applyFill="1" applyBorder="1" applyAlignment="1">
      <alignment horizontal="center" vertical="center"/>
    </xf>
    <xf numFmtId="0" fontId="25" fillId="4" borderId="44" xfId="0" applyFont="1" applyFill="1" applyBorder="1" applyAlignment="1">
      <alignment vertical="center"/>
    </xf>
    <xf numFmtId="1" fontId="25" fillId="4" borderId="44" xfId="0" applyNumberFormat="1" applyFont="1" applyFill="1" applyBorder="1" applyAlignment="1">
      <alignment horizontal="center" vertical="center"/>
    </xf>
    <xf numFmtId="0" fontId="5" fillId="10" borderId="66" xfId="0" applyFont="1" applyFill="1" applyBorder="1" applyAlignment="1">
      <alignment horizontal="right" vertical="center"/>
    </xf>
    <xf numFmtId="3" fontId="25" fillId="10" borderId="67" xfId="0" applyNumberFormat="1" applyFont="1" applyFill="1" applyBorder="1" applyAlignment="1">
      <alignment horizontal="center" vertical="center"/>
    </xf>
    <xf numFmtId="0" fontId="5" fillId="10" borderId="68" xfId="0" applyFont="1" applyFill="1" applyBorder="1" applyAlignment="1">
      <alignment horizontal="right" vertical="center"/>
    </xf>
    <xf numFmtId="3" fontId="25" fillId="10" borderId="69" xfId="0" applyNumberFormat="1" applyFont="1" applyFill="1" applyBorder="1" applyAlignment="1">
      <alignment horizontal="center" vertical="center"/>
    </xf>
    <xf numFmtId="0" fontId="5" fillId="10" borderId="52" xfId="0" applyFont="1" applyFill="1" applyBorder="1" applyAlignment="1">
      <alignment vertical="center"/>
    </xf>
    <xf numFmtId="1" fontId="5" fillId="10" borderId="52" xfId="0" applyNumberFormat="1" applyFont="1" applyFill="1" applyBorder="1" applyAlignment="1">
      <alignment horizontal="center" vertical="center"/>
    </xf>
    <xf numFmtId="0" fontId="5" fillId="10" borderId="39" xfId="0" applyFont="1" applyFill="1" applyBorder="1" applyAlignment="1">
      <alignment horizontal="right" vertical="center"/>
    </xf>
    <xf numFmtId="3" fontId="25" fillId="10" borderId="39" xfId="0" applyNumberFormat="1" applyFont="1" applyFill="1" applyBorder="1" applyAlignment="1">
      <alignment horizontal="center" vertical="center"/>
    </xf>
    <xf numFmtId="0" fontId="5" fillId="10" borderId="39" xfId="0" applyFont="1" applyFill="1" applyBorder="1" applyAlignment="1">
      <alignment vertical="center"/>
    </xf>
    <xf numFmtId="1" fontId="5" fillId="10" borderId="39" xfId="0" applyNumberFormat="1" applyFont="1" applyFill="1" applyBorder="1" applyAlignment="1">
      <alignment horizontal="center" vertical="center"/>
    </xf>
    <xf numFmtId="3" fontId="25" fillId="4" borderId="26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vertical="center"/>
    </xf>
    <xf numFmtId="1" fontId="25" fillId="4" borderId="0" xfId="0" applyNumberFormat="1" applyFont="1" applyFill="1" applyAlignment="1">
      <alignment horizontal="center" vertical="center"/>
    </xf>
    <xf numFmtId="0" fontId="5" fillId="10" borderId="57" xfId="0" applyFont="1" applyFill="1" applyBorder="1" applyAlignment="1">
      <alignment horizontal="right" vertical="center"/>
    </xf>
    <xf numFmtId="3" fontId="25" fillId="10" borderId="64" xfId="0" applyNumberFormat="1" applyFont="1" applyFill="1" applyBorder="1" applyAlignment="1">
      <alignment horizontal="center" vertical="center"/>
    </xf>
    <xf numFmtId="0" fontId="29" fillId="4" borderId="18" xfId="0" applyFont="1" applyFill="1" applyBorder="1" applyAlignment="1">
      <alignment horizontal="right" vertical="center"/>
    </xf>
    <xf numFmtId="3" fontId="29" fillId="4" borderId="26" xfId="0" applyNumberFormat="1" applyFont="1" applyFill="1" applyBorder="1" applyAlignment="1">
      <alignment horizontal="center" vertical="center"/>
    </xf>
    <xf numFmtId="0" fontId="38" fillId="4" borderId="0" xfId="0" applyFont="1" applyFill="1" applyAlignment="1">
      <alignment vertical="center"/>
    </xf>
    <xf numFmtId="1" fontId="38" fillId="4" borderId="0" xfId="0" applyNumberFormat="1" applyFont="1" applyFill="1" applyAlignment="1">
      <alignment horizontal="center" vertical="center"/>
    </xf>
    <xf numFmtId="0" fontId="25" fillId="0" borderId="18" xfId="0" applyFont="1" applyBorder="1" applyAlignment="1">
      <alignment horizontal="right" vertical="center"/>
    </xf>
    <xf numFmtId="3" fontId="25" fillId="0" borderId="2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25" fillId="0" borderId="66" xfId="0" applyFont="1" applyBorder="1" applyAlignment="1">
      <alignment horizontal="right" vertical="center"/>
    </xf>
    <xf numFmtId="0" fontId="5" fillId="0" borderId="44" xfId="0" applyFont="1" applyBorder="1" applyAlignment="1">
      <alignment vertical="center"/>
    </xf>
    <xf numFmtId="1" fontId="5" fillId="0" borderId="44" xfId="0" applyNumberFormat="1" applyFont="1" applyBorder="1" applyAlignment="1">
      <alignment horizontal="center" vertical="center"/>
    </xf>
    <xf numFmtId="0" fontId="38" fillId="4" borderId="52" xfId="0" applyFont="1" applyFill="1" applyBorder="1" applyAlignment="1">
      <alignment vertical="center"/>
    </xf>
    <xf numFmtId="1" fontId="38" fillId="4" borderId="52" xfId="0" applyNumberFormat="1" applyFont="1" applyFill="1" applyBorder="1" applyAlignment="1">
      <alignment horizontal="center" vertical="center"/>
    </xf>
    <xf numFmtId="0" fontId="39" fillId="4" borderId="17" xfId="0" applyFont="1" applyFill="1" applyBorder="1" applyAlignment="1">
      <alignment horizontal="right" vertical="center"/>
    </xf>
    <xf numFmtId="3" fontId="39" fillId="4" borderId="54" xfId="0" applyNumberFormat="1" applyFont="1" applyFill="1" applyBorder="1" applyAlignment="1">
      <alignment horizontal="center" vertical="center"/>
    </xf>
    <xf numFmtId="0" fontId="39" fillId="4" borderId="12" xfId="0" applyFont="1" applyFill="1" applyBorder="1" applyAlignment="1">
      <alignment vertical="center"/>
    </xf>
    <xf numFmtId="0" fontId="39" fillId="4" borderId="0" xfId="0" applyFont="1" applyFill="1" applyAlignment="1">
      <alignment vertical="center"/>
    </xf>
    <xf numFmtId="1" fontId="39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39" xfId="0" applyBorder="1" applyAlignment="1">
      <alignment vertical="center"/>
    </xf>
    <xf numFmtId="3" fontId="40" fillId="4" borderId="64" xfId="0" applyNumberFormat="1" applyFont="1" applyFill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5" fillId="0" borderId="39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0" fontId="5" fillId="0" borderId="39" xfId="0" applyFont="1" applyBorder="1" applyAlignment="1">
      <alignment vertical="center"/>
    </xf>
    <xf numFmtId="3" fontId="25" fillId="0" borderId="71" xfId="0" applyNumberFormat="1" applyFont="1" applyBorder="1" applyAlignment="1">
      <alignment horizontal="center" vertical="center"/>
    </xf>
    <xf numFmtId="0" fontId="0" fillId="0" borderId="70" xfId="0" applyBorder="1" applyAlignment="1">
      <alignment vertical="center"/>
    </xf>
    <xf numFmtId="0" fontId="25" fillId="0" borderId="72" xfId="0" applyFont="1" applyBorder="1" applyAlignment="1">
      <alignment horizontal="right" vertical="center"/>
    </xf>
    <xf numFmtId="3" fontId="25" fillId="4" borderId="73" xfId="0" applyNumberFormat="1" applyFont="1" applyFill="1" applyBorder="1" applyAlignment="1">
      <alignment horizontal="center" vertical="center"/>
    </xf>
    <xf numFmtId="0" fontId="0" fillId="0" borderId="72" xfId="0" applyBorder="1" applyAlignment="1">
      <alignment vertical="center"/>
    </xf>
    <xf numFmtId="0" fontId="25" fillId="0" borderId="10" xfId="0" applyFont="1" applyBorder="1" applyAlignment="1">
      <alignment horizontal="right" vertical="center"/>
    </xf>
    <xf numFmtId="3" fontId="25" fillId="4" borderId="74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5" fillId="0" borderId="54" xfId="0" applyNumberFormat="1" applyFont="1" applyBorder="1" applyAlignment="1">
      <alignment horizontal="center" vertical="center"/>
    </xf>
    <xf numFmtId="3" fontId="25" fillId="0" borderId="64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Border="1" applyAlignment="1">
      <alignment vertical="center"/>
    </xf>
    <xf numFmtId="0" fontId="0" fillId="0" borderId="18" xfId="0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57" xfId="0" applyBorder="1" applyAlignment="1">
      <alignment vertical="center"/>
    </xf>
    <xf numFmtId="0" fontId="0" fillId="0" borderId="8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166" fontId="39" fillId="9" borderId="7" xfId="2" applyNumberFormat="1" applyFont="1" applyFill="1" applyBorder="1" applyAlignment="1">
      <alignment horizontal="center" vertical="center"/>
    </xf>
    <xf numFmtId="169" fontId="2" fillId="0" borderId="48" xfId="6" applyNumberFormat="1" applyBorder="1" applyAlignment="1">
      <alignment horizontal="center" vertical="center"/>
    </xf>
    <xf numFmtId="0" fontId="22" fillId="0" borderId="0" xfId="0" applyFont="1"/>
    <xf numFmtId="0" fontId="19" fillId="0" borderId="0" xfId="0" applyFont="1"/>
    <xf numFmtId="172" fontId="52" fillId="0" borderId="0" xfId="0" applyNumberFormat="1" applyFont="1"/>
    <xf numFmtId="0" fontId="22" fillId="0" borderId="95" xfId="0" applyFont="1" applyBorder="1" applyAlignment="1">
      <alignment horizontal="left" vertical="center" indent="1"/>
    </xf>
    <xf numFmtId="172" fontId="22" fillId="0" borderId="0" xfId="0" applyNumberFormat="1" applyFont="1"/>
    <xf numFmtId="172" fontId="23" fillId="0" borderId="92" xfId="10" applyNumberFormat="1" applyFont="1" applyBorder="1" applyAlignment="1">
      <alignment horizontal="center" vertical="center"/>
    </xf>
    <xf numFmtId="172" fontId="23" fillId="0" borderId="93" xfId="10" applyNumberFormat="1" applyFont="1" applyBorder="1" applyAlignment="1">
      <alignment horizontal="center" vertical="center"/>
    </xf>
    <xf numFmtId="172" fontId="52" fillId="0" borderId="93" xfId="10" applyNumberFormat="1" applyFont="1" applyBorder="1" applyAlignment="1">
      <alignment horizontal="center" vertical="center"/>
    </xf>
    <xf numFmtId="172" fontId="52" fillId="0" borderId="94" xfId="10" applyNumberFormat="1" applyFont="1" applyBorder="1" applyAlignment="1">
      <alignment horizontal="center" vertical="center"/>
    </xf>
    <xf numFmtId="172" fontId="20" fillId="0" borderId="95" xfId="10" applyNumberFormat="1" applyFont="1" applyBorder="1" applyAlignment="1">
      <alignment horizontal="center" vertical="center"/>
    </xf>
    <xf numFmtId="172" fontId="20" fillId="0" borderId="84" xfId="10" applyNumberFormat="1" applyFont="1" applyBorder="1" applyAlignment="1">
      <alignment horizontal="center" vertical="center"/>
    </xf>
    <xf numFmtId="172" fontId="22" fillId="0" borderId="84" xfId="10" applyNumberFormat="1" applyFont="1" applyBorder="1" applyAlignment="1">
      <alignment horizontal="center" vertical="center"/>
    </xf>
    <xf numFmtId="172" fontId="22" fillId="0" borderId="96" xfId="10" applyNumberFormat="1" applyFont="1" applyBorder="1" applyAlignment="1">
      <alignment horizontal="center" vertical="center"/>
    </xf>
    <xf numFmtId="172" fontId="23" fillId="0" borderId="95" xfId="10" applyNumberFormat="1" applyFont="1" applyBorder="1" applyAlignment="1">
      <alignment horizontal="center" vertical="center"/>
    </xf>
    <xf numFmtId="172" fontId="23" fillId="0" borderId="84" xfId="10" applyNumberFormat="1" applyFont="1" applyBorder="1" applyAlignment="1">
      <alignment horizontal="center" vertical="center"/>
    </xf>
    <xf numFmtId="172" fontId="52" fillId="0" borderId="84" xfId="10" applyNumberFormat="1" applyFont="1" applyBorder="1" applyAlignment="1">
      <alignment horizontal="center" vertical="center"/>
    </xf>
    <xf numFmtId="172" fontId="52" fillId="0" borderId="96" xfId="10" applyNumberFormat="1" applyFont="1" applyBorder="1" applyAlignment="1">
      <alignment horizontal="center" vertical="center"/>
    </xf>
    <xf numFmtId="0" fontId="13" fillId="5" borderId="92" xfId="0" applyFont="1" applyFill="1" applyBorder="1" applyAlignment="1">
      <alignment horizontal="left"/>
    </xf>
    <xf numFmtId="0" fontId="13" fillId="5" borderId="95" xfId="0" applyFont="1" applyFill="1" applyBorder="1" applyAlignment="1">
      <alignment horizontal="left"/>
    </xf>
    <xf numFmtId="172" fontId="23" fillId="0" borderId="98" xfId="10" applyNumberFormat="1" applyFont="1" applyBorder="1" applyAlignment="1">
      <alignment horizontal="center" vertical="center"/>
    </xf>
    <xf numFmtId="172" fontId="23" fillId="0" borderId="99" xfId="10" applyNumberFormat="1" applyFont="1" applyBorder="1" applyAlignment="1">
      <alignment horizontal="center" vertical="center"/>
    </xf>
    <xf numFmtId="172" fontId="52" fillId="0" borderId="99" xfId="10" applyNumberFormat="1" applyFont="1" applyBorder="1" applyAlignment="1">
      <alignment horizontal="center" vertical="center"/>
    </xf>
    <xf numFmtId="172" fontId="52" fillId="0" borderId="97" xfId="10" applyNumberFormat="1" applyFont="1" applyBorder="1" applyAlignment="1">
      <alignment horizontal="center" vertical="center"/>
    </xf>
    <xf numFmtId="172" fontId="13" fillId="5" borderId="94" xfId="0" applyNumberFormat="1" applyFont="1" applyFill="1" applyBorder="1" applyAlignment="1">
      <alignment horizontal="center" vertical="center"/>
    </xf>
    <xf numFmtId="172" fontId="22" fillId="0" borderId="96" xfId="9" applyNumberFormat="1" applyFont="1" applyBorder="1" applyAlignment="1">
      <alignment horizontal="center" vertical="center"/>
    </xf>
    <xf numFmtId="172" fontId="13" fillId="5" borderId="96" xfId="9" applyNumberFormat="1" applyFont="1" applyFill="1" applyBorder="1" applyAlignment="1">
      <alignment horizontal="center" vertical="center"/>
    </xf>
    <xf numFmtId="172" fontId="13" fillId="5" borderId="96" xfId="0" applyNumberFormat="1" applyFont="1" applyFill="1" applyBorder="1" applyAlignment="1">
      <alignment horizontal="center" vertical="center"/>
    </xf>
    <xf numFmtId="172" fontId="13" fillId="5" borderId="97" xfId="0" applyNumberFormat="1" applyFont="1" applyFill="1" applyBorder="1" applyAlignment="1">
      <alignment horizontal="center" vertical="center"/>
    </xf>
    <xf numFmtId="0" fontId="12" fillId="5" borderId="42" xfId="0" applyFont="1" applyFill="1" applyBorder="1" applyAlignment="1">
      <alignment horizontal="center" wrapText="1"/>
    </xf>
    <xf numFmtId="0" fontId="12" fillId="5" borderId="43" xfId="0" applyFont="1" applyFill="1" applyBorder="1" applyAlignment="1">
      <alignment horizontal="center" wrapText="1"/>
    </xf>
    <xf numFmtId="0" fontId="12" fillId="5" borderId="91" xfId="0" applyFont="1" applyFill="1" applyBorder="1" applyAlignment="1">
      <alignment horizontal="center" wrapText="1"/>
    </xf>
    <xf numFmtId="0" fontId="54" fillId="0" borderId="0" xfId="6" applyFont="1" applyAlignment="1">
      <alignment vertical="center"/>
    </xf>
    <xf numFmtId="0" fontId="9" fillId="0" borderId="18" xfId="0" applyFont="1" applyBorder="1" applyAlignment="1">
      <alignment vertical="center"/>
    </xf>
    <xf numFmtId="0" fontId="8" fillId="7" borderId="15" xfId="0" applyFont="1" applyFill="1" applyBorder="1" applyAlignment="1">
      <alignment vertical="center"/>
    </xf>
    <xf numFmtId="0" fontId="9" fillId="9" borderId="6" xfId="0" applyFont="1" applyFill="1" applyBorder="1" applyAlignment="1">
      <alignment vertical="center"/>
    </xf>
    <xf numFmtId="3" fontId="22" fillId="0" borderId="46" xfId="6" applyNumberFormat="1" applyFont="1" applyBorder="1" applyAlignment="1">
      <alignment horizontal="center" vertical="center"/>
    </xf>
    <xf numFmtId="0" fontId="2" fillId="0" borderId="18" xfId="6" applyBorder="1"/>
    <xf numFmtId="166" fontId="0" fillId="0" borderId="0" xfId="7" applyNumberFormat="1" applyFont="1" applyFill="1" applyAlignment="1">
      <alignment horizontal="center" vertical="center"/>
    </xf>
    <xf numFmtId="3" fontId="22" fillId="0" borderId="39" xfId="6" applyNumberFormat="1" applyFont="1" applyBorder="1" applyAlignment="1">
      <alignment horizontal="center" vertical="center"/>
    </xf>
    <xf numFmtId="166" fontId="0" fillId="0" borderId="0" xfId="7" applyNumberFormat="1" applyFont="1" applyFill="1" applyBorder="1" applyAlignment="1">
      <alignment horizontal="center" vertical="center"/>
    </xf>
    <xf numFmtId="3" fontId="22" fillId="0" borderId="101" xfId="6" applyNumberFormat="1" applyFont="1" applyBorder="1" applyAlignment="1">
      <alignment horizontal="center" vertical="center"/>
    </xf>
    <xf numFmtId="3" fontId="22" fillId="0" borderId="52" xfId="6" applyNumberFormat="1" applyFont="1" applyBorder="1" applyAlignment="1">
      <alignment horizontal="center" vertical="center"/>
    </xf>
    <xf numFmtId="169" fontId="2" fillId="0" borderId="51" xfId="6" applyNumberFormat="1" applyBorder="1" applyAlignment="1">
      <alignment horizontal="center" vertical="center"/>
    </xf>
    <xf numFmtId="0" fontId="9" fillId="0" borderId="0" xfId="6" applyFont="1" applyAlignment="1">
      <alignment horizontal="center"/>
    </xf>
    <xf numFmtId="0" fontId="0" fillId="0" borderId="0" xfId="6" applyFont="1"/>
    <xf numFmtId="2" fontId="19" fillId="0" borderId="0" xfId="0" applyNumberFormat="1" applyFont="1" applyAlignment="1">
      <alignment horizontal="center"/>
    </xf>
    <xf numFmtId="0" fontId="10" fillId="0" borderId="0" xfId="6" applyFont="1"/>
    <xf numFmtId="0" fontId="42" fillId="0" borderId="0" xfId="0" applyFont="1"/>
    <xf numFmtId="167" fontId="0" fillId="0" borderId="102" xfId="0" applyNumberFormat="1" applyBorder="1" applyAlignment="1">
      <alignment horizontal="center" vertical="center"/>
    </xf>
    <xf numFmtId="168" fontId="11" fillId="0" borderId="0" xfId="6" applyNumberFormat="1" applyFont="1" applyAlignment="1">
      <alignment horizontal="center" vertical="center"/>
    </xf>
    <xf numFmtId="0" fontId="11" fillId="0" borderId="0" xfId="0" applyFont="1"/>
    <xf numFmtId="0" fontId="2" fillId="0" borderId="106" xfId="6" applyBorder="1"/>
    <xf numFmtId="0" fontId="2" fillId="0" borderId="107" xfId="6" applyBorder="1"/>
    <xf numFmtId="0" fontId="2" fillId="0" borderId="14" xfId="6" applyBorder="1"/>
    <xf numFmtId="0" fontId="2" fillId="0" borderId="108" xfId="6" applyBorder="1"/>
    <xf numFmtId="0" fontId="10" fillId="0" borderId="14" xfId="6" applyFont="1" applyBorder="1"/>
    <xf numFmtId="0" fontId="19" fillId="0" borderId="20" xfId="0" applyFont="1" applyBorder="1"/>
    <xf numFmtId="2" fontId="9" fillId="0" borderId="0" xfId="6" applyNumberFormat="1" applyFont="1" applyAlignment="1">
      <alignment horizontal="center"/>
    </xf>
    <xf numFmtId="0" fontId="2" fillId="0" borderId="20" xfId="6" applyBorder="1"/>
    <xf numFmtId="0" fontId="2" fillId="0" borderId="29" xfId="6" applyBorder="1"/>
    <xf numFmtId="0" fontId="10" fillId="0" borderId="29" xfId="6" applyFont="1" applyBorder="1"/>
    <xf numFmtId="0" fontId="2" fillId="0" borderId="109" xfId="6" applyBorder="1"/>
    <xf numFmtId="0" fontId="9" fillId="0" borderId="14" xfId="6" applyFont="1" applyBorder="1" applyAlignment="1">
      <alignment horizontal="center"/>
    </xf>
    <xf numFmtId="2" fontId="9" fillId="0" borderId="29" xfId="6" applyNumberFormat="1" applyFont="1" applyBorder="1" applyAlignment="1">
      <alignment horizontal="center"/>
    </xf>
    <xf numFmtId="0" fontId="0" fillId="0" borderId="29" xfId="6" applyFont="1" applyBorder="1"/>
    <xf numFmtId="3" fontId="9" fillId="0" borderId="0" xfId="6" applyNumberFormat="1" applyFont="1" applyAlignment="1">
      <alignment horizontal="center"/>
    </xf>
    <xf numFmtId="0" fontId="13" fillId="7" borderId="0" xfId="6" applyFont="1" applyFill="1" applyAlignment="1">
      <alignment horizontal="right" vertical="center" wrapText="1"/>
    </xf>
    <xf numFmtId="0" fontId="7" fillId="7" borderId="0" xfId="6" applyFont="1" applyFill="1" applyAlignment="1">
      <alignment horizontal="right" vertical="center"/>
    </xf>
    <xf numFmtId="1" fontId="43" fillId="5" borderId="83" xfId="6" applyNumberFormat="1" applyFont="1" applyFill="1" applyBorder="1" applyAlignment="1">
      <alignment horizontal="center" vertical="center"/>
    </xf>
    <xf numFmtId="0" fontId="6" fillId="7" borderId="0" xfId="6" applyFont="1" applyFill="1" applyAlignment="1">
      <alignment horizontal="center" vertical="center"/>
    </xf>
    <xf numFmtId="0" fontId="3" fillId="7" borderId="0" xfId="6" applyFont="1" applyFill="1" applyAlignment="1">
      <alignment horizontal="center"/>
    </xf>
    <xf numFmtId="0" fontId="13" fillId="5" borderId="0" xfId="6" applyFont="1" applyFill="1" applyAlignment="1">
      <alignment horizontal="center" vertical="center"/>
    </xf>
    <xf numFmtId="0" fontId="49" fillId="7" borderId="12" xfId="0" applyFont="1" applyFill="1" applyBorder="1" applyAlignment="1">
      <alignment horizontal="center" vertical="center" wrapText="1"/>
    </xf>
    <xf numFmtId="0" fontId="56" fillId="0" borderId="18" xfId="0" applyFont="1" applyBorder="1" applyAlignment="1">
      <alignment vertical="center"/>
    </xf>
    <xf numFmtId="0" fontId="56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00" xfId="0" applyNumberFormat="1" applyBorder="1" applyAlignment="1">
      <alignment horizontal="center" vertical="center"/>
    </xf>
    <xf numFmtId="0" fontId="19" fillId="0" borderId="0" xfId="0" applyFont="1" applyAlignment="1">
      <alignment vertical="center"/>
    </xf>
    <xf numFmtId="1" fontId="9" fillId="6" borderId="2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1" fontId="13" fillId="7" borderId="1" xfId="0" applyNumberFormat="1" applyFont="1" applyFill="1" applyBorder="1" applyAlignment="1">
      <alignment horizontal="center" vertical="center"/>
    </xf>
    <xf numFmtId="1" fontId="6" fillId="9" borderId="1" xfId="0" applyNumberFormat="1" applyFont="1" applyFill="1" applyBorder="1" applyAlignment="1">
      <alignment horizontal="center" vertical="center"/>
    </xf>
    <xf numFmtId="169" fontId="57" fillId="0" borderId="79" xfId="0" applyNumberFormat="1" applyFont="1" applyBorder="1" applyAlignment="1" applyProtection="1">
      <alignment horizontal="right" vertical="center"/>
      <protection locked="0"/>
    </xf>
    <xf numFmtId="4" fontId="57" fillId="0" borderId="80" xfId="0" applyNumberFormat="1" applyFont="1" applyBorder="1" applyAlignment="1" applyProtection="1">
      <alignment horizontal="center" vertical="center"/>
      <protection locked="0"/>
    </xf>
    <xf numFmtId="0" fontId="2" fillId="0" borderId="10" xfId="6" applyBorder="1" applyAlignment="1">
      <alignment horizontal="center"/>
    </xf>
    <xf numFmtId="0" fontId="2" fillId="0" borderId="0" xfId="6" applyAlignment="1">
      <alignment horizontal="left" vertical="center"/>
    </xf>
    <xf numFmtId="3" fontId="22" fillId="11" borderId="47" xfId="6" applyNumberFormat="1" applyFont="1" applyFill="1" applyBorder="1" applyAlignment="1">
      <alignment horizontal="center" vertical="center"/>
    </xf>
    <xf numFmtId="9" fontId="9" fillId="0" borderId="0" xfId="4" applyFont="1" applyBorder="1" applyAlignment="1">
      <alignment horizontal="center"/>
    </xf>
    <xf numFmtId="3" fontId="57" fillId="0" borderId="80" xfId="0" applyNumberFormat="1" applyFont="1" applyBorder="1" applyAlignment="1" applyProtection="1">
      <alignment horizontal="center" vertical="center"/>
      <protection locked="0"/>
    </xf>
    <xf numFmtId="0" fontId="9" fillId="0" borderId="103" xfId="6" applyFont="1" applyBorder="1" applyAlignment="1">
      <alignment horizontal="right"/>
    </xf>
    <xf numFmtId="0" fontId="9" fillId="0" borderId="104" xfId="6" applyFont="1" applyBorder="1" applyAlignment="1">
      <alignment horizontal="right"/>
    </xf>
    <xf numFmtId="0" fontId="9" fillId="0" borderId="100" xfId="6" applyFont="1" applyBorder="1" applyAlignment="1">
      <alignment horizontal="right"/>
    </xf>
    <xf numFmtId="0" fontId="6" fillId="0" borderId="100" xfId="0" applyFont="1" applyBorder="1" applyAlignment="1">
      <alignment horizontal="right"/>
    </xf>
    <xf numFmtId="0" fontId="6" fillId="0" borderId="105" xfId="0" applyFont="1" applyBorder="1" applyAlignment="1">
      <alignment horizontal="right"/>
    </xf>
    <xf numFmtId="0" fontId="9" fillId="0" borderId="105" xfId="6" applyFont="1" applyBorder="1" applyAlignment="1">
      <alignment horizontal="right"/>
    </xf>
    <xf numFmtId="0" fontId="6" fillId="0" borderId="0" xfId="0" applyFont="1"/>
    <xf numFmtId="0" fontId="9" fillId="0" borderId="0" xfId="6" applyFont="1" applyAlignment="1">
      <alignment horizontal="right"/>
    </xf>
    <xf numFmtId="0" fontId="20" fillId="0" borderId="0" xfId="0" applyFont="1"/>
    <xf numFmtId="9" fontId="59" fillId="5" borderId="113" xfId="4" applyFont="1" applyFill="1" applyBorder="1" applyAlignment="1">
      <alignment horizontal="center" vertical="center"/>
    </xf>
    <xf numFmtId="0" fontId="66" fillId="0" borderId="0" xfId="0" applyFont="1" applyAlignment="1">
      <alignment vertical="center"/>
    </xf>
    <xf numFmtId="1" fontId="13" fillId="5" borderId="115" xfId="0" applyNumberFormat="1" applyFont="1" applyFill="1" applyBorder="1" applyAlignment="1">
      <alignment horizontal="center" vertical="center"/>
    </xf>
    <xf numFmtId="0" fontId="69" fillId="7" borderId="15" xfId="0" applyFont="1" applyFill="1" applyBorder="1" applyAlignment="1">
      <alignment horizontal="center" vertical="center"/>
    </xf>
    <xf numFmtId="0" fontId="70" fillId="9" borderId="6" xfId="0" applyFont="1" applyFill="1" applyBorder="1" applyAlignment="1">
      <alignment horizontal="center" vertical="center"/>
    </xf>
    <xf numFmtId="0" fontId="70" fillId="6" borderId="6" xfId="0" applyFont="1" applyFill="1" applyBorder="1" applyAlignment="1">
      <alignment horizontal="center" vertical="center"/>
    </xf>
    <xf numFmtId="1" fontId="13" fillId="5" borderId="11" xfId="0" applyNumberFormat="1" applyFont="1" applyFill="1" applyBorder="1" applyAlignment="1">
      <alignment horizontal="center" vertical="center"/>
    </xf>
    <xf numFmtId="1" fontId="13" fillId="5" borderId="17" xfId="0" applyNumberFormat="1" applyFont="1" applyFill="1" applyBorder="1" applyAlignment="1">
      <alignment horizontal="center" vertical="center"/>
    </xf>
    <xf numFmtId="1" fontId="13" fillId="7" borderId="2" xfId="0" applyNumberFormat="1" applyFont="1" applyFill="1" applyBorder="1" applyAlignment="1">
      <alignment horizontal="center" vertical="center"/>
    </xf>
    <xf numFmtId="1" fontId="6" fillId="9" borderId="2" xfId="0" applyNumberFormat="1" applyFont="1" applyFill="1" applyBorder="1" applyAlignment="1">
      <alignment horizontal="center" vertical="center"/>
    </xf>
    <xf numFmtId="1" fontId="6" fillId="9" borderId="4" xfId="0" applyNumberFormat="1" applyFont="1" applyFill="1" applyBorder="1" applyAlignment="1">
      <alignment horizontal="center" vertical="center"/>
    </xf>
    <xf numFmtId="9" fontId="59" fillId="5" borderId="25" xfId="4" applyFont="1" applyFill="1" applyBorder="1" applyAlignment="1">
      <alignment horizontal="center" vertical="center"/>
    </xf>
    <xf numFmtId="9" fontId="59" fillId="5" borderId="116" xfId="4" applyFont="1" applyFill="1" applyBorder="1" applyAlignment="1">
      <alignment horizontal="center" vertical="center"/>
    </xf>
    <xf numFmtId="9" fontId="59" fillId="5" borderId="117" xfId="4" applyFont="1" applyFill="1" applyBorder="1" applyAlignment="1">
      <alignment horizontal="center" vertical="center"/>
    </xf>
    <xf numFmtId="1" fontId="13" fillId="5" borderId="5" xfId="0" applyNumberFormat="1" applyFont="1" applyFill="1" applyBorder="1" applyAlignment="1">
      <alignment horizontal="center" vertical="center"/>
    </xf>
    <xf numFmtId="1" fontId="13" fillId="7" borderId="27" xfId="0" applyNumberFormat="1" applyFont="1" applyFill="1" applyBorder="1" applyAlignment="1">
      <alignment horizontal="center" vertical="center"/>
    </xf>
    <xf numFmtId="1" fontId="6" fillId="9" borderId="27" xfId="0" applyNumberFormat="1" applyFont="1" applyFill="1" applyBorder="1" applyAlignment="1">
      <alignment horizontal="center" vertical="center"/>
    </xf>
    <xf numFmtId="9" fontId="59" fillId="5" borderId="119" xfId="4" applyFont="1" applyFill="1" applyBorder="1" applyAlignment="1">
      <alignment horizontal="center" vertical="center"/>
    </xf>
    <xf numFmtId="0" fontId="13" fillId="5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8" fillId="7" borderId="27" xfId="0" applyFont="1" applyFill="1" applyBorder="1" applyAlignment="1">
      <alignment horizontal="left" vertical="center"/>
    </xf>
    <xf numFmtId="0" fontId="9" fillId="9" borderId="27" xfId="0" applyFont="1" applyFill="1" applyBorder="1" applyAlignment="1">
      <alignment horizontal="left" vertical="center"/>
    </xf>
    <xf numFmtId="0" fontId="59" fillId="5" borderId="111" xfId="0" applyFont="1" applyFill="1" applyBorder="1" applyAlignment="1">
      <alignment horizontal="left" vertical="center"/>
    </xf>
    <xf numFmtId="0" fontId="59" fillId="5" borderId="119" xfId="0" applyFont="1" applyFill="1" applyBorder="1" applyAlignment="1">
      <alignment horizontal="left" vertical="center"/>
    </xf>
    <xf numFmtId="1" fontId="43" fillId="5" borderId="83" xfId="6" applyNumberFormat="1" applyFont="1" applyFill="1" applyBorder="1" applyAlignment="1">
      <alignment vertical="center"/>
    </xf>
    <xf numFmtId="0" fontId="4" fillId="7" borderId="79" xfId="6" applyFont="1" applyFill="1" applyBorder="1" applyAlignment="1">
      <alignment vertical="center"/>
    </xf>
    <xf numFmtId="0" fontId="4" fillId="7" borderId="80" xfId="6" applyFont="1" applyFill="1" applyBorder="1" applyAlignment="1">
      <alignment vertical="center"/>
    </xf>
    <xf numFmtId="0" fontId="41" fillId="5" borderId="82" xfId="6" applyFont="1" applyFill="1" applyBorder="1" applyAlignment="1">
      <alignment vertical="center"/>
    </xf>
    <xf numFmtId="0" fontId="41" fillId="5" borderId="83" xfId="6" applyFont="1" applyFill="1" applyBorder="1" applyAlignment="1">
      <alignment vertical="center"/>
    </xf>
    <xf numFmtId="0" fontId="41" fillId="7" borderId="79" xfId="6" applyFont="1" applyFill="1" applyBorder="1" applyAlignment="1">
      <alignment vertical="center"/>
    </xf>
    <xf numFmtId="0" fontId="41" fillId="7" borderId="80" xfId="6" applyFont="1" applyFill="1" applyBorder="1" applyAlignment="1">
      <alignment vertical="center"/>
    </xf>
    <xf numFmtId="0" fontId="41" fillId="7" borderId="81" xfId="6" applyFont="1" applyFill="1" applyBorder="1" applyAlignment="1">
      <alignment vertical="center"/>
    </xf>
    <xf numFmtId="0" fontId="15" fillId="7" borderId="79" xfId="6" applyFont="1" applyFill="1" applyBorder="1" applyAlignment="1">
      <alignment vertical="center"/>
    </xf>
    <xf numFmtId="0" fontId="15" fillId="7" borderId="80" xfId="6" applyFont="1" applyFill="1" applyBorder="1" applyAlignment="1">
      <alignment vertical="center"/>
    </xf>
    <xf numFmtId="3" fontId="22" fillId="12" borderId="47" xfId="6" applyNumberFormat="1" applyFont="1" applyFill="1" applyBorder="1" applyAlignment="1">
      <alignment horizontal="center" vertical="center"/>
    </xf>
    <xf numFmtId="0" fontId="60" fillId="5" borderId="118" xfId="0" applyFont="1" applyFill="1" applyBorder="1" applyAlignment="1">
      <alignment horizontal="left" vertical="center"/>
    </xf>
    <xf numFmtId="0" fontId="76" fillId="0" borderId="0" xfId="0" applyFont="1" applyAlignment="1">
      <alignment vertical="center"/>
    </xf>
    <xf numFmtId="0" fontId="60" fillId="5" borderId="110" xfId="0" applyFont="1" applyFill="1" applyBorder="1" applyAlignment="1">
      <alignment horizontal="right" vertical="center"/>
    </xf>
    <xf numFmtId="0" fontId="71" fillId="0" borderId="0" xfId="0" applyFont="1" applyAlignment="1">
      <alignment vertical="center"/>
    </xf>
    <xf numFmtId="1" fontId="60" fillId="5" borderId="23" xfId="0" applyNumberFormat="1" applyFont="1" applyFill="1" applyBorder="1" applyAlignment="1">
      <alignment horizontal="center" vertical="center"/>
    </xf>
    <xf numFmtId="1" fontId="60" fillId="5" borderId="37" xfId="0" applyNumberFormat="1" applyFont="1" applyFill="1" applyBorder="1" applyAlignment="1">
      <alignment horizontal="center" vertical="center"/>
    </xf>
    <xf numFmtId="1" fontId="60" fillId="5" borderId="85" xfId="0" applyNumberFormat="1" applyFont="1" applyFill="1" applyBorder="1" applyAlignment="1">
      <alignment horizontal="center" vertical="center"/>
    </xf>
    <xf numFmtId="1" fontId="60" fillId="5" borderId="110" xfId="0" applyNumberFormat="1" applyFont="1" applyFill="1" applyBorder="1" applyAlignment="1">
      <alignment horizontal="center" vertical="center"/>
    </xf>
    <xf numFmtId="0" fontId="77" fillId="0" borderId="0" xfId="0" applyFont="1" applyAlignment="1">
      <alignment vertical="center"/>
    </xf>
    <xf numFmtId="1" fontId="60" fillId="5" borderId="114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9" fillId="0" borderId="11" xfId="6" applyFont="1" applyBorder="1"/>
    <xf numFmtId="0" fontId="19" fillId="0" borderId="12" xfId="0" applyFont="1" applyBorder="1"/>
    <xf numFmtId="0" fontId="19" fillId="0" borderId="17" xfId="0" applyFont="1" applyBorder="1"/>
    <xf numFmtId="169" fontId="9" fillId="0" borderId="0" xfId="6" applyNumberFormat="1" applyFont="1" applyAlignment="1">
      <alignment horizontal="center"/>
    </xf>
    <xf numFmtId="0" fontId="9" fillId="0" borderId="10" xfId="6" applyFont="1" applyBorder="1" applyAlignment="1">
      <alignment horizontal="center"/>
    </xf>
    <xf numFmtId="0" fontId="2" fillId="0" borderId="10" xfId="6" applyBorder="1"/>
    <xf numFmtId="0" fontId="2" fillId="0" borderId="19" xfId="6" applyBorder="1"/>
    <xf numFmtId="0" fontId="9" fillId="0" borderId="5" xfId="6" applyFont="1" applyBorder="1"/>
    <xf numFmtId="0" fontId="9" fillId="0" borderId="7" xfId="6" applyFont="1" applyBorder="1"/>
    <xf numFmtId="0" fontId="9" fillId="0" borderId="57" xfId="0" applyFont="1" applyBorder="1" applyAlignment="1">
      <alignment horizontal="left" vertical="center"/>
    </xf>
    <xf numFmtId="0" fontId="11" fillId="0" borderId="0" xfId="6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" fillId="0" borderId="0" xfId="6" applyAlignment="1">
      <alignment horizontal="center"/>
    </xf>
    <xf numFmtId="0" fontId="2" fillId="0" borderId="106" xfId="6" applyBorder="1" applyAlignment="1">
      <alignment horizontal="center"/>
    </xf>
    <xf numFmtId="0" fontId="2" fillId="0" borderId="29" xfId="6" applyBorder="1" applyAlignment="1">
      <alignment horizontal="center"/>
    </xf>
    <xf numFmtId="0" fontId="2" fillId="0" borderId="14" xfId="6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123" xfId="0" applyBorder="1"/>
    <xf numFmtId="0" fontId="0" fillId="0" borderId="122" xfId="0" applyBorder="1"/>
    <xf numFmtId="0" fontId="10" fillId="0" borderId="80" xfId="6" applyFont="1" applyBorder="1"/>
    <xf numFmtId="0" fontId="2" fillId="0" borderId="80" xfId="6" applyBorder="1"/>
    <xf numFmtId="169" fontId="57" fillId="0" borderId="80" xfId="0" applyNumberFormat="1" applyFont="1" applyBorder="1" applyAlignment="1" applyProtection="1">
      <alignment horizontal="center" vertical="center"/>
      <protection locked="0"/>
    </xf>
    <xf numFmtId="169" fontId="57" fillId="0" borderId="80" xfId="0" applyNumberFormat="1" applyFont="1" applyBorder="1" applyAlignment="1" applyProtection="1">
      <alignment horizontal="left" vertical="center"/>
      <protection locked="0"/>
    </xf>
    <xf numFmtId="0" fontId="2" fillId="0" borderId="130" xfId="6" applyBorder="1"/>
    <xf numFmtId="0" fontId="2" fillId="0" borderId="132" xfId="6" applyBorder="1"/>
    <xf numFmtId="0" fontId="9" fillId="0" borderId="6" xfId="6" applyFont="1" applyBorder="1" applyAlignment="1">
      <alignment horizontal="right"/>
    </xf>
    <xf numFmtId="0" fontId="13" fillId="0" borderId="18" xfId="0" applyFont="1" applyBorder="1" applyAlignment="1">
      <alignment vertical="center"/>
    </xf>
    <xf numFmtId="0" fontId="6" fillId="0" borderId="6" xfId="0" applyFont="1" applyBorder="1" applyAlignment="1">
      <alignment horizontal="right"/>
    </xf>
    <xf numFmtId="0" fontId="6" fillId="0" borderId="18" xfId="6" applyFont="1" applyBorder="1"/>
    <xf numFmtId="0" fontId="9" fillId="6" borderId="27" xfId="6" applyFont="1" applyFill="1" applyBorder="1"/>
    <xf numFmtId="0" fontId="9" fillId="0" borderId="10" xfId="6" applyFont="1" applyBorder="1"/>
    <xf numFmtId="0" fontId="42" fillId="0" borderId="18" xfId="0" applyFont="1" applyBorder="1"/>
    <xf numFmtId="0" fontId="2" fillId="0" borderId="100" xfId="6" applyBorder="1"/>
    <xf numFmtId="0" fontId="19" fillId="0" borderId="18" xfId="0" applyFont="1" applyBorder="1"/>
    <xf numFmtId="0" fontId="2" fillId="0" borderId="12" xfId="6" applyBorder="1"/>
    <xf numFmtId="0" fontId="77" fillId="0" borderId="12" xfId="6" applyFont="1" applyBorder="1" applyAlignment="1">
      <alignment horizontal="right"/>
    </xf>
    <xf numFmtId="0" fontId="6" fillId="0" borderId="12" xfId="6" applyFont="1" applyBorder="1"/>
    <xf numFmtId="0" fontId="0" fillId="0" borderId="12" xfId="0" applyBorder="1"/>
    <xf numFmtId="0" fontId="10" fillId="0" borderId="12" xfId="6" applyFont="1" applyBorder="1" applyAlignment="1">
      <alignment horizontal="right"/>
    </xf>
    <xf numFmtId="0" fontId="10" fillId="0" borderId="12" xfId="6" applyFont="1" applyBorder="1" applyAlignment="1">
      <alignment horizontal="left"/>
    </xf>
    <xf numFmtId="169" fontId="57" fillId="0" borderId="80" xfId="0" applyNumberFormat="1" applyFont="1" applyBorder="1" applyAlignment="1" applyProtection="1">
      <alignment horizontal="right" vertical="center"/>
      <protection locked="0"/>
    </xf>
    <xf numFmtId="0" fontId="9" fillId="0" borderId="29" xfId="6" applyFont="1" applyBorder="1" applyAlignment="1">
      <alignment horizontal="center"/>
    </xf>
    <xf numFmtId="0" fontId="9" fillId="0" borderId="12" xfId="6" applyFont="1" applyBorder="1" applyAlignment="1">
      <alignment horizontal="center"/>
    </xf>
    <xf numFmtId="0" fontId="2" fillId="0" borderId="17" xfId="6" applyBorder="1"/>
    <xf numFmtId="0" fontId="9" fillId="0" borderId="28" xfId="6" applyFont="1" applyBorder="1"/>
    <xf numFmtId="0" fontId="2" fillId="0" borderId="33" xfId="6" applyBorder="1"/>
    <xf numFmtId="0" fontId="6" fillId="0" borderId="7" xfId="0" applyFont="1" applyBorder="1" applyAlignment="1">
      <alignment horizontal="right"/>
    </xf>
    <xf numFmtId="3" fontId="9" fillId="0" borderId="10" xfId="6" applyNumberFormat="1" applyFont="1" applyBorder="1" applyAlignment="1">
      <alignment horizontal="center"/>
    </xf>
    <xf numFmtId="0" fontId="0" fillId="0" borderId="10" xfId="6" applyFont="1" applyBorder="1"/>
    <xf numFmtId="0" fontId="9" fillId="0" borderId="131" xfId="6" applyFont="1" applyBorder="1" applyAlignment="1">
      <alignment horizontal="right"/>
    </xf>
    <xf numFmtId="0" fontId="22" fillId="0" borderId="18" xfId="0" applyFont="1" applyBorder="1" applyAlignment="1">
      <alignment horizontal="left" vertical="center"/>
    </xf>
    <xf numFmtId="0" fontId="48" fillId="0" borderId="18" xfId="0" applyFont="1" applyBorder="1" applyAlignment="1">
      <alignment horizontal="left" vertical="center"/>
    </xf>
    <xf numFmtId="0" fontId="22" fillId="0" borderId="6" xfId="0" applyFont="1" applyBorder="1" applyAlignment="1">
      <alignment horizontal="right" vertical="center"/>
    </xf>
    <xf numFmtId="0" fontId="22" fillId="0" borderId="36" xfId="0" applyFont="1" applyBorder="1" applyAlignment="1">
      <alignment horizontal="right" vertical="center"/>
    </xf>
    <xf numFmtId="0" fontId="22" fillId="0" borderId="35" xfId="0" applyFont="1" applyBorder="1" applyAlignment="1">
      <alignment horizontal="right" vertical="center"/>
    </xf>
    <xf numFmtId="0" fontId="80" fillId="0" borderId="35" xfId="0" applyFont="1" applyBorder="1" applyAlignment="1">
      <alignment horizontal="right" vertical="center"/>
    </xf>
    <xf numFmtId="0" fontId="15" fillId="0" borderId="15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7" borderId="27" xfId="0" applyFont="1" applyFill="1" applyBorder="1" applyAlignment="1">
      <alignment horizontal="right" vertical="center"/>
    </xf>
    <xf numFmtId="0" fontId="80" fillId="0" borderId="34" xfId="0" applyFont="1" applyBorder="1" applyAlignment="1">
      <alignment horizontal="right" vertical="center"/>
    </xf>
    <xf numFmtId="0" fontId="20" fillId="0" borderId="135" xfId="0" applyFont="1" applyBorder="1" applyAlignment="1">
      <alignment horizontal="right" vertical="center"/>
    </xf>
    <xf numFmtId="0" fontId="22" fillId="0" borderId="86" xfId="0" applyFont="1" applyBorder="1" applyAlignment="1">
      <alignment vertical="center"/>
    </xf>
    <xf numFmtId="0" fontId="22" fillId="0" borderId="57" xfId="0" applyFont="1" applyBorder="1" applyAlignment="1">
      <alignment vertical="center"/>
    </xf>
    <xf numFmtId="0" fontId="22" fillId="0" borderId="88" xfId="0" applyFont="1" applyBorder="1" applyAlignment="1">
      <alignment vertical="center"/>
    </xf>
    <xf numFmtId="0" fontId="22" fillId="0" borderId="86" xfId="0" applyFont="1" applyBorder="1" applyAlignment="1">
      <alignment horizontal="left" vertical="center"/>
    </xf>
    <xf numFmtId="0" fontId="22" fillId="0" borderId="57" xfId="0" applyFont="1" applyBorder="1" applyAlignment="1">
      <alignment horizontal="left" vertical="center"/>
    </xf>
    <xf numFmtId="0" fontId="20" fillId="0" borderId="138" xfId="0" applyFont="1" applyBorder="1" applyAlignment="1">
      <alignment horizontal="left" vertical="center"/>
    </xf>
    <xf numFmtId="3" fontId="22" fillId="0" borderId="139" xfId="0" applyNumberFormat="1" applyFont="1" applyBorder="1" applyAlignment="1">
      <alignment horizontal="center" vertical="center"/>
    </xf>
    <xf numFmtId="3" fontId="22" fillId="0" borderId="64" xfId="0" applyNumberFormat="1" applyFont="1" applyBorder="1" applyAlignment="1">
      <alignment horizontal="center" vertical="center"/>
    </xf>
    <xf numFmtId="166" fontId="22" fillId="0" borderId="26" xfId="4" applyNumberFormat="1" applyFont="1" applyFill="1" applyBorder="1" applyAlignment="1">
      <alignment horizontal="center" vertical="center"/>
    </xf>
    <xf numFmtId="1" fontId="22" fillId="0" borderId="53" xfId="0" applyNumberFormat="1" applyFont="1" applyBorder="1" applyAlignment="1">
      <alignment horizontal="center" vertical="center"/>
    </xf>
    <xf numFmtId="0" fontId="22" fillId="0" borderId="139" xfId="0" applyFont="1" applyBorder="1" applyAlignment="1">
      <alignment horizontal="center" vertical="center"/>
    </xf>
    <xf numFmtId="0" fontId="22" fillId="0" borderId="64" xfId="0" applyFont="1" applyBorder="1" applyAlignment="1">
      <alignment horizontal="center" vertical="center"/>
    </xf>
    <xf numFmtId="3" fontId="20" fillId="0" borderId="141" xfId="0" applyNumberFormat="1" applyFont="1" applyBorder="1" applyAlignment="1">
      <alignment horizontal="center" vertical="center"/>
    </xf>
    <xf numFmtId="0" fontId="49" fillId="7" borderId="17" xfId="0" applyFont="1" applyFill="1" applyBorder="1" applyAlignment="1">
      <alignment vertical="center" wrapText="1"/>
    </xf>
    <xf numFmtId="0" fontId="0" fillId="0" borderId="142" xfId="0" applyBorder="1"/>
    <xf numFmtId="0" fontId="0" fillId="0" borderId="13" xfId="0" applyBorder="1"/>
    <xf numFmtId="0" fontId="43" fillId="0" borderId="124" xfId="6" applyFont="1" applyBorder="1"/>
    <xf numFmtId="0" fontId="83" fillId="0" borderId="127" xfId="0" applyFont="1" applyBorder="1" applyAlignment="1">
      <alignment horizontal="left" vertical="center"/>
    </xf>
    <xf numFmtId="0" fontId="45" fillId="0" borderId="124" xfId="0" applyFont="1" applyBorder="1"/>
    <xf numFmtId="0" fontId="45" fillId="0" borderId="39" xfId="6" applyFont="1" applyBorder="1"/>
    <xf numFmtId="0" fontId="45" fillId="0" borderId="122" xfId="0" applyFont="1" applyBorder="1" applyAlignment="1">
      <alignment horizontal="left" vertical="center"/>
    </xf>
    <xf numFmtId="0" fontId="45" fillId="0" borderId="39" xfId="0" applyFont="1" applyBorder="1" applyAlignment="1">
      <alignment vertical="center"/>
    </xf>
    <xf numFmtId="0" fontId="45" fillId="0" borderId="39" xfId="0" applyFont="1" applyBorder="1"/>
    <xf numFmtId="0" fontId="45" fillId="0" borderId="39" xfId="0" applyFont="1" applyBorder="1" applyAlignment="1">
      <alignment horizontal="right"/>
    </xf>
    <xf numFmtId="0" fontId="45" fillId="0" borderId="52" xfId="6" applyFont="1" applyBorder="1"/>
    <xf numFmtId="0" fontId="45" fillId="0" borderId="52" xfId="0" applyFont="1" applyBorder="1" applyAlignment="1">
      <alignment horizontal="right" vertical="center"/>
    </xf>
    <xf numFmtId="0" fontId="45" fillId="0" borderId="52" xfId="0" applyFont="1" applyBorder="1" applyAlignment="1">
      <alignment vertical="center"/>
    </xf>
    <xf numFmtId="0" fontId="45" fillId="0" borderId="52" xfId="0" applyFont="1" applyBorder="1"/>
    <xf numFmtId="0" fontId="45" fillId="0" borderId="52" xfId="0" applyFont="1" applyBorder="1" applyAlignment="1">
      <alignment horizontal="right"/>
    </xf>
    <xf numFmtId="9" fontId="45" fillId="0" borderId="143" xfId="4" applyFont="1" applyBorder="1" applyAlignment="1">
      <alignment horizontal="center" vertical="center"/>
    </xf>
    <xf numFmtId="167" fontId="84" fillId="0" borderId="144" xfId="0" applyNumberFormat="1" applyFont="1" applyBorder="1" applyAlignment="1">
      <alignment vertical="center"/>
    </xf>
    <xf numFmtId="0" fontId="45" fillId="0" borderId="39" xfId="0" applyFont="1" applyBorder="1" applyAlignment="1">
      <alignment horizontal="right" vertical="center"/>
    </xf>
    <xf numFmtId="169" fontId="45" fillId="0" borderId="143" xfId="4" applyNumberFormat="1" applyFont="1" applyBorder="1" applyAlignment="1">
      <alignment horizontal="center" vertical="center"/>
    </xf>
    <xf numFmtId="0" fontId="45" fillId="0" borderId="29" xfId="6" applyFont="1" applyBorder="1"/>
    <xf numFmtId="0" fontId="45" fillId="0" borderId="29" xfId="0" applyFont="1" applyBorder="1" applyAlignment="1">
      <alignment vertical="center"/>
    </xf>
    <xf numFmtId="0" fontId="45" fillId="0" borderId="29" xfId="0" applyFont="1" applyBorder="1"/>
    <xf numFmtId="0" fontId="45" fillId="0" borderId="29" xfId="0" applyFont="1" applyBorder="1" applyAlignment="1">
      <alignment horizontal="right"/>
    </xf>
    <xf numFmtId="167" fontId="84" fillId="0" borderId="109" xfId="0" applyNumberFormat="1" applyFont="1" applyBorder="1" applyAlignment="1">
      <alignment vertical="center"/>
    </xf>
    <xf numFmtId="0" fontId="43" fillId="0" borderId="39" xfId="0" applyFont="1" applyBorder="1" applyAlignment="1">
      <alignment vertical="center"/>
    </xf>
    <xf numFmtId="0" fontId="45" fillId="0" borderId="44" xfId="0" applyFont="1" applyBorder="1" applyAlignment="1">
      <alignment horizontal="right"/>
    </xf>
    <xf numFmtId="9" fontId="45" fillId="0" borderId="145" xfId="4" applyFont="1" applyBorder="1" applyAlignment="1">
      <alignment horizontal="center" vertical="center"/>
    </xf>
    <xf numFmtId="0" fontId="45" fillId="0" borderId="146" xfId="6" applyFont="1" applyBorder="1"/>
    <xf numFmtId="0" fontId="45" fillId="0" borderId="124" xfId="0" applyFont="1" applyBorder="1" applyAlignment="1">
      <alignment horizontal="right"/>
    </xf>
    <xf numFmtId="4" fontId="45" fillId="0" borderId="126" xfId="4" applyNumberFormat="1" applyFont="1" applyBorder="1" applyAlignment="1">
      <alignment horizontal="center" vertical="center"/>
    </xf>
    <xf numFmtId="167" fontId="84" fillId="0" borderId="128" xfId="0" applyNumberFormat="1" applyFont="1" applyBorder="1" applyAlignment="1">
      <alignment vertical="center"/>
    </xf>
    <xf numFmtId="167" fontId="84" fillId="0" borderId="40" xfId="0" applyNumberFormat="1" applyFont="1" applyBorder="1" applyAlignment="1">
      <alignment vertical="center"/>
    </xf>
    <xf numFmtId="167" fontId="22" fillId="0" borderId="35" xfId="0" applyNumberFormat="1" applyFont="1" applyBorder="1" applyAlignment="1">
      <alignment horizontal="center" vertical="center"/>
    </xf>
    <xf numFmtId="167" fontId="20" fillId="0" borderId="35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right" vertical="center"/>
    </xf>
    <xf numFmtId="0" fontId="0" fillId="0" borderId="56" xfId="0" applyBorder="1" applyAlignment="1">
      <alignment horizontal="right" vertical="center"/>
    </xf>
    <xf numFmtId="0" fontId="9" fillId="0" borderId="56" xfId="0" applyFont="1" applyBorder="1" applyAlignment="1">
      <alignment horizontal="right" vertical="center"/>
    </xf>
    <xf numFmtId="0" fontId="9" fillId="0" borderId="57" xfId="0" applyFont="1" applyBorder="1" applyAlignment="1">
      <alignment vertical="center"/>
    </xf>
    <xf numFmtId="0" fontId="0" fillId="0" borderId="87" xfId="0" applyBorder="1" applyAlignment="1">
      <alignment horizontal="right" vertical="center"/>
    </xf>
    <xf numFmtId="0" fontId="14" fillId="0" borderId="147" xfId="0" applyFont="1" applyBorder="1" applyAlignment="1">
      <alignment horizontal="right" vertical="center"/>
    </xf>
    <xf numFmtId="0" fontId="22" fillId="0" borderId="56" xfId="0" applyFont="1" applyBorder="1" applyAlignment="1">
      <alignment horizontal="right" vertical="center"/>
    </xf>
    <xf numFmtId="0" fontId="80" fillId="0" borderId="56" xfId="0" applyFont="1" applyBorder="1" applyAlignment="1">
      <alignment horizontal="right" vertical="center"/>
    </xf>
    <xf numFmtId="0" fontId="82" fillId="0" borderId="56" xfId="0" applyFont="1" applyBorder="1" applyAlignment="1">
      <alignment horizontal="right" vertical="center"/>
    </xf>
    <xf numFmtId="0" fontId="0" fillId="0" borderId="148" xfId="0" applyBorder="1" applyAlignment="1">
      <alignment horizontal="right" vertical="center"/>
    </xf>
    <xf numFmtId="0" fontId="22" fillId="0" borderId="147" xfId="0" applyFont="1" applyBorder="1" applyAlignment="1">
      <alignment horizontal="right" vertical="center"/>
    </xf>
    <xf numFmtId="0" fontId="0" fillId="0" borderId="127" xfId="0" applyBorder="1" applyAlignment="1">
      <alignment vertical="center"/>
    </xf>
    <xf numFmtId="0" fontId="0" fillId="0" borderId="66" xfId="0" applyBorder="1" applyAlignment="1">
      <alignment horizontal="left" vertical="center"/>
    </xf>
    <xf numFmtId="0" fontId="22" fillId="0" borderId="66" xfId="0" applyFont="1" applyBorder="1" applyAlignment="1">
      <alignment horizontal="left" vertical="center"/>
    </xf>
    <xf numFmtId="3" fontId="0" fillId="0" borderId="149" xfId="0" applyNumberFormat="1" applyBorder="1" applyAlignment="1">
      <alignment horizontal="center" vertical="center"/>
    </xf>
    <xf numFmtId="3" fontId="0" fillId="0" borderId="35" xfId="0" applyNumberFormat="1" applyBorder="1" applyAlignment="1">
      <alignment horizontal="center" vertical="center"/>
    </xf>
    <xf numFmtId="166" fontId="0" fillId="0" borderId="6" xfId="4" applyNumberFormat="1" applyFont="1" applyFill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2" fontId="22" fillId="0" borderId="35" xfId="0" applyNumberFormat="1" applyFont="1" applyBorder="1" applyAlignment="1">
      <alignment horizontal="center" vertical="center"/>
    </xf>
    <xf numFmtId="2" fontId="22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2" fillId="0" borderId="149" xfId="0" applyFont="1" applyBorder="1" applyAlignment="1">
      <alignment horizontal="center" vertical="center"/>
    </xf>
    <xf numFmtId="3" fontId="22" fillId="0" borderId="35" xfId="0" applyNumberFormat="1" applyFont="1" applyBorder="1" applyAlignment="1">
      <alignment horizontal="center" vertical="center"/>
    </xf>
    <xf numFmtId="9" fontId="22" fillId="0" borderId="35" xfId="4" applyFont="1" applyFill="1" applyBorder="1" applyAlignment="1">
      <alignment horizontal="center" vertical="center"/>
    </xf>
    <xf numFmtId="168" fontId="22" fillId="0" borderId="133" xfId="0" applyNumberFormat="1" applyFont="1" applyBorder="1" applyAlignment="1">
      <alignment horizontal="center" vertical="center"/>
    </xf>
    <xf numFmtId="0" fontId="4" fillId="7" borderId="11" xfId="0" applyFont="1" applyFill="1" applyBorder="1" applyAlignment="1">
      <alignment horizontal="left" vertical="center" wrapText="1"/>
    </xf>
    <xf numFmtId="0" fontId="67" fillId="0" borderId="0" xfId="6" applyFont="1" applyAlignment="1">
      <alignment horizontal="right"/>
    </xf>
    <xf numFmtId="0" fontId="8" fillId="0" borderId="0" xfId="6" applyFont="1"/>
    <xf numFmtId="167" fontId="0" fillId="0" borderId="133" xfId="0" applyNumberFormat="1" applyBorder="1" applyAlignment="1">
      <alignment horizontal="center" vertical="center"/>
    </xf>
    <xf numFmtId="0" fontId="8" fillId="3" borderId="19" xfId="0" applyFont="1" applyFill="1" applyBorder="1" applyAlignment="1">
      <alignment vertical="center"/>
    </xf>
    <xf numFmtId="167" fontId="0" fillId="0" borderId="35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67" fontId="9" fillId="0" borderId="35" xfId="0" applyNumberFormat="1" applyFont="1" applyBorder="1" applyAlignment="1">
      <alignment horizontal="center" vertical="center"/>
    </xf>
    <xf numFmtId="165" fontId="9" fillId="0" borderId="35" xfId="0" applyNumberFormat="1" applyFont="1" applyBorder="1" applyAlignment="1">
      <alignment horizontal="center" vertical="center"/>
    </xf>
    <xf numFmtId="2" fontId="8" fillId="3" borderId="7" xfId="0" applyNumberFormat="1" applyFont="1" applyFill="1" applyBorder="1" applyAlignment="1">
      <alignment horizontal="center" vertical="center"/>
    </xf>
    <xf numFmtId="0" fontId="83" fillId="0" borderId="123" xfId="0" applyFont="1" applyBorder="1" applyAlignment="1">
      <alignment horizontal="left" vertical="center"/>
    </xf>
    <xf numFmtId="0" fontId="87" fillId="0" borderId="134" xfId="0" applyFont="1" applyBorder="1" applyAlignment="1">
      <alignment horizontal="right" vertical="center"/>
    </xf>
    <xf numFmtId="1" fontId="20" fillId="0" borderId="140" xfId="0" applyNumberFormat="1" applyFont="1" applyBorder="1" applyAlignment="1">
      <alignment horizontal="center" vertical="center"/>
    </xf>
    <xf numFmtId="0" fontId="20" fillId="0" borderId="137" xfId="0" applyFont="1" applyBorder="1" applyAlignment="1">
      <alignment horizontal="left" vertical="center"/>
    </xf>
    <xf numFmtId="2" fontId="20" fillId="0" borderId="151" xfId="6" applyNumberFormat="1" applyFont="1" applyBorder="1" applyAlignment="1">
      <alignment horizontal="center"/>
    </xf>
    <xf numFmtId="0" fontId="20" fillId="0" borderId="152" xfId="6" applyFont="1" applyBorder="1"/>
    <xf numFmtId="0" fontId="9" fillId="0" borderId="5" xfId="6" applyFont="1" applyBorder="1" applyAlignment="1">
      <alignment horizontal="right"/>
    </xf>
    <xf numFmtId="2" fontId="9" fillId="0" borderId="12" xfId="6" applyNumberFormat="1" applyFont="1" applyBorder="1" applyAlignment="1">
      <alignment horizontal="center"/>
    </xf>
    <xf numFmtId="0" fontId="9" fillId="0" borderId="12" xfId="6" applyFont="1" applyBorder="1"/>
    <xf numFmtId="2" fontId="20" fillId="0" borderId="154" xfId="6" applyNumberFormat="1" applyFont="1" applyBorder="1" applyAlignment="1">
      <alignment horizontal="center"/>
    </xf>
    <xf numFmtId="0" fontId="20" fillId="0" borderId="155" xfId="6" applyFont="1" applyBorder="1"/>
    <xf numFmtId="0" fontId="9" fillId="0" borderId="12" xfId="0" applyFont="1" applyBorder="1"/>
    <xf numFmtId="0" fontId="67" fillId="0" borderId="12" xfId="6" applyFont="1" applyBorder="1" applyAlignment="1">
      <alignment horizontal="right"/>
    </xf>
    <xf numFmtId="0" fontId="2" fillId="0" borderId="12" xfId="6" applyBorder="1" applyAlignment="1">
      <alignment horizontal="center"/>
    </xf>
    <xf numFmtId="0" fontId="0" fillId="0" borderId="12" xfId="6" applyFont="1" applyBorder="1"/>
    <xf numFmtId="0" fontId="6" fillId="0" borderId="10" xfId="0" applyFont="1" applyBorder="1"/>
    <xf numFmtId="0" fontId="9" fillId="0" borderId="10" xfId="0" applyFont="1" applyBorder="1"/>
    <xf numFmtId="0" fontId="19" fillId="0" borderId="10" xfId="0" applyFont="1" applyBorder="1"/>
    <xf numFmtId="0" fontId="67" fillId="0" borderId="10" xfId="6" applyFont="1" applyBorder="1" applyAlignment="1">
      <alignment horizontal="right"/>
    </xf>
    <xf numFmtId="0" fontId="19" fillId="0" borderId="19" xfId="0" applyFont="1" applyBorder="1"/>
    <xf numFmtId="0" fontId="9" fillId="0" borderId="27" xfId="6" applyFont="1" applyBorder="1" applyAlignment="1">
      <alignment horizontal="right"/>
    </xf>
    <xf numFmtId="0" fontId="9" fillId="0" borderId="3" xfId="6" applyFont="1" applyBorder="1"/>
    <xf numFmtId="0" fontId="8" fillId="0" borderId="3" xfId="6" applyFont="1" applyBorder="1"/>
    <xf numFmtId="0" fontId="2" fillId="0" borderId="3" xfId="6" applyBorder="1"/>
    <xf numFmtId="0" fontId="2" fillId="0" borderId="3" xfId="6" applyBorder="1" applyAlignment="1">
      <alignment horizontal="center"/>
    </xf>
    <xf numFmtId="0" fontId="2" fillId="0" borderId="4" xfId="6" applyBorder="1"/>
    <xf numFmtId="0" fontId="10" fillId="0" borderId="3" xfId="6" applyFont="1" applyBorder="1"/>
    <xf numFmtId="2" fontId="9" fillId="0" borderId="10" xfId="6" applyNumberFormat="1" applyFont="1" applyBorder="1" applyAlignment="1">
      <alignment horizontal="center"/>
    </xf>
    <xf numFmtId="0" fontId="67" fillId="0" borderId="10" xfId="6" applyFont="1" applyBorder="1"/>
    <xf numFmtId="0" fontId="17" fillId="7" borderId="77" xfId="6" applyFont="1" applyFill="1" applyBorder="1" applyAlignment="1">
      <alignment vertical="center"/>
    </xf>
    <xf numFmtId="0" fontId="17" fillId="7" borderId="70" xfId="6" applyFont="1" applyFill="1" applyBorder="1" applyAlignment="1">
      <alignment vertical="center"/>
    </xf>
    <xf numFmtId="0" fontId="17" fillId="7" borderId="78" xfId="6" applyFont="1" applyFill="1" applyBorder="1" applyAlignment="1">
      <alignment vertical="center"/>
    </xf>
    <xf numFmtId="0" fontId="17" fillId="7" borderId="72" xfId="6" applyFont="1" applyFill="1" applyBorder="1" applyAlignment="1">
      <alignment vertical="center"/>
    </xf>
    <xf numFmtId="0" fontId="2" fillId="5" borderId="0" xfId="6" applyFill="1"/>
    <xf numFmtId="0" fontId="9" fillId="0" borderId="7" xfId="6" applyFont="1" applyBorder="1" applyAlignment="1">
      <alignment horizontal="right"/>
    </xf>
    <xf numFmtId="3" fontId="2" fillId="0" borderId="10" xfId="6" applyNumberFormat="1" applyBorder="1" applyAlignment="1">
      <alignment horizontal="center"/>
    </xf>
    <xf numFmtId="2" fontId="22" fillId="0" borderId="0" xfId="0" applyNumberFormat="1" applyFont="1"/>
    <xf numFmtId="3" fontId="22" fillId="0" borderId="0" xfId="0" applyNumberFormat="1" applyFont="1"/>
    <xf numFmtId="3" fontId="0" fillId="0" borderId="0" xfId="0" applyNumberFormat="1"/>
    <xf numFmtId="2" fontId="0" fillId="0" borderId="0" xfId="0" applyNumberFormat="1"/>
    <xf numFmtId="165" fontId="0" fillId="0" borderId="2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3" fontId="22" fillId="12" borderId="49" xfId="6" applyNumberFormat="1" applyFont="1" applyFill="1" applyBorder="1" applyAlignment="1">
      <alignment horizontal="center" vertical="center"/>
    </xf>
    <xf numFmtId="165" fontId="0" fillId="0" borderId="100" xfId="0" applyNumberFormat="1" applyBorder="1" applyAlignment="1">
      <alignment horizontal="center" vertical="center"/>
    </xf>
    <xf numFmtId="0" fontId="0" fillId="0" borderId="100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88" fillId="0" borderId="0" xfId="0" applyFont="1" applyAlignment="1">
      <alignment vertical="center" wrapText="1"/>
    </xf>
    <xf numFmtId="0" fontId="88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88" fillId="0" borderId="0" xfId="0" applyFont="1" applyAlignment="1">
      <alignment horizontal="center" vertical="center"/>
    </xf>
    <xf numFmtId="0" fontId="23" fillId="0" borderId="0" xfId="6" applyFont="1" applyAlignment="1">
      <alignment horizontal="left"/>
    </xf>
    <xf numFmtId="0" fontId="23" fillId="0" borderId="10" xfId="6" applyFont="1" applyBorder="1" applyAlignment="1">
      <alignment horizontal="left"/>
    </xf>
    <xf numFmtId="9" fontId="11" fillId="0" borderId="84" xfId="2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right" vertical="center"/>
    </xf>
    <xf numFmtId="1" fontId="92" fillId="0" borderId="0" xfId="0" applyNumberFormat="1" applyFont="1" applyAlignment="1">
      <alignment horizontal="center" vertical="center"/>
    </xf>
    <xf numFmtId="1" fontId="67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9" fontId="8" fillId="5" borderId="21" xfId="4" quotePrefix="1" applyFont="1" applyFill="1" applyBorder="1" applyAlignment="1">
      <alignment horizontal="center" vertical="center"/>
    </xf>
    <xf numFmtId="9" fontId="8" fillId="5" borderId="26" xfId="4" quotePrefix="1" applyFont="1" applyFill="1" applyBorder="1" applyAlignment="1">
      <alignment horizontal="center" vertical="center"/>
    </xf>
    <xf numFmtId="9" fontId="8" fillId="5" borderId="0" xfId="4" quotePrefix="1" applyFont="1" applyFill="1" applyBorder="1" applyAlignment="1">
      <alignment horizontal="center" vertical="center"/>
    </xf>
    <xf numFmtId="0" fontId="2" fillId="0" borderId="3" xfId="6" applyBorder="1" applyAlignment="1">
      <alignment horizontal="right"/>
    </xf>
    <xf numFmtId="0" fontId="9" fillId="0" borderId="2" xfId="6" applyFont="1" applyBorder="1" applyAlignment="1">
      <alignment horizontal="right"/>
    </xf>
    <xf numFmtId="1" fontId="2" fillId="0" borderId="1" xfId="6" applyNumberFormat="1" applyBorder="1" applyAlignment="1">
      <alignment horizontal="center"/>
    </xf>
    <xf numFmtId="4" fontId="57" fillId="0" borderId="156" xfId="0" applyNumberFormat="1" applyFont="1" applyBorder="1" applyAlignment="1" applyProtection="1">
      <alignment horizontal="center" vertical="center"/>
      <protection locked="0"/>
    </xf>
    <xf numFmtId="3" fontId="9" fillId="0" borderId="131" xfId="6" applyNumberFormat="1" applyFont="1" applyBorder="1" applyAlignment="1">
      <alignment horizontal="center"/>
    </xf>
    <xf numFmtId="0" fontId="29" fillId="0" borderId="39" xfId="6" applyFont="1" applyBorder="1" applyAlignment="1">
      <alignment horizontal="center"/>
    </xf>
    <xf numFmtId="9" fontId="9" fillId="0" borderId="157" xfId="4" applyFont="1" applyBorder="1" applyAlignment="1">
      <alignment horizontal="center"/>
    </xf>
    <xf numFmtId="0" fontId="10" fillId="0" borderId="39" xfId="6" applyFont="1" applyBorder="1"/>
    <xf numFmtId="0" fontId="9" fillId="0" borderId="39" xfId="6" applyFont="1" applyBorder="1"/>
    <xf numFmtId="1" fontId="0" fillId="0" borderId="15" xfId="0" applyNumberFormat="1" applyBorder="1" applyAlignment="1">
      <alignment horizontal="center" vertical="center"/>
    </xf>
    <xf numFmtId="0" fontId="45" fillId="0" borderId="129" xfId="0" applyFont="1" applyBorder="1" applyAlignment="1">
      <alignment horizontal="right" vertical="center"/>
    </xf>
    <xf numFmtId="0" fontId="67" fillId="13" borderId="0" xfId="0" applyFont="1" applyFill="1" applyAlignment="1">
      <alignment vertical="center"/>
    </xf>
    <xf numFmtId="1" fontId="67" fillId="13" borderId="21" xfId="0" applyNumberFormat="1" applyFont="1" applyFill="1" applyBorder="1" applyAlignment="1">
      <alignment horizontal="center" vertical="center"/>
    </xf>
    <xf numFmtId="0" fontId="9" fillId="0" borderId="102" xfId="6" applyFont="1" applyBorder="1" applyAlignment="1">
      <alignment horizontal="right"/>
    </xf>
    <xf numFmtId="0" fontId="9" fillId="0" borderId="35" xfId="6" applyFont="1" applyBorder="1"/>
    <xf numFmtId="0" fontId="9" fillId="0" borderId="39" xfId="6" applyFont="1" applyBorder="1" applyAlignment="1">
      <alignment horizontal="center"/>
    </xf>
    <xf numFmtId="0" fontId="2" fillId="0" borderId="57" xfId="6" applyBorder="1"/>
    <xf numFmtId="3" fontId="22" fillId="0" borderId="149" xfId="0" applyNumberFormat="1" applyFont="1" applyBorder="1" applyAlignment="1">
      <alignment horizontal="center" vertical="center"/>
    </xf>
    <xf numFmtId="3" fontId="9" fillId="0" borderId="35" xfId="0" applyNumberFormat="1" applyFont="1" applyBorder="1" applyAlignment="1">
      <alignment horizontal="center" vertical="center"/>
    </xf>
    <xf numFmtId="3" fontId="20" fillId="0" borderId="35" xfId="0" applyNumberFormat="1" applyFont="1" applyBorder="1" applyAlignment="1">
      <alignment horizontal="center" vertical="center"/>
    </xf>
    <xf numFmtId="1" fontId="9" fillId="6" borderId="15" xfId="0" applyNumberFormat="1" applyFont="1" applyFill="1" applyBorder="1" applyAlignment="1">
      <alignment horizontal="center" vertical="center"/>
    </xf>
    <xf numFmtId="1" fontId="9" fillId="6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67" fillId="13" borderId="15" xfId="0" applyNumberFormat="1" applyFont="1" applyFill="1" applyBorder="1" applyAlignment="1">
      <alignment horizontal="center" vertical="center"/>
    </xf>
    <xf numFmtId="1" fontId="67" fillId="13" borderId="18" xfId="0" applyNumberFormat="1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7" fillId="13" borderId="21" xfId="0" applyFont="1" applyFill="1" applyBorder="1" applyAlignment="1">
      <alignment horizontal="left" vertical="center"/>
    </xf>
    <xf numFmtId="0" fontId="93" fillId="5" borderId="111" xfId="0" applyFont="1" applyFill="1" applyBorder="1" applyAlignment="1">
      <alignment horizontal="right" vertical="center" wrapText="1"/>
    </xf>
    <xf numFmtId="0" fontId="6" fillId="0" borderId="6" xfId="0" applyFont="1" applyBorder="1" applyAlignment="1">
      <alignment horizontal="left" vertical="center"/>
    </xf>
    <xf numFmtId="1" fontId="78" fillId="0" borderId="0" xfId="0" applyNumberFormat="1" applyFont="1" applyAlignment="1">
      <alignment horizontal="center" vertical="center"/>
    </xf>
    <xf numFmtId="0" fontId="44" fillId="0" borderId="0" xfId="0" applyFont="1" applyAlignment="1">
      <alignment vertical="center"/>
    </xf>
    <xf numFmtId="9" fontId="44" fillId="0" borderId="15" xfId="4" applyFont="1" applyBorder="1" applyAlignment="1">
      <alignment horizontal="center" vertical="center"/>
    </xf>
    <xf numFmtId="9" fontId="44" fillId="0" borderId="18" xfId="4" applyFont="1" applyBorder="1" applyAlignment="1">
      <alignment horizontal="center" vertical="center"/>
    </xf>
    <xf numFmtId="0" fontId="44" fillId="0" borderId="6" xfId="0" applyFont="1" applyBorder="1" applyAlignment="1">
      <alignment horizontal="left" vertical="center"/>
    </xf>
    <xf numFmtId="0" fontId="44" fillId="0" borderId="0" xfId="0" applyFont="1" applyAlignment="1">
      <alignment horizontal="left" vertical="center"/>
    </xf>
    <xf numFmtId="1" fontId="97" fillId="0" borderId="0" xfId="0" applyNumberFormat="1" applyFont="1" applyAlignment="1">
      <alignment horizontal="center" vertical="center"/>
    </xf>
    <xf numFmtId="0" fontId="4" fillId="5" borderId="27" xfId="6" applyFont="1" applyFill="1" applyBorder="1" applyAlignment="1">
      <alignment vertical="center"/>
    </xf>
    <xf numFmtId="0" fontId="9" fillId="14" borderId="27" xfId="6" applyFont="1" applyFill="1" applyBorder="1"/>
    <xf numFmtId="0" fontId="9" fillId="7" borderId="27" xfId="6" applyFont="1" applyFill="1" applyBorder="1"/>
    <xf numFmtId="3" fontId="9" fillId="0" borderId="159" xfId="6" applyNumberFormat="1" applyFont="1" applyBorder="1" applyAlignment="1">
      <alignment horizontal="center"/>
    </xf>
    <xf numFmtId="0" fontId="2" fillId="0" borderId="160" xfId="6" applyBorder="1"/>
    <xf numFmtId="0" fontId="2" fillId="0" borderId="161" xfId="6" applyBorder="1"/>
    <xf numFmtId="0" fontId="45" fillId="0" borderId="0" xfId="6" applyFont="1"/>
    <xf numFmtId="0" fontId="45" fillId="0" borderId="0" xfId="0" applyFont="1" applyAlignment="1">
      <alignment vertical="center"/>
    </xf>
    <xf numFmtId="0" fontId="45" fillId="0" borderId="0" xfId="0" applyFont="1"/>
    <xf numFmtId="0" fontId="45" fillId="0" borderId="0" xfId="0" applyFont="1" applyAlignment="1">
      <alignment horizontal="right"/>
    </xf>
    <xf numFmtId="0" fontId="45" fillId="0" borderId="29" xfId="0" applyFont="1" applyBorder="1" applyAlignment="1">
      <alignment horizontal="right" vertical="center"/>
    </xf>
    <xf numFmtId="0" fontId="0" fillId="0" borderId="162" xfId="0" applyBorder="1"/>
    <xf numFmtId="0" fontId="45" fillId="0" borderId="44" xfId="6" applyFont="1" applyBorder="1"/>
    <xf numFmtId="0" fontId="45" fillId="0" borderId="44" xfId="0" applyFont="1" applyBorder="1" applyAlignment="1">
      <alignment vertical="center"/>
    </xf>
    <xf numFmtId="0" fontId="45" fillId="0" borderId="44" xfId="0" applyFont="1" applyBorder="1"/>
    <xf numFmtId="167" fontId="84" fillId="0" borderId="146" xfId="0" applyNumberFormat="1" applyFont="1" applyBorder="1" applyAlignment="1">
      <alignment vertical="center"/>
    </xf>
    <xf numFmtId="166" fontId="22" fillId="0" borderId="35" xfId="4" applyNumberFormat="1" applyFont="1" applyFill="1" applyBorder="1" applyAlignment="1">
      <alignment horizontal="center" vertical="center"/>
    </xf>
    <xf numFmtId="166" fontId="45" fillId="0" borderId="143" xfId="4" applyNumberFormat="1" applyFont="1" applyBorder="1" applyAlignment="1">
      <alignment horizontal="center" vertical="center"/>
    </xf>
    <xf numFmtId="166" fontId="45" fillId="0" borderId="30" xfId="4" applyNumberFormat="1" applyFont="1" applyBorder="1" applyAlignment="1">
      <alignment horizontal="center" vertical="center"/>
    </xf>
    <xf numFmtId="167" fontId="0" fillId="0" borderId="149" xfId="0" applyNumberFormat="1" applyBorder="1" applyAlignment="1">
      <alignment horizontal="center" vertical="center"/>
    </xf>
    <xf numFmtId="0" fontId="0" fillId="0" borderId="163" xfId="0" applyBorder="1" applyAlignment="1">
      <alignment horizontal="right" vertical="center"/>
    </xf>
    <xf numFmtId="0" fontId="0" fillId="0" borderId="133" xfId="0" applyBorder="1" applyAlignment="1">
      <alignment horizontal="right" vertical="center"/>
    </xf>
    <xf numFmtId="0" fontId="0" fillId="0" borderId="22" xfId="0" applyBorder="1"/>
    <xf numFmtId="0" fontId="0" fillId="0" borderId="164" xfId="0" applyBorder="1"/>
    <xf numFmtId="0" fontId="45" fillId="0" borderId="129" xfId="6" applyFont="1" applyBorder="1"/>
    <xf numFmtId="0" fontId="45" fillId="0" borderId="129" xfId="0" applyFont="1" applyBorder="1" applyAlignment="1">
      <alignment vertical="center"/>
    </xf>
    <xf numFmtId="0" fontId="45" fillId="0" borderId="129" xfId="0" applyFont="1" applyBorder="1"/>
    <xf numFmtId="0" fontId="45" fillId="0" borderId="165" xfId="0" applyFont="1" applyBorder="1" applyAlignment="1">
      <alignment horizontal="right"/>
    </xf>
    <xf numFmtId="166" fontId="45" fillId="0" borderId="40" xfId="4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9" fontId="2" fillId="4" borderId="64" xfId="2" applyFont="1" applyFill="1" applyBorder="1" applyAlignment="1">
      <alignment horizontal="center" vertical="center"/>
    </xf>
    <xf numFmtId="169" fontId="25" fillId="4" borderId="53" xfId="0" applyNumberFormat="1" applyFont="1" applyFill="1" applyBorder="1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3" fillId="15" borderId="2" xfId="0" applyNumberFormat="1" applyFont="1" applyFill="1" applyBorder="1" applyAlignment="1">
      <alignment horizontal="center" vertical="center"/>
    </xf>
    <xf numFmtId="1" fontId="13" fillId="15" borderId="1" xfId="0" applyNumberFormat="1" applyFont="1" applyFill="1" applyBorder="1" applyAlignment="1">
      <alignment horizontal="center" vertical="center"/>
    </xf>
    <xf numFmtId="1" fontId="13" fillId="15" borderId="4" xfId="0" applyNumberFormat="1" applyFont="1" applyFill="1" applyBorder="1" applyAlignment="1">
      <alignment horizontal="center" vertical="center"/>
    </xf>
    <xf numFmtId="1" fontId="13" fillId="15" borderId="27" xfId="0" applyNumberFormat="1" applyFont="1" applyFill="1" applyBorder="1" applyAlignment="1">
      <alignment horizontal="center" vertical="center"/>
    </xf>
    <xf numFmtId="0" fontId="8" fillId="15" borderId="27" xfId="0" applyFont="1" applyFill="1" applyBorder="1" applyAlignment="1">
      <alignment horizontal="left" vertical="center"/>
    </xf>
    <xf numFmtId="3" fontId="22" fillId="0" borderId="53" xfId="0" applyNumberFormat="1" applyFont="1" applyBorder="1" applyAlignment="1">
      <alignment horizontal="center" vertical="center"/>
    </xf>
    <xf numFmtId="174" fontId="22" fillId="0" borderId="96" xfId="9" applyNumberFormat="1" applyFont="1" applyBorder="1" applyAlignment="1">
      <alignment horizontal="center" vertical="center"/>
    </xf>
    <xf numFmtId="0" fontId="9" fillId="2" borderId="131" xfId="6" applyFont="1" applyFill="1" applyBorder="1" applyAlignment="1" applyProtection="1">
      <alignment horizontal="center"/>
      <protection locked="0"/>
    </xf>
    <xf numFmtId="0" fontId="9" fillId="2" borderId="26" xfId="6" applyFont="1" applyFill="1" applyBorder="1" applyAlignment="1" applyProtection="1">
      <alignment horizontal="center"/>
      <protection locked="0"/>
    </xf>
    <xf numFmtId="0" fontId="9" fillId="2" borderId="41" xfId="6" applyFont="1" applyFill="1" applyBorder="1" applyAlignment="1" applyProtection="1">
      <alignment horizontal="center"/>
      <protection locked="0"/>
    </xf>
    <xf numFmtId="9" fontId="9" fillId="2" borderId="26" xfId="4" applyFont="1" applyFill="1" applyBorder="1" applyAlignment="1" applyProtection="1">
      <alignment horizontal="center"/>
      <protection locked="0"/>
    </xf>
    <xf numFmtId="0" fontId="9" fillId="2" borderId="136" xfId="6" applyFont="1" applyFill="1" applyBorder="1" applyAlignment="1" applyProtection="1">
      <alignment horizontal="center"/>
      <protection locked="0"/>
    </xf>
    <xf numFmtId="2" fontId="9" fillId="2" borderId="54" xfId="6" applyNumberFormat="1" applyFont="1" applyFill="1" applyBorder="1" applyAlignment="1" applyProtection="1">
      <alignment horizontal="center"/>
      <protection locked="0"/>
    </xf>
    <xf numFmtId="2" fontId="9" fillId="2" borderId="74" xfId="6" applyNumberFormat="1" applyFont="1" applyFill="1" applyBorder="1" applyAlignment="1" applyProtection="1">
      <alignment horizontal="center"/>
      <protection locked="0"/>
    </xf>
    <xf numFmtId="0" fontId="9" fillId="2" borderId="1" xfId="6" applyFont="1" applyFill="1" applyBorder="1" applyAlignment="1" applyProtection="1">
      <alignment horizontal="center"/>
      <protection locked="0"/>
    </xf>
    <xf numFmtId="2" fontId="9" fillId="2" borderId="54" xfId="0" applyNumberFormat="1" applyFont="1" applyFill="1" applyBorder="1" applyAlignment="1" applyProtection="1">
      <alignment horizontal="center"/>
      <protection locked="0"/>
    </xf>
    <xf numFmtId="0" fontId="45" fillId="2" borderId="126" xfId="0" applyFont="1" applyFill="1" applyBorder="1" applyAlignment="1" applyProtection="1">
      <alignment horizontal="center" vertical="center"/>
      <protection locked="0"/>
    </xf>
    <xf numFmtId="3" fontId="45" fillId="2" borderId="40" xfId="0" applyNumberFormat="1" applyFont="1" applyFill="1" applyBorder="1" applyAlignment="1" applyProtection="1">
      <alignment horizontal="center" vertical="center"/>
      <protection locked="0"/>
    </xf>
    <xf numFmtId="0" fontId="45" fillId="2" borderId="143" xfId="0" applyFont="1" applyFill="1" applyBorder="1" applyAlignment="1" applyProtection="1">
      <alignment horizontal="center" vertical="center"/>
      <protection locked="0"/>
    </xf>
    <xf numFmtId="0" fontId="45" fillId="2" borderId="40" xfId="0" applyFont="1" applyFill="1" applyBorder="1" applyAlignment="1" applyProtection="1">
      <alignment horizontal="center" vertical="center"/>
      <protection locked="0"/>
    </xf>
    <xf numFmtId="3" fontId="9" fillId="2" borderId="131" xfId="6" applyNumberFormat="1" applyFont="1" applyFill="1" applyBorder="1" applyAlignment="1" applyProtection="1">
      <alignment horizontal="center"/>
      <protection locked="0"/>
    </xf>
    <xf numFmtId="9" fontId="9" fillId="2" borderId="8" xfId="4" applyFont="1" applyFill="1" applyBorder="1" applyAlignment="1" applyProtection="1">
      <alignment horizontal="center" vertical="center"/>
      <protection locked="0"/>
    </xf>
    <xf numFmtId="0" fontId="13" fillId="5" borderId="158" xfId="0" applyFont="1" applyFill="1" applyBorder="1" applyAlignment="1">
      <alignment horizontal="left"/>
    </xf>
    <xf numFmtId="0" fontId="2" fillId="0" borderId="166" xfId="6" applyBorder="1" applyAlignment="1">
      <alignment vertical="center"/>
    </xf>
    <xf numFmtId="10" fontId="22" fillId="0" borderId="0" xfId="4" applyNumberFormat="1" applyFont="1" applyBorder="1" applyAlignment="1">
      <alignment horizontal="center" vertical="center"/>
    </xf>
    <xf numFmtId="167" fontId="22" fillId="0" borderId="64" xfId="0" applyNumberFormat="1" applyFont="1" applyBorder="1" applyAlignment="1">
      <alignment horizontal="center" vertical="center"/>
    </xf>
    <xf numFmtId="9" fontId="22" fillId="0" borderId="139" xfId="4" applyFont="1" applyFill="1" applyBorder="1" applyAlignment="1">
      <alignment horizontal="center" vertical="center"/>
    </xf>
    <xf numFmtId="9" fontId="22" fillId="0" borderId="64" xfId="4" applyFont="1" applyFill="1" applyBorder="1" applyAlignment="1">
      <alignment horizontal="center" vertical="center"/>
    </xf>
    <xf numFmtId="1" fontId="19" fillId="0" borderId="0" xfId="0" applyNumberFormat="1" applyFont="1" applyAlignment="1">
      <alignment vertical="center"/>
    </xf>
    <xf numFmtId="0" fontId="67" fillId="13" borderId="0" xfId="0" applyFont="1" applyFill="1" applyAlignment="1">
      <alignment horizontal="left" vertical="center"/>
    </xf>
    <xf numFmtId="1" fontId="67" fillId="0" borderId="0" xfId="0" applyNumberFormat="1" applyFont="1" applyAlignment="1">
      <alignment horizontal="left" vertical="center"/>
    </xf>
    <xf numFmtId="1" fontId="91" fillId="0" borderId="0" xfId="0" applyNumberFormat="1" applyFont="1" applyAlignment="1">
      <alignment horizontal="left" vertical="center"/>
    </xf>
    <xf numFmtId="1" fontId="67" fillId="13" borderId="0" xfId="0" applyNumberFormat="1" applyFont="1" applyFill="1" applyAlignment="1">
      <alignment horizontal="left" vertical="center"/>
    </xf>
    <xf numFmtId="3" fontId="9" fillId="2" borderId="8" xfId="4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0" fontId="60" fillId="5" borderId="9" xfId="0" applyFont="1" applyFill="1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8" fillId="5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3" fillId="5" borderId="5" xfId="0" applyFont="1" applyFill="1" applyBorder="1" applyAlignment="1">
      <alignment horizontal="right" vertical="center"/>
    </xf>
    <xf numFmtId="0" fontId="6" fillId="0" borderId="6" xfId="0" applyFont="1" applyBorder="1" applyAlignment="1">
      <alignment horizontal="right" vertical="center"/>
    </xf>
    <xf numFmtId="0" fontId="44" fillId="0" borderId="6" xfId="0" applyFont="1" applyBorder="1" applyAlignment="1">
      <alignment horizontal="right" vertical="center"/>
    </xf>
    <xf numFmtId="0" fontId="13" fillId="15" borderId="27" xfId="0" applyFont="1" applyFill="1" applyBorder="1" applyAlignment="1">
      <alignment horizontal="right" vertical="center"/>
    </xf>
    <xf numFmtId="0" fontId="13" fillId="7" borderId="27" xfId="0" applyFont="1" applyFill="1" applyBorder="1" applyAlignment="1">
      <alignment horizontal="right" vertical="center"/>
    </xf>
    <xf numFmtId="0" fontId="6" fillId="9" borderId="27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right" vertical="center"/>
    </xf>
    <xf numFmtId="0" fontId="67" fillId="13" borderId="6" xfId="0" applyFont="1" applyFill="1" applyBorder="1" applyAlignment="1">
      <alignment horizontal="right" vertical="center"/>
    </xf>
    <xf numFmtId="0" fontId="60" fillId="5" borderId="118" xfId="0" applyFont="1" applyFill="1" applyBorder="1" applyAlignment="1">
      <alignment horizontal="right" vertical="center"/>
    </xf>
    <xf numFmtId="169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9" fontId="0" fillId="0" borderId="6" xfId="4" applyNumberFormat="1" applyFont="1" applyBorder="1" applyAlignment="1">
      <alignment horizontal="center" vertical="center"/>
    </xf>
    <xf numFmtId="168" fontId="0" fillId="0" borderId="6" xfId="4" applyNumberFormat="1" applyFon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69" fillId="5" borderId="27" xfId="0" applyFont="1" applyFill="1" applyBorder="1" applyAlignment="1">
      <alignment horizontal="center" vertical="center"/>
    </xf>
    <xf numFmtId="0" fontId="69" fillId="7" borderId="27" xfId="0" applyFont="1" applyFill="1" applyBorder="1" applyAlignment="1">
      <alignment horizontal="center" vertical="center"/>
    </xf>
    <xf numFmtId="0" fontId="70" fillId="9" borderId="27" xfId="0" applyFont="1" applyFill="1" applyBorder="1" applyAlignment="1">
      <alignment horizontal="center" vertical="center"/>
    </xf>
    <xf numFmtId="0" fontId="70" fillId="6" borderId="27" xfId="0" applyFont="1" applyFill="1" applyBorder="1" applyAlignment="1">
      <alignment horizontal="center" vertical="center"/>
    </xf>
    <xf numFmtId="0" fontId="13" fillId="0" borderId="27" xfId="0" applyFont="1" applyBorder="1" applyAlignment="1">
      <alignment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5" fillId="0" borderId="167" xfId="0" applyNumberFormat="1" applyFont="1" applyBorder="1" applyAlignment="1">
      <alignment horizontal="center" vertical="center"/>
    </xf>
    <xf numFmtId="3" fontId="0" fillId="0" borderId="64" xfId="0" applyNumberFormat="1" applyBorder="1" applyAlignment="1">
      <alignment horizontal="center" vertical="center"/>
    </xf>
    <xf numFmtId="1" fontId="25" fillId="13" borderId="26" xfId="0" applyNumberFormat="1" applyFont="1" applyFill="1" applyBorder="1" applyAlignment="1">
      <alignment horizontal="center" vertical="center"/>
    </xf>
    <xf numFmtId="3" fontId="25" fillId="13" borderId="26" xfId="0" applyNumberFormat="1" applyFont="1" applyFill="1" applyBorder="1" applyAlignment="1">
      <alignment horizontal="center" vertical="center"/>
    </xf>
    <xf numFmtId="0" fontId="45" fillId="0" borderId="124" xfId="0" applyFont="1" applyBorder="1" applyAlignment="1">
      <alignment horizontal="right" vertical="center"/>
    </xf>
    <xf numFmtId="3" fontId="9" fillId="2" borderId="26" xfId="6" applyNumberFormat="1" applyFont="1" applyFill="1" applyBorder="1" applyAlignment="1" applyProtection="1">
      <alignment horizontal="center"/>
      <protection locked="0"/>
    </xf>
    <xf numFmtId="3" fontId="91" fillId="0" borderId="141" xfId="0" applyNumberFormat="1" applyFont="1" applyBorder="1" applyAlignment="1">
      <alignment horizontal="center" vertical="center"/>
    </xf>
    <xf numFmtId="167" fontId="91" fillId="0" borderId="35" xfId="0" applyNumberFormat="1" applyFon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168" xfId="0" applyNumberForma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0" xfId="0" applyNumberFormat="1" applyFont="1" applyBorder="1" applyAlignment="1">
      <alignment horizontal="center" vertical="center"/>
    </xf>
    <xf numFmtId="1" fontId="6" fillId="0" borderId="21" xfId="0" applyNumberFormat="1" applyFont="1" applyBorder="1" applyAlignment="1">
      <alignment horizontal="center" vertical="center"/>
    </xf>
    <xf numFmtId="9" fontId="44" fillId="0" borderId="169" xfId="4" applyFont="1" applyBorder="1" applyAlignment="1">
      <alignment horizontal="center" vertical="center"/>
    </xf>
    <xf numFmtId="169" fontId="9" fillId="0" borderId="35" xfId="0" applyNumberFormat="1" applyFont="1" applyBorder="1" applyAlignment="1">
      <alignment horizontal="center" vertical="center"/>
    </xf>
    <xf numFmtId="169" fontId="20" fillId="0" borderId="35" xfId="0" applyNumberFormat="1" applyFon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5" fillId="13" borderId="0" xfId="0" applyFont="1" applyFill="1" applyAlignment="1">
      <alignment horizontal="right" vertical="center"/>
    </xf>
    <xf numFmtId="3" fontId="25" fillId="13" borderId="0" xfId="0" applyNumberFormat="1" applyFont="1" applyFill="1" applyAlignment="1">
      <alignment horizontal="center" vertical="center"/>
    </xf>
    <xf numFmtId="3" fontId="25" fillId="13" borderId="0" xfId="2" applyNumberFormat="1" applyFont="1" applyFill="1" applyBorder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66" fillId="5" borderId="0" xfId="0" applyFont="1" applyFill="1" applyAlignment="1">
      <alignment horizontal="left" vertical="center" wrapText="1"/>
    </xf>
    <xf numFmtId="0" fontId="23" fillId="0" borderId="153" xfId="0" applyFont="1" applyBorder="1" applyAlignment="1">
      <alignment horizontal="center" vertical="center"/>
    </xf>
    <xf numFmtId="0" fontId="23" fillId="0" borderId="154" xfId="0" applyFont="1" applyBorder="1" applyAlignment="1">
      <alignment horizontal="center" vertical="center"/>
    </xf>
    <xf numFmtId="0" fontId="23" fillId="0" borderId="150" xfId="0" applyFont="1" applyBorder="1" applyAlignment="1">
      <alignment horizontal="center" vertical="center"/>
    </xf>
    <xf numFmtId="0" fontId="23" fillId="0" borderId="151" xfId="0" applyFont="1" applyBorder="1" applyAlignment="1">
      <alignment horizontal="center" vertical="center"/>
    </xf>
    <xf numFmtId="0" fontId="9" fillId="2" borderId="121" xfId="6" applyFont="1" applyFill="1" applyBorder="1" applyAlignment="1" applyProtection="1">
      <alignment horizontal="center"/>
      <protection locked="0"/>
    </xf>
    <xf numFmtId="0" fontId="9" fillId="2" borderId="107" xfId="6" applyFont="1" applyFill="1" applyBorder="1" applyAlignment="1" applyProtection="1">
      <alignment horizontal="center"/>
      <protection locked="0"/>
    </xf>
    <xf numFmtId="0" fontId="9" fillId="2" borderId="116" xfId="6" applyFont="1" applyFill="1" applyBorder="1" applyAlignment="1" applyProtection="1">
      <alignment horizontal="center"/>
      <protection locked="0"/>
    </xf>
    <xf numFmtId="0" fontId="9" fillId="2" borderId="112" xfId="6" applyFont="1" applyFill="1" applyBorder="1" applyAlignment="1" applyProtection="1">
      <alignment horizontal="center"/>
      <protection locked="0"/>
    </xf>
    <xf numFmtId="0" fontId="9" fillId="0" borderId="56" xfId="6" applyFont="1" applyBorder="1" applyAlignment="1">
      <alignment horizontal="right"/>
    </xf>
    <xf numFmtId="0" fontId="9" fillId="0" borderId="39" xfId="6" applyFont="1" applyBorder="1" applyAlignment="1">
      <alignment horizontal="right"/>
    </xf>
    <xf numFmtId="3" fontId="6" fillId="0" borderId="24" xfId="6" applyNumberFormat="1" applyFont="1" applyBorder="1" applyAlignment="1">
      <alignment horizontal="center"/>
    </xf>
    <xf numFmtId="3" fontId="6" fillId="0" borderId="106" xfId="6" applyNumberFormat="1" applyFont="1" applyBorder="1" applyAlignment="1">
      <alignment horizontal="center"/>
    </xf>
    <xf numFmtId="3" fontId="6" fillId="0" borderId="121" xfId="6" applyNumberFormat="1" applyFont="1" applyBorder="1" applyAlignment="1">
      <alignment horizontal="center"/>
    </xf>
    <xf numFmtId="3" fontId="6" fillId="0" borderId="107" xfId="6" applyNumberFormat="1" applyFont="1" applyBorder="1" applyAlignment="1">
      <alignment horizontal="center"/>
    </xf>
    <xf numFmtId="0" fontId="6" fillId="0" borderId="121" xfId="6" applyFont="1" applyBorder="1" applyAlignment="1">
      <alignment horizontal="center"/>
    </xf>
    <xf numFmtId="0" fontId="6" fillId="0" borderId="107" xfId="6" applyFont="1" applyBorder="1" applyAlignment="1">
      <alignment horizontal="center"/>
    </xf>
    <xf numFmtId="0" fontId="50" fillId="7" borderId="11" xfId="0" applyFont="1" applyFill="1" applyBorder="1" applyAlignment="1">
      <alignment horizontal="left" vertical="center"/>
    </xf>
    <xf numFmtId="0" fontId="50" fillId="7" borderId="12" xfId="0" applyFont="1" applyFill="1" applyBorder="1" applyAlignment="1">
      <alignment horizontal="left" vertical="center"/>
    </xf>
    <xf numFmtId="0" fontId="50" fillId="5" borderId="11" xfId="0" applyFont="1" applyFill="1" applyBorder="1" applyAlignment="1">
      <alignment horizontal="left" vertical="center"/>
    </xf>
    <xf numFmtId="0" fontId="50" fillId="5" borderId="12" xfId="0" applyFont="1" applyFill="1" applyBorder="1" applyAlignment="1">
      <alignment horizontal="left" vertical="center"/>
    </xf>
    <xf numFmtId="0" fontId="94" fillId="5" borderId="0" xfId="0" applyFont="1" applyFill="1" applyAlignment="1">
      <alignment horizontal="left" vertical="center" wrapText="1"/>
    </xf>
    <xf numFmtId="0" fontId="94" fillId="5" borderId="80" xfId="0" applyFont="1" applyFill="1" applyBorder="1" applyAlignment="1">
      <alignment horizontal="left" vertical="center" wrapText="1"/>
    </xf>
    <xf numFmtId="0" fontId="8" fillId="5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left" vertical="center"/>
    </xf>
    <xf numFmtId="0" fontId="73" fillId="5" borderId="120" xfId="0" applyFont="1" applyFill="1" applyBorder="1" applyAlignment="1">
      <alignment horizontal="left" vertical="top" wrapText="1"/>
    </xf>
    <xf numFmtId="0" fontId="73" fillId="5" borderId="21" xfId="0" applyFont="1" applyFill="1" applyBorder="1" applyAlignment="1">
      <alignment horizontal="left" vertical="top" wrapText="1"/>
    </xf>
    <xf numFmtId="0" fontId="74" fillId="5" borderId="71" xfId="0" applyFont="1" applyFill="1" applyBorder="1" applyAlignment="1">
      <alignment horizontal="left" vertical="top" wrapText="1"/>
    </xf>
    <xf numFmtId="0" fontId="74" fillId="5" borderId="26" xfId="0" applyFont="1" applyFill="1" applyBorder="1" applyAlignment="1">
      <alignment horizontal="left" vertical="top" wrapText="1"/>
    </xf>
    <xf numFmtId="0" fontId="45" fillId="6" borderId="11" xfId="0" applyFont="1" applyFill="1" applyBorder="1" applyAlignment="1">
      <alignment horizontal="left" vertical="center"/>
    </xf>
    <xf numFmtId="0" fontId="45" fillId="6" borderId="12" xfId="0" applyFont="1" applyFill="1" applyBorder="1" applyAlignment="1">
      <alignment horizontal="left" vertical="center"/>
    </xf>
    <xf numFmtId="0" fontId="51" fillId="9" borderId="11" xfId="0" applyFont="1" applyFill="1" applyBorder="1" applyAlignment="1">
      <alignment horizontal="left" vertical="center"/>
    </xf>
    <xf numFmtId="0" fontId="51" fillId="9" borderId="12" xfId="0" applyFont="1" applyFill="1" applyBorder="1" applyAlignment="1">
      <alignment horizontal="left" vertical="center"/>
    </xf>
    <xf numFmtId="0" fontId="25" fillId="0" borderId="0" xfId="0" applyFont="1" applyAlignment="1">
      <alignment horizontal="center" vertical="center" wrapText="1"/>
    </xf>
    <xf numFmtId="0" fontId="37" fillId="9" borderId="2" xfId="0" applyFont="1" applyFill="1" applyBorder="1" applyAlignment="1">
      <alignment horizontal="left" vertical="center"/>
    </xf>
    <xf numFmtId="0" fontId="37" fillId="9" borderId="3" xfId="0" applyFont="1" applyFill="1" applyBorder="1" applyAlignment="1">
      <alignment horizontal="left" vertical="center"/>
    </xf>
    <xf numFmtId="0" fontId="37" fillId="9" borderId="4" xfId="0" applyFont="1" applyFill="1" applyBorder="1" applyAlignment="1">
      <alignment horizontal="left" vertical="center"/>
    </xf>
    <xf numFmtId="0" fontId="3" fillId="0" borderId="76" xfId="6" applyFont="1" applyBorder="1" applyAlignment="1">
      <alignment horizontal="right" vertical="center"/>
    </xf>
    <xf numFmtId="0" fontId="3" fillId="0" borderId="18" xfId="6" applyFont="1" applyBorder="1" applyAlignment="1">
      <alignment horizontal="right" vertical="center"/>
    </xf>
    <xf numFmtId="166" fontId="27" fillId="9" borderId="2" xfId="2" applyNumberFormat="1" applyFont="1" applyFill="1" applyBorder="1" applyAlignment="1">
      <alignment horizontal="center" vertical="center"/>
    </xf>
    <xf numFmtId="166" fontId="27" fillId="9" borderId="3" xfId="2" applyNumberFormat="1" applyFont="1" applyFill="1" applyBorder="1" applyAlignment="1">
      <alignment horizontal="center" vertical="center"/>
    </xf>
    <xf numFmtId="166" fontId="27" fillId="9" borderId="4" xfId="2" applyNumberFormat="1" applyFont="1" applyFill="1" applyBorder="1" applyAlignment="1">
      <alignment horizontal="center" vertical="center"/>
    </xf>
    <xf numFmtId="0" fontId="47" fillId="9" borderId="58" xfId="0" applyFont="1" applyFill="1" applyBorder="1" applyAlignment="1">
      <alignment horizontal="left" vertical="center" wrapText="1"/>
    </xf>
    <xf numFmtId="0" fontId="47" fillId="9" borderId="59" xfId="0" applyFont="1" applyFill="1" applyBorder="1" applyAlignment="1">
      <alignment horizontal="left" vertical="center" wrapText="1"/>
    </xf>
    <xf numFmtId="0" fontId="47" fillId="9" borderId="61" xfId="0" applyFont="1" applyFill="1" applyBorder="1" applyAlignment="1">
      <alignment horizontal="left" vertical="center" wrapText="1"/>
    </xf>
    <xf numFmtId="0" fontId="47" fillId="9" borderId="62" xfId="0" applyFont="1" applyFill="1" applyBorder="1" applyAlignment="1">
      <alignment horizontal="left" vertical="center" wrapText="1"/>
    </xf>
    <xf numFmtId="0" fontId="27" fillId="2" borderId="58" xfId="0" applyFont="1" applyFill="1" applyBorder="1" applyAlignment="1" applyProtection="1">
      <alignment horizontal="left" vertical="center" wrapText="1"/>
      <protection locked="0"/>
    </xf>
    <xf numFmtId="0" fontId="27" fillId="2" borderId="60" xfId="0" applyFont="1" applyFill="1" applyBorder="1" applyAlignment="1" applyProtection="1">
      <alignment horizontal="left" vertical="center" wrapText="1"/>
      <protection locked="0"/>
    </xf>
    <xf numFmtId="0" fontId="27" fillId="2" borderId="59" xfId="0" applyFont="1" applyFill="1" applyBorder="1" applyAlignment="1" applyProtection="1">
      <alignment horizontal="left" vertical="center" wrapText="1"/>
      <protection locked="0"/>
    </xf>
    <xf numFmtId="0" fontId="27" fillId="2" borderId="61" xfId="0" applyFont="1" applyFill="1" applyBorder="1" applyAlignment="1" applyProtection="1">
      <alignment horizontal="left" vertical="center" wrapText="1"/>
      <protection locked="0"/>
    </xf>
    <xf numFmtId="0" fontId="27" fillId="2" borderId="63" xfId="0" applyFont="1" applyFill="1" applyBorder="1" applyAlignment="1" applyProtection="1">
      <alignment horizontal="left" vertical="center" wrapText="1"/>
      <protection locked="0"/>
    </xf>
    <xf numFmtId="0" fontId="27" fillId="2" borderId="62" xfId="0" applyFont="1" applyFill="1" applyBorder="1" applyAlignment="1" applyProtection="1">
      <alignment horizontal="left" vertical="center" wrapText="1"/>
      <protection locked="0"/>
    </xf>
    <xf numFmtId="0" fontId="33" fillId="9" borderId="2" xfId="0" applyFont="1" applyFill="1" applyBorder="1" applyAlignment="1">
      <alignment horizontal="left" vertical="center"/>
    </xf>
    <xf numFmtId="0" fontId="33" fillId="9" borderId="3" xfId="0" applyFont="1" applyFill="1" applyBorder="1" applyAlignment="1">
      <alignment horizontal="left" vertical="center"/>
    </xf>
    <xf numFmtId="0" fontId="33" fillId="9" borderId="4" xfId="0" applyFont="1" applyFill="1" applyBorder="1" applyAlignment="1">
      <alignment horizontal="left" vertical="center"/>
    </xf>
    <xf numFmtId="0" fontId="3" fillId="0" borderId="17" xfId="6" applyFont="1" applyBorder="1" applyAlignment="1">
      <alignment horizontal="right" vertical="center"/>
    </xf>
    <xf numFmtId="0" fontId="3" fillId="0" borderId="75" xfId="6" applyFont="1" applyBorder="1" applyAlignment="1">
      <alignment horizontal="right" vertical="center"/>
    </xf>
    <xf numFmtId="0" fontId="7" fillId="7" borderId="0" xfId="6" applyFont="1" applyFill="1" applyAlignment="1">
      <alignment horizontal="center" vertical="center"/>
    </xf>
    <xf numFmtId="0" fontId="15" fillId="5" borderId="0" xfId="6" applyFont="1" applyFill="1" applyAlignment="1">
      <alignment horizontal="left" vertical="center"/>
    </xf>
    <xf numFmtId="0" fontId="53" fillId="5" borderId="89" xfId="0" applyFont="1" applyFill="1" applyBorder="1" applyAlignment="1">
      <alignment horizontal="center" vertical="center"/>
    </xf>
    <xf numFmtId="0" fontId="53" fillId="5" borderId="90" xfId="0" applyFont="1" applyFill="1" applyBorder="1" applyAlignment="1">
      <alignment horizontal="center" vertical="center"/>
    </xf>
    <xf numFmtId="0" fontId="55" fillId="5" borderId="0" xfId="6" applyFont="1" applyFill="1" applyAlignment="1">
      <alignment horizontal="center" vertical="center"/>
    </xf>
    <xf numFmtId="0" fontId="13" fillId="5" borderId="0" xfId="6" applyFont="1" applyFill="1" applyAlignment="1">
      <alignment horizontal="center" vertical="center"/>
    </xf>
    <xf numFmtId="0" fontId="4" fillId="5" borderId="11" xfId="0" applyFont="1" applyFill="1" applyBorder="1" applyAlignment="1">
      <alignment horizontal="left" vertical="center"/>
    </xf>
    <xf numFmtId="0" fontId="4" fillId="5" borderId="17" xfId="0" applyFont="1" applyFill="1" applyBorder="1" applyAlignment="1">
      <alignment horizontal="left" vertical="center"/>
    </xf>
    <xf numFmtId="0" fontId="4" fillId="5" borderId="16" xfId="0" applyFont="1" applyFill="1" applyBorder="1" applyAlignment="1">
      <alignment horizontal="left" vertical="center"/>
    </xf>
    <xf numFmtId="0" fontId="4" fillId="5" borderId="19" xfId="0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13" fillId="7" borderId="0" xfId="6" applyFont="1" applyFill="1" applyAlignment="1">
      <alignment horizontal="right" vertical="center" wrapText="1"/>
    </xf>
    <xf numFmtId="0" fontId="4" fillId="5" borderId="0" xfId="6" applyFont="1" applyFill="1" applyAlignment="1">
      <alignment horizontal="left" vertical="center" wrapText="1"/>
    </xf>
    <xf numFmtId="9" fontId="44" fillId="0" borderId="0" xfId="6" applyNumberFormat="1" applyFont="1" applyAlignment="1">
      <alignment horizontal="center" vertical="center"/>
    </xf>
    <xf numFmtId="0" fontId="7" fillId="7" borderId="0" xfId="6" applyFont="1" applyFill="1" applyAlignment="1">
      <alignment horizontal="right" vertical="center"/>
    </xf>
    <xf numFmtId="0" fontId="17" fillId="7" borderId="77" xfId="6" applyFont="1" applyFill="1" applyBorder="1" applyAlignment="1">
      <alignment horizontal="right" vertical="center"/>
    </xf>
    <xf numFmtId="0" fontId="17" fillId="7" borderId="70" xfId="6" applyFont="1" applyFill="1" applyBorder="1" applyAlignment="1">
      <alignment horizontal="right" vertical="center"/>
    </xf>
    <xf numFmtId="0" fontId="17" fillId="7" borderId="78" xfId="6" applyFont="1" applyFill="1" applyBorder="1" applyAlignment="1">
      <alignment horizontal="right" vertical="center"/>
    </xf>
    <xf numFmtId="0" fontId="17" fillId="7" borderId="72" xfId="6" applyFont="1" applyFill="1" applyBorder="1" applyAlignment="1">
      <alignment horizontal="right" vertical="center"/>
    </xf>
    <xf numFmtId="0" fontId="86" fillId="0" borderId="55" xfId="0" applyFont="1" applyBorder="1" applyAlignment="1">
      <alignment horizontal="right" vertical="center"/>
    </xf>
    <xf numFmtId="0" fontId="86" fillId="0" borderId="15" xfId="0" applyFont="1" applyBorder="1" applyAlignment="1">
      <alignment horizontal="right" vertical="center"/>
    </xf>
    <xf numFmtId="0" fontId="86" fillId="0" borderId="16" xfId="0" applyFont="1" applyBorder="1" applyAlignment="1">
      <alignment horizontal="right" vertical="center"/>
    </xf>
    <xf numFmtId="0" fontId="22" fillId="0" borderId="34" xfId="0" applyFont="1" applyBorder="1" applyAlignment="1">
      <alignment horizontal="right" vertical="center"/>
    </xf>
    <xf numFmtId="0" fontId="22" fillId="0" borderId="35" xfId="0" applyFont="1" applyBorder="1" applyAlignment="1">
      <alignment horizontal="right" vertical="center"/>
    </xf>
    <xf numFmtId="0" fontId="4" fillId="7" borderId="23" xfId="0" applyFont="1" applyFill="1" applyBorder="1" applyAlignment="1">
      <alignment horizontal="left" vertical="center"/>
    </xf>
    <xf numFmtId="0" fontId="4" fillId="7" borderId="38" xfId="0" applyFont="1" applyFill="1" applyBorder="1" applyAlignment="1">
      <alignment horizontal="left" vertical="center"/>
    </xf>
    <xf numFmtId="0" fontId="4" fillId="7" borderId="85" xfId="0" applyFont="1" applyFill="1" applyBorder="1" applyAlignment="1">
      <alignment horizontal="left" vertical="center"/>
    </xf>
    <xf numFmtId="0" fontId="0" fillId="0" borderId="125" xfId="0" applyBorder="1" applyAlignment="1">
      <alignment horizontal="right" vertical="center"/>
    </xf>
    <xf numFmtId="0" fontId="0" fillId="0" borderId="56" xfId="0" applyBorder="1" applyAlignment="1">
      <alignment horizontal="right" vertical="center"/>
    </xf>
    <xf numFmtId="0" fontId="17" fillId="7" borderId="77" xfId="6" applyFont="1" applyFill="1" applyBorder="1" applyAlignment="1">
      <alignment horizontal="center" vertical="center"/>
    </xf>
    <xf numFmtId="0" fontId="17" fillId="7" borderId="70" xfId="6" applyFont="1" applyFill="1" applyBorder="1" applyAlignment="1">
      <alignment horizontal="center" vertical="center"/>
    </xf>
    <xf numFmtId="0" fontId="17" fillId="7" borderId="78" xfId="6" applyFont="1" applyFill="1" applyBorder="1" applyAlignment="1">
      <alignment horizontal="center" vertical="center"/>
    </xf>
    <xf numFmtId="0" fontId="17" fillId="7" borderId="72" xfId="6" applyFont="1" applyFill="1" applyBorder="1" applyAlignment="1">
      <alignment horizontal="center" vertical="center"/>
    </xf>
    <xf numFmtId="0" fontId="13" fillId="7" borderId="0" xfId="6" applyFont="1" applyFill="1" applyAlignment="1">
      <alignment horizontal="center" vertical="center"/>
    </xf>
    <xf numFmtId="0" fontId="17" fillId="7" borderId="77" xfId="6" applyFont="1" applyFill="1" applyBorder="1" applyAlignment="1">
      <alignment horizontal="left" vertical="center"/>
    </xf>
    <xf numFmtId="0" fontId="17" fillId="7" borderId="70" xfId="6" applyFont="1" applyFill="1" applyBorder="1" applyAlignment="1">
      <alignment horizontal="left" vertical="center"/>
    </xf>
    <xf numFmtId="0" fontId="17" fillId="7" borderId="78" xfId="6" applyFont="1" applyFill="1" applyBorder="1" applyAlignment="1">
      <alignment horizontal="left" vertical="center"/>
    </xf>
    <xf numFmtId="0" fontId="17" fillId="7" borderId="72" xfId="6" applyFont="1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88" fillId="0" borderId="0" xfId="0" applyFont="1" applyAlignment="1">
      <alignment horizontal="left" vertical="top" wrapText="1"/>
    </xf>
    <xf numFmtId="0" fontId="90" fillId="0" borderId="0" xfId="0" applyFont="1" applyAlignment="1">
      <alignment horizontal="center" vertical="center"/>
    </xf>
    <xf numFmtId="0" fontId="88" fillId="0" borderId="0" xfId="0" applyFont="1" applyAlignment="1">
      <alignment horizontal="left" vertical="center" wrapText="1"/>
    </xf>
    <xf numFmtId="0" fontId="90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41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34633" y="190500"/>
          <a:ext cx="55181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26297" y="98643"/>
          <a:ext cx="4428000" cy="1350841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10"/>
  <sheetViews>
    <sheetView zoomScale="80" zoomScaleNormal="80" workbookViewId="0">
      <selection activeCell="B10" sqref="B10"/>
    </sheetView>
  </sheetViews>
  <sheetFormatPr defaultRowHeight="15" outlineLevelRow="2" x14ac:dyDescent="0.25"/>
  <cols>
    <col min="1" max="1" width="3.140625" customWidth="1"/>
    <col min="2" max="2" width="43" style="10" customWidth="1"/>
    <col min="3" max="3" width="11.5703125" bestFit="1" customWidth="1"/>
    <col min="4" max="4" width="13.28515625" customWidth="1"/>
    <col min="5" max="6" width="10.7109375" customWidth="1"/>
    <col min="7" max="7" width="9.42578125" bestFit="1" customWidth="1"/>
    <col min="8" max="8" width="35.7109375" customWidth="1"/>
    <col min="9" max="9" width="13.28515625" customWidth="1"/>
    <col min="12" max="12" width="13.28515625" customWidth="1"/>
    <col min="13" max="13" width="18.28515625" customWidth="1"/>
    <col min="16" max="16" width="13.28515625" style="7" customWidth="1"/>
    <col min="17" max="17" width="18.28515625" customWidth="1"/>
    <col min="18" max="18" width="13.28515625" customWidth="1"/>
  </cols>
  <sheetData>
    <row r="1" spans="2:36" ht="15" customHeight="1" x14ac:dyDescent="0.25"/>
    <row r="2" spans="2:36" ht="15" customHeight="1" x14ac:dyDescent="0.25">
      <c r="G2" s="753" t="s">
        <v>232</v>
      </c>
      <c r="H2" s="753"/>
      <c r="I2" s="753"/>
      <c r="J2" s="753"/>
      <c r="K2" s="753"/>
      <c r="L2" s="753"/>
      <c r="M2" s="753"/>
      <c r="N2" s="753"/>
      <c r="O2" s="753"/>
      <c r="P2" s="753"/>
      <c r="Q2" s="753"/>
      <c r="R2" s="753"/>
    </row>
    <row r="3" spans="2:36" ht="15" customHeight="1" x14ac:dyDescent="0.25">
      <c r="G3" s="753"/>
      <c r="H3" s="753"/>
      <c r="I3" s="753"/>
      <c r="J3" s="753"/>
      <c r="K3" s="753"/>
      <c r="L3" s="753"/>
      <c r="M3" s="753"/>
      <c r="N3" s="753"/>
      <c r="O3" s="753"/>
      <c r="P3" s="753"/>
      <c r="Q3" s="753"/>
      <c r="R3" s="753"/>
    </row>
    <row r="4" spans="2:36" ht="15" customHeight="1" x14ac:dyDescent="0.25">
      <c r="C4" s="332"/>
      <c r="D4" s="332"/>
      <c r="E4" s="332"/>
      <c r="F4" s="332"/>
      <c r="G4" s="753"/>
      <c r="H4" s="753"/>
      <c r="I4" s="753"/>
      <c r="J4" s="753"/>
      <c r="K4" s="753"/>
      <c r="L4" s="753"/>
      <c r="M4" s="753"/>
      <c r="N4" s="753"/>
      <c r="O4" s="753"/>
      <c r="P4" s="753"/>
      <c r="Q4" s="753"/>
      <c r="R4" s="753"/>
    </row>
    <row r="5" spans="2:36" ht="15" customHeight="1" x14ac:dyDescent="0.25">
      <c r="B5" s="332"/>
      <c r="C5" s="332"/>
      <c r="D5" s="332"/>
      <c r="E5" s="332"/>
      <c r="F5" s="332"/>
      <c r="G5" s="753"/>
      <c r="H5" s="753"/>
      <c r="I5" s="753"/>
      <c r="J5" s="753"/>
      <c r="K5" s="753"/>
      <c r="L5" s="753"/>
      <c r="M5" s="753"/>
      <c r="N5" s="753"/>
      <c r="O5" s="753"/>
      <c r="P5" s="753"/>
      <c r="Q5" s="753"/>
      <c r="R5" s="753"/>
    </row>
    <row r="6" spans="2:36" ht="15" customHeight="1" x14ac:dyDescent="0.25">
      <c r="B6" s="332"/>
      <c r="C6" s="332"/>
      <c r="D6" s="332"/>
      <c r="E6" s="332"/>
      <c r="F6" s="332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53"/>
    </row>
    <row r="7" spans="2:36" ht="15" customHeight="1" x14ac:dyDescent="0.25">
      <c r="B7" s="332"/>
      <c r="C7" s="332"/>
      <c r="D7" s="332"/>
      <c r="E7" s="332"/>
      <c r="F7" s="332"/>
      <c r="G7" s="753"/>
      <c r="H7" s="753"/>
      <c r="I7" s="753"/>
      <c r="J7" s="753"/>
      <c r="K7" s="753"/>
      <c r="L7" s="753"/>
      <c r="M7" s="753"/>
      <c r="N7" s="753"/>
      <c r="O7" s="753"/>
      <c r="P7" s="753"/>
      <c r="Q7" s="753"/>
      <c r="R7" s="753"/>
    </row>
    <row r="8" spans="2:36" ht="15" customHeight="1" x14ac:dyDescent="0.25"/>
    <row r="9" spans="2:36" s="1" customFormat="1" ht="4.9000000000000004" customHeight="1" thickBot="1" x14ac:dyDescent="0.3">
      <c r="P9" s="221"/>
      <c r="S9" s="584"/>
    </row>
    <row r="10" spans="2:36" s="1" customFormat="1" ht="19.899999999999999" customHeight="1" thickTop="1" thickBot="1" x14ac:dyDescent="0.3">
      <c r="B10" s="581" t="s">
        <v>323</v>
      </c>
      <c r="D10" s="684">
        <v>1</v>
      </c>
      <c r="E10" s="697" t="s">
        <v>1</v>
      </c>
      <c r="F10" s="570"/>
      <c r="G10" s="570"/>
      <c r="H10" s="570"/>
      <c r="I10" s="570"/>
      <c r="J10" s="570"/>
      <c r="K10" s="570"/>
      <c r="L10" s="570"/>
      <c r="P10" s="221"/>
      <c r="S10" s="584"/>
    </row>
    <row r="11" spans="2:36" s="1" customFormat="1" ht="19.899999999999999" customHeight="1" thickTop="1" thickBot="1" x14ac:dyDescent="0.3">
      <c r="B11" s="581" t="s">
        <v>372</v>
      </c>
      <c r="D11" s="696">
        <v>165</v>
      </c>
      <c r="E11" s="697" t="s">
        <v>371</v>
      </c>
      <c r="F11" s="570"/>
      <c r="G11" s="570"/>
      <c r="H11" s="570"/>
      <c r="I11" s="570"/>
      <c r="J11" s="570"/>
      <c r="K11" s="570"/>
      <c r="L11" s="570"/>
      <c r="P11" s="221"/>
      <c r="S11" s="584"/>
    </row>
    <row r="12" spans="2:36" s="1" customFormat="1" ht="16.5" thickTop="1" thickBot="1" x14ac:dyDescent="0.3">
      <c r="D12" s="570"/>
      <c r="E12" s="570"/>
      <c r="F12" s="570"/>
      <c r="G12" s="570"/>
      <c r="H12" s="570"/>
      <c r="I12" s="570"/>
      <c r="J12" s="570"/>
      <c r="K12" s="570"/>
      <c r="L12" s="570"/>
      <c r="P12" s="221"/>
      <c r="S12" s="584"/>
    </row>
    <row r="13" spans="2:36" s="282" customFormat="1" ht="19.899999999999999" customHeight="1" thickTop="1" thickBot="1" x14ac:dyDescent="0.35">
      <c r="B13" s="626" t="s">
        <v>183</v>
      </c>
      <c r="C13" s="90"/>
      <c r="D13" s="281"/>
      <c r="E13" s="281"/>
      <c r="F13" s="281"/>
      <c r="G13" s="48"/>
      <c r="H13" s="48"/>
      <c r="I13" s="48"/>
      <c r="J13" s="48"/>
      <c r="K13" s="48"/>
      <c r="L13" s="281"/>
      <c r="M13" s="281"/>
      <c r="N13" s="281"/>
      <c r="O13" s="48"/>
      <c r="P13" s="388"/>
      <c r="Q13" s="48"/>
      <c r="R13" s="48"/>
      <c r="S13" s="48"/>
      <c r="T13" s="281"/>
      <c r="U13" s="281"/>
      <c r="V13" s="281"/>
      <c r="W13" s="48"/>
      <c r="X13" s="48"/>
      <c r="Y13" s="48"/>
      <c r="Z13" s="48"/>
      <c r="AA13" s="48"/>
      <c r="AB13" s="281"/>
      <c r="AC13" s="281"/>
      <c r="AD13" s="281"/>
      <c r="AE13" s="48"/>
      <c r="AF13" s="48"/>
      <c r="AG13" s="48"/>
      <c r="AH13" s="48"/>
      <c r="AI13" s="48"/>
      <c r="AJ13" s="93"/>
    </row>
    <row r="14" spans="2:36" ht="4.9000000000000004" customHeight="1" outlineLevel="1" thickTop="1" thickBot="1" x14ac:dyDescent="0.3">
      <c r="B14" s="71"/>
      <c r="C14" s="233"/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389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  <c r="AI14" s="233"/>
      <c r="AJ14" s="233"/>
    </row>
    <row r="15" spans="2:36" ht="16.5" outlineLevel="1" collapsed="1" thickTop="1" thickBot="1" x14ac:dyDescent="0.3">
      <c r="B15" s="408" t="s">
        <v>300</v>
      </c>
      <c r="C15" s="71"/>
      <c r="D15" s="61"/>
      <c r="E15" s="72"/>
      <c r="F15" s="61"/>
      <c r="G15" s="61"/>
      <c r="H15" s="61"/>
      <c r="I15" s="61"/>
      <c r="J15" s="61"/>
      <c r="K15" s="61"/>
      <c r="L15" s="61"/>
      <c r="M15" s="72"/>
      <c r="N15" s="61"/>
      <c r="O15" s="61"/>
      <c r="P15" s="390"/>
      <c r="Q15" s="61"/>
      <c r="R15" s="61"/>
      <c r="S15" s="61"/>
      <c r="T15" s="61"/>
      <c r="U15" s="72"/>
      <c r="V15" s="61"/>
      <c r="W15" s="61"/>
      <c r="X15" s="61"/>
      <c r="Y15" s="61"/>
      <c r="Z15" s="61"/>
      <c r="AA15" s="61"/>
      <c r="AB15" s="61"/>
      <c r="AC15" s="72"/>
      <c r="AD15" s="61"/>
      <c r="AE15" s="61"/>
      <c r="AF15" s="61"/>
      <c r="AG15" s="61"/>
      <c r="AH15" s="61"/>
      <c r="AI15" s="61"/>
      <c r="AJ15" s="61"/>
    </row>
    <row r="16" spans="2:36" ht="4.9000000000000004" hidden="1" customHeight="1" outlineLevel="2" thickTop="1" thickBot="1" x14ac:dyDescent="0.3">
      <c r="B16" s="71"/>
      <c r="C16" s="275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390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</row>
    <row r="17" spans="2:36" ht="15.75" hidden="1" outlineLevel="2" thickBot="1" x14ac:dyDescent="0.3">
      <c r="B17" s="322" t="s">
        <v>305</v>
      </c>
      <c r="C17" s="670">
        <v>549.4</v>
      </c>
      <c r="D17" s="283" t="s">
        <v>0</v>
      </c>
      <c r="E17" s="283"/>
      <c r="F17" s="283"/>
      <c r="G17" s="283"/>
      <c r="H17" s="283"/>
      <c r="I17" s="283"/>
      <c r="J17" s="283"/>
      <c r="K17" s="283"/>
      <c r="L17" s="283"/>
      <c r="M17" s="283"/>
      <c r="N17" s="283"/>
      <c r="O17" s="283"/>
      <c r="P17" s="391"/>
      <c r="Q17" s="283"/>
      <c r="R17" s="284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</row>
    <row r="18" spans="2:36" ht="15.75" hidden="1" outlineLevel="2" thickBot="1" x14ac:dyDescent="0.3">
      <c r="B18" s="322" t="s">
        <v>306</v>
      </c>
      <c r="C18" s="670">
        <v>549.4</v>
      </c>
      <c r="D18" s="283" t="s">
        <v>0</v>
      </c>
      <c r="E18" s="283"/>
      <c r="F18" s="283"/>
      <c r="G18" s="283"/>
      <c r="H18" s="283"/>
      <c r="I18" s="283"/>
      <c r="J18" s="283"/>
      <c r="K18" s="283"/>
      <c r="L18" s="283"/>
      <c r="M18" s="283"/>
      <c r="N18" s="283"/>
      <c r="O18" s="283"/>
      <c r="P18" s="391"/>
      <c r="Q18" s="283"/>
      <c r="R18" s="284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</row>
    <row r="19" spans="2:36" ht="4.9000000000000004" hidden="1" customHeight="1" outlineLevel="2" thickBot="1" x14ac:dyDescent="0.3">
      <c r="B19" s="71"/>
      <c r="C19" s="233"/>
      <c r="D19" s="233"/>
      <c r="E19" s="279"/>
      <c r="F19" s="279"/>
      <c r="G19" s="233"/>
      <c r="H19" s="233"/>
      <c r="I19" s="233"/>
      <c r="J19" s="233"/>
      <c r="K19" s="233"/>
      <c r="L19" s="233"/>
      <c r="M19" s="233"/>
      <c r="N19" s="233"/>
      <c r="O19" s="233"/>
      <c r="P19" s="389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  <c r="AI19" s="233"/>
      <c r="AJ19" s="233"/>
    </row>
    <row r="20" spans="2:36" ht="16.5" hidden="1" outlineLevel="2" x14ac:dyDescent="0.25">
      <c r="B20" s="323" t="s">
        <v>225</v>
      </c>
      <c r="C20" s="760" t="s">
        <v>222</v>
      </c>
      <c r="D20" s="761"/>
      <c r="E20" s="398" t="s">
        <v>222</v>
      </c>
      <c r="F20" s="398" t="s">
        <v>223</v>
      </c>
      <c r="G20" s="399"/>
      <c r="H20" s="315" t="s">
        <v>222</v>
      </c>
      <c r="I20" s="592">
        <v>4</v>
      </c>
      <c r="J20" s="400" t="s">
        <v>299</v>
      </c>
      <c r="K20" s="399"/>
      <c r="L20" s="399"/>
      <c r="M20" s="400"/>
      <c r="N20" s="400" t="s">
        <v>226</v>
      </c>
      <c r="O20" s="399"/>
      <c r="P20" s="316">
        <v>3.5</v>
      </c>
      <c r="Q20" s="401" t="s">
        <v>116</v>
      </c>
      <c r="R20" s="402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</row>
    <row r="21" spans="2:36" ht="4.9000000000000004" hidden="1" customHeight="1" outlineLevel="2" x14ac:dyDescent="0.25">
      <c r="B21" s="71"/>
      <c r="C21" s="233"/>
      <c r="D21" s="233"/>
      <c r="E21" s="279"/>
      <c r="F21" s="279"/>
      <c r="G21" s="233"/>
      <c r="H21" s="233"/>
      <c r="I21" s="233"/>
      <c r="J21" s="233"/>
      <c r="K21" s="233"/>
      <c r="L21" s="233"/>
      <c r="M21" s="233"/>
      <c r="N21" s="233"/>
      <c r="O21" s="233"/>
      <c r="P21" s="389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  <c r="AI21" s="233"/>
      <c r="AJ21" s="233"/>
    </row>
    <row r="22" spans="2:36" ht="17.25" hidden="1" outlineLevel="2" x14ac:dyDescent="0.25">
      <c r="B22" s="324" t="s">
        <v>230</v>
      </c>
      <c r="C22" s="320">
        <v>1</v>
      </c>
      <c r="D22" s="61"/>
      <c r="E22" s="279"/>
      <c r="F22" s="279"/>
      <c r="G22" s="233"/>
      <c r="H22" s="233"/>
      <c r="I22" s="233"/>
      <c r="J22" s="233"/>
      <c r="K22" s="233"/>
      <c r="L22" s="233"/>
      <c r="M22" s="233"/>
      <c r="N22" s="233"/>
      <c r="O22" s="233"/>
      <c r="P22" s="389"/>
      <c r="Q22" s="233"/>
      <c r="R22" s="288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  <c r="AI22" s="233"/>
      <c r="AJ22" s="233"/>
    </row>
    <row r="23" spans="2:36" ht="17.25" hidden="1" outlineLevel="2" x14ac:dyDescent="0.25">
      <c r="B23" s="324" t="s">
        <v>230</v>
      </c>
      <c r="C23" s="320">
        <v>0.9</v>
      </c>
      <c r="D23" s="61"/>
      <c r="E23" s="279"/>
      <c r="F23" s="279"/>
      <c r="G23" s="233"/>
      <c r="H23" s="233"/>
      <c r="I23" s="233"/>
      <c r="J23" s="233"/>
      <c r="K23" s="233"/>
      <c r="L23" s="233"/>
      <c r="M23" s="233"/>
      <c r="N23" s="233"/>
      <c r="O23" s="233"/>
      <c r="P23" s="389"/>
      <c r="Q23" s="233"/>
      <c r="R23" s="288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  <c r="AI23" s="233"/>
      <c r="AJ23" s="233"/>
    </row>
    <row r="24" spans="2:36" ht="17.25" hidden="1" outlineLevel="2" x14ac:dyDescent="0.25">
      <c r="B24" s="325" t="s">
        <v>7</v>
      </c>
      <c r="C24" s="289">
        <f>IF(C20="Nm3 Biometano",I20,P20*C22)</f>
        <v>4</v>
      </c>
      <c r="D24" s="276" t="s">
        <v>120</v>
      </c>
      <c r="E24" s="278"/>
      <c r="F24" s="278"/>
      <c r="G24" s="61"/>
      <c r="H24" s="61"/>
      <c r="I24" s="61"/>
      <c r="J24" s="61"/>
      <c r="K24" s="61"/>
      <c r="L24" s="61"/>
      <c r="M24" s="61"/>
      <c r="N24" s="61"/>
      <c r="O24" s="61"/>
      <c r="P24" s="390"/>
      <c r="Q24" s="61"/>
      <c r="R24" s="290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2:36" ht="17.25" hidden="1" outlineLevel="2" x14ac:dyDescent="0.25">
      <c r="B25" s="325" t="s">
        <v>224</v>
      </c>
      <c r="C25" s="289">
        <f>C24/C22</f>
        <v>4</v>
      </c>
      <c r="D25" s="276" t="s">
        <v>120</v>
      </c>
      <c r="E25" s="278"/>
      <c r="F25" s="278"/>
      <c r="G25" s="61"/>
      <c r="H25" s="61"/>
      <c r="I25" s="61"/>
      <c r="J25" s="61"/>
      <c r="K25" s="61"/>
      <c r="L25" s="61"/>
      <c r="M25" s="61"/>
      <c r="N25" s="61"/>
      <c r="O25" s="61"/>
      <c r="P25" s="390"/>
      <c r="Q25" s="61"/>
      <c r="R25" s="290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</row>
    <row r="26" spans="2:36" ht="16.5" hidden="1" outlineLevel="2" thickBot="1" x14ac:dyDescent="0.3">
      <c r="B26" s="326" t="s">
        <v>7</v>
      </c>
      <c r="C26" s="295">
        <f>C24*C23</f>
        <v>3.6</v>
      </c>
      <c r="D26" s="296" t="s">
        <v>116</v>
      </c>
      <c r="E26" s="292"/>
      <c r="F26" s="292"/>
      <c r="G26" s="291"/>
      <c r="H26" s="291"/>
      <c r="I26" s="291"/>
      <c r="J26" s="291"/>
      <c r="K26" s="291"/>
      <c r="L26" s="291"/>
      <c r="M26" s="291"/>
      <c r="N26" s="291"/>
      <c r="O26" s="291"/>
      <c r="P26" s="392"/>
      <c r="Q26" s="291"/>
      <c r="R26" s="293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</row>
    <row r="27" spans="2:36" ht="15.75" hidden="1" outlineLevel="2" x14ac:dyDescent="0.25">
      <c r="B27" s="325" t="s">
        <v>12</v>
      </c>
      <c r="C27" s="671">
        <v>150</v>
      </c>
      <c r="D27" s="61" t="s">
        <v>8</v>
      </c>
      <c r="E27" s="278"/>
      <c r="F27" s="278"/>
      <c r="G27" s="61"/>
      <c r="H27" s="61"/>
      <c r="I27" s="61"/>
      <c r="J27" s="61"/>
      <c r="K27" s="61"/>
      <c r="L27" s="61"/>
      <c r="M27" s="61"/>
      <c r="N27" s="61"/>
      <c r="O27" s="61"/>
      <c r="P27" s="390"/>
      <c r="Q27" s="61"/>
      <c r="R27" s="290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2:36" ht="15.75" hidden="1" outlineLevel="2" thickBot="1" x14ac:dyDescent="0.3">
      <c r="B28" s="327" t="s">
        <v>11</v>
      </c>
      <c r="C28" s="672">
        <v>0</v>
      </c>
      <c r="D28" s="291" t="s">
        <v>8</v>
      </c>
      <c r="E28" s="292"/>
      <c r="F28" s="292"/>
      <c r="G28" s="291"/>
      <c r="H28" s="291"/>
      <c r="I28" s="291"/>
      <c r="J28" s="291"/>
      <c r="K28" s="291"/>
      <c r="L28" s="291"/>
      <c r="M28" s="291"/>
      <c r="N28" s="291"/>
      <c r="O28" s="291"/>
      <c r="P28" s="392"/>
      <c r="Q28" s="291"/>
      <c r="R28" s="293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2:36" hidden="1" outlineLevel="2" x14ac:dyDescent="0.25">
      <c r="B29" s="323" t="s">
        <v>204</v>
      </c>
      <c r="C29" s="294"/>
      <c r="D29" s="285"/>
      <c r="E29" s="287"/>
      <c r="F29" s="287"/>
      <c r="G29" s="285"/>
      <c r="H29" s="285"/>
      <c r="I29" s="285"/>
      <c r="J29" s="285"/>
      <c r="K29" s="285"/>
      <c r="L29" s="285"/>
      <c r="M29" s="285"/>
      <c r="N29" s="285"/>
      <c r="O29" s="285"/>
      <c r="P29" s="393"/>
      <c r="Q29" s="285"/>
      <c r="R29" s="286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2:36" hidden="1" outlineLevel="2" x14ac:dyDescent="0.25">
      <c r="B30" s="324" t="s">
        <v>205</v>
      </c>
      <c r="C30" s="735" t="str">
        <f>'C-Dados RT1 Simplif.'!C68</f>
        <v>Sim</v>
      </c>
      <c r="D30" s="61" t="s">
        <v>64</v>
      </c>
      <c r="E30" s="278" t="s">
        <v>122</v>
      </c>
      <c r="F30" s="278" t="s">
        <v>121</v>
      </c>
      <c r="G30" s="61"/>
      <c r="H30" s="61"/>
      <c r="I30" s="61"/>
      <c r="J30" s="61"/>
      <c r="K30" s="61"/>
      <c r="L30" s="61"/>
      <c r="M30" s="61"/>
      <c r="N30" s="61"/>
      <c r="O30" s="61"/>
      <c r="P30" s="390"/>
      <c r="Q30" s="61"/>
      <c r="R30" s="290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2:36" hidden="1" outlineLevel="2" x14ac:dyDescent="0.25">
      <c r="B31" s="324" t="s">
        <v>203</v>
      </c>
      <c r="C31" s="673">
        <v>2.5000000000000001E-3</v>
      </c>
      <c r="D31" s="61" t="s">
        <v>1</v>
      </c>
      <c r="E31" s="278"/>
      <c r="F31" s="278"/>
      <c r="G31" s="61"/>
      <c r="H31" s="61"/>
      <c r="I31" s="61"/>
      <c r="J31" s="61"/>
      <c r="K31" s="61"/>
      <c r="L31" s="61"/>
      <c r="M31" s="61"/>
      <c r="N31" s="61"/>
      <c r="O31" s="61"/>
      <c r="P31" s="390"/>
      <c r="Q31" s="61"/>
      <c r="R31" s="290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2:36" hidden="1" outlineLevel="2" x14ac:dyDescent="0.25">
      <c r="B32" s="324" t="s">
        <v>206</v>
      </c>
      <c r="C32" s="673">
        <v>0</v>
      </c>
      <c r="D32" s="61" t="s">
        <v>1</v>
      </c>
      <c r="E32" s="278"/>
      <c r="F32" s="278"/>
      <c r="G32" s="61"/>
      <c r="H32" s="61"/>
      <c r="I32" s="61"/>
      <c r="J32" s="61"/>
      <c r="K32" s="61"/>
      <c r="L32" s="61"/>
      <c r="M32" s="61"/>
      <c r="N32" s="61"/>
      <c r="O32" s="61"/>
      <c r="P32" s="390"/>
      <c r="Q32" s="61"/>
      <c r="R32" s="290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2:36" hidden="1" outlineLevel="2" x14ac:dyDescent="0.25">
      <c r="B33" s="324" t="s">
        <v>207</v>
      </c>
      <c r="C33" s="671">
        <v>950</v>
      </c>
      <c r="D33" s="61" t="s">
        <v>8</v>
      </c>
      <c r="E33" s="278"/>
      <c r="F33" s="278"/>
      <c r="G33" s="61"/>
      <c r="H33" s="61"/>
      <c r="I33" s="61"/>
      <c r="J33" s="61"/>
      <c r="K33" s="61"/>
      <c r="L33" s="61"/>
      <c r="M33" s="61"/>
      <c r="N33" s="61"/>
      <c r="O33" s="61"/>
      <c r="P33" s="390"/>
      <c r="Q33" s="61"/>
      <c r="R33" s="290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2:36" hidden="1" outlineLevel="2" x14ac:dyDescent="0.25">
      <c r="B34" s="324" t="s">
        <v>208</v>
      </c>
      <c r="C34" s="671">
        <v>2000</v>
      </c>
      <c r="D34" s="61" t="s">
        <v>8</v>
      </c>
      <c r="E34" s="278"/>
      <c r="F34" s="278"/>
      <c r="G34" s="61"/>
      <c r="H34" s="61"/>
      <c r="I34" s="61"/>
      <c r="J34" s="61"/>
      <c r="K34" s="61"/>
      <c r="L34" s="61"/>
      <c r="M34" s="61"/>
      <c r="N34" s="61"/>
      <c r="O34" s="61"/>
      <c r="P34" s="390"/>
      <c r="Q34" s="61"/>
      <c r="R34" s="290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2:36" hidden="1" outlineLevel="2" x14ac:dyDescent="0.25">
      <c r="B35" s="324" t="s">
        <v>209</v>
      </c>
      <c r="C35" s="671">
        <v>2750</v>
      </c>
      <c r="D35" s="61" t="s">
        <v>8</v>
      </c>
      <c r="E35" s="278"/>
      <c r="F35" s="278"/>
      <c r="G35" s="61"/>
      <c r="H35" s="61"/>
      <c r="I35" s="61"/>
      <c r="J35" s="61"/>
      <c r="K35" s="61"/>
      <c r="L35" s="61"/>
      <c r="M35" s="61"/>
      <c r="N35" s="61"/>
      <c r="O35" s="61"/>
      <c r="P35" s="390"/>
      <c r="Q35" s="61"/>
      <c r="R35" s="290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2:36" hidden="1" outlineLevel="2" x14ac:dyDescent="0.25">
      <c r="B36" s="324" t="s">
        <v>210</v>
      </c>
      <c r="C36" s="671">
        <v>300</v>
      </c>
      <c r="D36" s="61" t="s">
        <v>8</v>
      </c>
      <c r="E36" s="278"/>
      <c r="F36" s="278"/>
      <c r="G36" s="61"/>
      <c r="H36" s="61"/>
      <c r="I36" s="61"/>
      <c r="J36" s="61"/>
      <c r="K36" s="61"/>
      <c r="L36" s="61"/>
      <c r="M36" s="61"/>
      <c r="N36" s="61"/>
      <c r="O36" s="61"/>
      <c r="P36" s="390"/>
      <c r="Q36" s="61"/>
      <c r="R36" s="290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</row>
    <row r="37" spans="2:36" hidden="1" outlineLevel="2" x14ac:dyDescent="0.25">
      <c r="B37" s="324" t="s">
        <v>211</v>
      </c>
      <c r="C37" s="671">
        <v>1500</v>
      </c>
      <c r="D37" s="61" t="s">
        <v>8</v>
      </c>
      <c r="E37" s="278"/>
      <c r="F37" s="278"/>
      <c r="G37" s="61"/>
      <c r="H37" s="61"/>
      <c r="I37" s="61"/>
      <c r="J37" s="61"/>
      <c r="K37" s="61"/>
      <c r="L37" s="61"/>
      <c r="M37" s="61"/>
      <c r="N37" s="61"/>
      <c r="O37" s="61"/>
      <c r="P37" s="390"/>
      <c r="Q37" s="61"/>
      <c r="R37" s="290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</row>
    <row r="38" spans="2:36" ht="15.75" hidden="1" outlineLevel="2" thickBot="1" x14ac:dyDescent="0.3">
      <c r="B38" s="327" t="s">
        <v>212</v>
      </c>
      <c r="C38" s="672">
        <v>2250</v>
      </c>
      <c r="D38" s="291" t="s">
        <v>8</v>
      </c>
      <c r="E38" s="292"/>
      <c r="F38" s="292"/>
      <c r="G38" s="291"/>
      <c r="H38" s="291"/>
      <c r="I38" s="291"/>
      <c r="J38" s="291"/>
      <c r="K38" s="291"/>
      <c r="L38" s="291"/>
      <c r="M38" s="291"/>
      <c r="N38" s="291"/>
      <c r="O38" s="291"/>
      <c r="P38" s="392"/>
      <c r="Q38" s="291"/>
      <c r="R38" s="293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</row>
    <row r="39" spans="2:36" ht="4.9000000000000004" customHeight="1" outlineLevel="1" thickTop="1" thickBot="1" x14ac:dyDescent="0.3">
      <c r="B39" s="71"/>
      <c r="C39" s="233"/>
      <c r="D39" s="233"/>
      <c r="E39" s="279"/>
      <c r="F39" s="279"/>
      <c r="G39" s="233"/>
      <c r="H39" s="233"/>
      <c r="I39" s="233"/>
      <c r="J39" s="233"/>
      <c r="K39" s="233"/>
      <c r="L39" s="233"/>
      <c r="M39" s="233"/>
      <c r="N39" s="233"/>
      <c r="O39" s="233"/>
      <c r="P39" s="389"/>
      <c r="Q39" s="233"/>
      <c r="R39" s="233"/>
      <c r="S39" s="233"/>
      <c r="T39" s="233"/>
      <c r="U39" s="233"/>
      <c r="V39" s="233"/>
      <c r="W39" s="233"/>
      <c r="X39" s="233"/>
      <c r="Y39" s="233"/>
      <c r="Z39" s="233"/>
      <c r="AA39" s="233"/>
      <c r="AB39" s="233"/>
      <c r="AC39" s="233"/>
      <c r="AD39" s="233"/>
      <c r="AE39" s="233"/>
      <c r="AF39" s="233"/>
      <c r="AG39" s="233"/>
      <c r="AH39" s="233"/>
      <c r="AI39" s="233"/>
      <c r="AJ39" s="233"/>
    </row>
    <row r="40" spans="2:36" ht="16.5" outlineLevel="1" collapsed="1" thickTop="1" thickBot="1" x14ac:dyDescent="0.3">
      <c r="B40" s="627" t="s">
        <v>296</v>
      </c>
      <c r="C40" s="71"/>
      <c r="D40" s="61"/>
      <c r="E40" s="278"/>
      <c r="F40" s="278"/>
      <c r="G40" s="61"/>
      <c r="H40" s="61"/>
      <c r="I40" s="61"/>
      <c r="J40" s="61"/>
      <c r="K40" s="61"/>
      <c r="L40" s="61"/>
      <c r="M40" s="61"/>
      <c r="N40" s="61"/>
      <c r="O40" s="61"/>
      <c r="P40" s="390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2:36" ht="4.9000000000000004" hidden="1" customHeight="1" outlineLevel="2" thickTop="1" thickBot="1" x14ac:dyDescent="0.3">
      <c r="B41" s="71"/>
      <c r="C41" s="275">
        <v>500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390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2:36" ht="16.5" hidden="1" outlineLevel="2" thickTop="1" thickBot="1" x14ac:dyDescent="0.3">
      <c r="B42" s="545" t="s">
        <v>4</v>
      </c>
      <c r="C42" s="674">
        <v>500</v>
      </c>
      <c r="D42" s="546" t="s">
        <v>0</v>
      </c>
      <c r="E42" s="547"/>
      <c r="F42" s="547"/>
      <c r="G42" s="546"/>
      <c r="H42" s="546"/>
      <c r="I42" s="546"/>
      <c r="J42" s="546"/>
      <c r="K42" s="546"/>
      <c r="L42" s="546"/>
      <c r="M42" s="546"/>
      <c r="N42" s="548"/>
      <c r="O42" s="548"/>
      <c r="P42" s="549"/>
      <c r="Q42" s="548"/>
      <c r="R42" s="550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</row>
    <row r="43" spans="2:36" ht="4.9000000000000004" customHeight="1" outlineLevel="1" thickTop="1" thickBot="1" x14ac:dyDescent="0.3">
      <c r="B43" s="409"/>
      <c r="C43" s="382"/>
      <c r="D43" s="383"/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17"/>
      <c r="Q43" s="383"/>
      <c r="R43" s="383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2:36" ht="17.25" outlineLevel="1" collapsed="1" thickTop="1" thickBot="1" x14ac:dyDescent="0.3">
      <c r="B44" s="627" t="s">
        <v>249</v>
      </c>
      <c r="C44" s="378" t="s">
        <v>345</v>
      </c>
      <c r="D44" s="413"/>
      <c r="E44" s="416"/>
      <c r="F44" s="416"/>
      <c r="G44" s="416"/>
      <c r="H44" s="414" t="s">
        <v>257</v>
      </c>
      <c r="I44" s="415" t="s">
        <v>261</v>
      </c>
      <c r="J44" s="416"/>
      <c r="K44" s="416"/>
      <c r="L44" s="416"/>
      <c r="M44" s="416"/>
      <c r="N44" s="414" t="s">
        <v>258</v>
      </c>
      <c r="O44" s="415" t="s">
        <v>264</v>
      </c>
      <c r="P44" s="417"/>
      <c r="Q44" s="418"/>
      <c r="R44" s="413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2:36" ht="4.9000000000000004" hidden="1" customHeight="1" outlineLevel="2" thickTop="1" thickBot="1" x14ac:dyDescent="0.3">
      <c r="B45" s="71"/>
      <c r="C45" s="275">
        <v>5.21</v>
      </c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390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2:36" ht="18" hidden="1" outlineLevel="2" thickTop="1" x14ac:dyDescent="0.25">
      <c r="B46" s="531" t="s">
        <v>292</v>
      </c>
      <c r="C46" s="675">
        <v>5.21</v>
      </c>
      <c r="D46" s="533" t="s">
        <v>281</v>
      </c>
      <c r="E46" s="532">
        <f>C46*E47</f>
        <v>4.6890000000000001</v>
      </c>
      <c r="F46" s="533" t="s">
        <v>282</v>
      </c>
      <c r="G46" s="416"/>
      <c r="H46" s="754" t="s">
        <v>280</v>
      </c>
      <c r="I46" s="755"/>
      <c r="J46" s="755"/>
      <c r="K46" s="534">
        <f>'RT1B) Descarb AutoCons'!C15</f>
        <v>1.7081364231623299</v>
      </c>
      <c r="L46" s="535" t="s">
        <v>283</v>
      </c>
      <c r="M46" s="536"/>
      <c r="N46" s="379"/>
      <c r="O46" s="537"/>
      <c r="P46" s="538"/>
      <c r="Q46" s="539"/>
      <c r="R46" s="380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2:36" ht="18" hidden="1" outlineLevel="2" thickBot="1" x14ac:dyDescent="0.3">
      <c r="B47" s="762" t="s">
        <v>230</v>
      </c>
      <c r="C47" s="763"/>
      <c r="D47" s="594" t="s">
        <v>325</v>
      </c>
      <c r="E47" s="595">
        <v>0.9</v>
      </c>
      <c r="F47" s="597"/>
      <c r="H47" s="756"/>
      <c r="I47" s="757"/>
      <c r="J47" s="757"/>
      <c r="K47" s="529">
        <f>'RT1B) Descarb AutoCons'!C14</f>
        <v>1.8979293590692554</v>
      </c>
      <c r="L47" s="530" t="s">
        <v>116</v>
      </c>
      <c r="M47" s="10"/>
      <c r="N47" s="233"/>
      <c r="O47" s="516"/>
      <c r="P47" s="390"/>
      <c r="Q47" s="276"/>
      <c r="R47" s="412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</row>
    <row r="48" spans="2:36" ht="18" hidden="1" outlineLevel="2" thickBot="1" x14ac:dyDescent="0.3">
      <c r="B48" s="559" t="s">
        <v>297</v>
      </c>
      <c r="C48" s="676">
        <v>5.21</v>
      </c>
      <c r="D48" s="409" t="s">
        <v>281</v>
      </c>
      <c r="E48" s="552">
        <f>C48*E47</f>
        <v>4.6890000000000001</v>
      </c>
      <c r="F48" s="409" t="s">
        <v>282</v>
      </c>
      <c r="G48" s="540"/>
      <c r="H48" s="540"/>
      <c r="I48" s="540"/>
      <c r="J48" s="540"/>
      <c r="K48" s="540"/>
      <c r="L48" s="540"/>
      <c r="M48" s="541"/>
      <c r="N48" s="542"/>
      <c r="O48" s="543"/>
      <c r="P48" s="317"/>
      <c r="Q48" s="427"/>
      <c r="R48" s="544"/>
      <c r="S48" s="233"/>
      <c r="T48" s="233"/>
      <c r="U48" s="233"/>
      <c r="V48" s="233"/>
      <c r="W48" s="233"/>
      <c r="X48" s="233"/>
      <c r="Y48" s="233"/>
      <c r="Z48" s="233"/>
      <c r="AA48" s="233"/>
      <c r="AB48" s="233"/>
      <c r="AC48" s="233"/>
      <c r="AD48" s="233"/>
      <c r="AE48" s="233"/>
      <c r="AF48" s="233"/>
      <c r="AG48" s="233"/>
      <c r="AH48" s="233"/>
      <c r="AI48" s="233"/>
      <c r="AJ48" s="233"/>
    </row>
    <row r="49" spans="2:36" ht="4.9000000000000004" customHeight="1" outlineLevel="1" thickTop="1" thickBot="1" x14ac:dyDescent="0.3">
      <c r="B49" s="71"/>
      <c r="C49" s="71"/>
      <c r="D49" s="71"/>
      <c r="E49" s="517"/>
      <c r="F49" s="517"/>
      <c r="G49" s="71"/>
      <c r="H49" s="71"/>
      <c r="I49" s="71"/>
      <c r="J49" s="71"/>
      <c r="K49" s="71"/>
      <c r="L49" s="71"/>
      <c r="M49" s="71"/>
      <c r="N49" s="61"/>
      <c r="O49" s="61"/>
      <c r="P49" s="390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2:36" ht="16.5" outlineLevel="1" collapsed="1" thickTop="1" thickBot="1" x14ac:dyDescent="0.3">
      <c r="B50" s="628" t="s">
        <v>250</v>
      </c>
      <c r="C50" s="71"/>
      <c r="D50" s="71"/>
      <c r="E50" s="517"/>
      <c r="F50" s="517"/>
      <c r="G50" s="71"/>
      <c r="H50" s="71"/>
      <c r="I50" s="71"/>
      <c r="J50" s="71"/>
      <c r="K50" s="71"/>
      <c r="L50" s="71"/>
      <c r="M50" s="71"/>
      <c r="N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</row>
    <row r="51" spans="2:36" ht="4.9000000000000004" hidden="1" customHeight="1" outlineLevel="2" thickTop="1" thickBot="1" x14ac:dyDescent="0.3">
      <c r="B51" s="71"/>
      <c r="C51" s="275">
        <v>520</v>
      </c>
      <c r="D51" s="61"/>
      <c r="E51" s="61"/>
      <c r="F51" s="61"/>
      <c r="G51" s="61"/>
      <c r="H51" s="61"/>
      <c r="I51" s="61"/>
      <c r="J51" s="61">
        <v>520</v>
      </c>
      <c r="K51" s="61"/>
      <c r="L51" s="61"/>
      <c r="M51" s="61"/>
      <c r="N51" s="61"/>
      <c r="O51" s="61"/>
      <c r="P51" s="390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</row>
    <row r="52" spans="2:36" ht="16.5" hidden="1" outlineLevel="2" thickTop="1" thickBot="1" x14ac:dyDescent="0.3">
      <c r="B52" s="545" t="s">
        <v>301</v>
      </c>
      <c r="C52" s="674">
        <v>520</v>
      </c>
      <c r="D52" s="548" t="s">
        <v>0</v>
      </c>
      <c r="E52" s="551"/>
      <c r="F52" s="551"/>
      <c r="G52" s="548"/>
      <c r="H52" s="548"/>
      <c r="I52" s="590" t="s">
        <v>302</v>
      </c>
      <c r="J52" s="677">
        <v>520</v>
      </c>
      <c r="K52" s="548" t="s">
        <v>0</v>
      </c>
      <c r="L52" s="548"/>
      <c r="M52" s="548"/>
      <c r="N52" s="548"/>
      <c r="O52" s="589" t="s">
        <v>280</v>
      </c>
      <c r="P52" s="591">
        <f>'RT1A) Custos Valoriz E.Elétrica'!C15</f>
        <v>180.26533052439785</v>
      </c>
      <c r="Q52" s="548" t="s">
        <v>0</v>
      </c>
      <c r="R52" s="550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2:36" ht="4.9000000000000004" customHeight="1" outlineLevel="1" thickTop="1" thickBot="1" x14ac:dyDescent="0.3">
      <c r="B53" s="409"/>
      <c r="C53" s="382"/>
      <c r="D53" s="383"/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17"/>
      <c r="Q53" s="383"/>
      <c r="R53" s="383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</row>
    <row r="54" spans="2:36" ht="17.25" outlineLevel="1" collapsed="1" thickTop="1" thickBot="1" x14ac:dyDescent="0.3">
      <c r="B54" s="628" t="s">
        <v>251</v>
      </c>
      <c r="C54" s="378" t="s">
        <v>345</v>
      </c>
      <c r="D54" s="413"/>
      <c r="E54" s="416"/>
      <c r="F54" s="416"/>
      <c r="G54" s="416"/>
      <c r="H54" s="414" t="s">
        <v>257</v>
      </c>
      <c r="I54" s="415" t="s">
        <v>262</v>
      </c>
      <c r="J54" s="416"/>
      <c r="K54" s="416"/>
      <c r="L54" s="416"/>
      <c r="N54" s="414" t="s">
        <v>258</v>
      </c>
      <c r="O54" s="415" t="s">
        <v>263</v>
      </c>
      <c r="P54" s="417"/>
      <c r="Q54" s="418"/>
      <c r="R54" s="413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2:36" ht="4.9000000000000004" hidden="1" customHeight="1" outlineLevel="2" thickTop="1" thickBot="1" x14ac:dyDescent="0.3">
      <c r="B55" s="71"/>
      <c r="C55" s="275">
        <v>5.21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390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2:36" ht="18" hidden="1" outlineLevel="2" thickTop="1" x14ac:dyDescent="0.25">
      <c r="B56" s="531" t="s">
        <v>292</v>
      </c>
      <c r="C56" s="678">
        <v>5.21</v>
      </c>
      <c r="D56" s="533" t="s">
        <v>281</v>
      </c>
      <c r="E56" s="532">
        <f>C56*E57</f>
        <v>4.6890000000000001</v>
      </c>
      <c r="F56" s="539" t="s">
        <v>120</v>
      </c>
      <c r="G56" s="379"/>
      <c r="H56" s="754" t="s">
        <v>280</v>
      </c>
      <c r="I56" s="755"/>
      <c r="J56" s="755"/>
      <c r="K56" s="534">
        <f>'RT1B) Descarb AutoCons'!C15</f>
        <v>1.7081364231623299</v>
      </c>
      <c r="L56" s="535" t="s">
        <v>283</v>
      </c>
      <c r="M56" s="536"/>
      <c r="N56" s="379"/>
      <c r="O56" s="379"/>
      <c r="P56" s="394"/>
      <c r="Q56" s="379"/>
      <c r="R56" s="380"/>
      <c r="S56" s="233"/>
      <c r="T56" s="233"/>
      <c r="U56" s="233"/>
      <c r="V56" s="233"/>
      <c r="W56" s="233"/>
      <c r="X56" s="233"/>
      <c r="Y56" s="233"/>
      <c r="Z56" s="233"/>
      <c r="AA56" s="233"/>
      <c r="AB56" s="233"/>
      <c r="AC56" s="233"/>
      <c r="AD56" s="233"/>
      <c r="AE56" s="233"/>
      <c r="AF56" s="233"/>
      <c r="AG56" s="233"/>
      <c r="AH56" s="233"/>
      <c r="AI56" s="233"/>
      <c r="AJ56" s="233"/>
    </row>
    <row r="57" spans="2:36" ht="18" hidden="1" outlineLevel="2" thickBot="1" x14ac:dyDescent="0.3">
      <c r="B57" s="762" t="s">
        <v>230</v>
      </c>
      <c r="C57" s="763"/>
      <c r="D57" s="594" t="s">
        <v>325</v>
      </c>
      <c r="E57" s="595">
        <v>0.9</v>
      </c>
      <c r="F57" s="596"/>
      <c r="G57" s="61"/>
      <c r="H57" s="756"/>
      <c r="I57" s="757"/>
      <c r="J57" s="757"/>
      <c r="K57" s="529">
        <f>'RT1B) Descarb AutoCons'!C14</f>
        <v>1.8979293590692554</v>
      </c>
      <c r="L57" s="530" t="s">
        <v>116</v>
      </c>
      <c r="M57" s="10"/>
      <c r="N57" s="61"/>
      <c r="O57" s="61"/>
      <c r="P57" s="390"/>
      <c r="Q57" s="61"/>
      <c r="R57" s="268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2:36" ht="18" hidden="1" outlineLevel="2" thickBot="1" x14ac:dyDescent="0.3">
      <c r="B58" s="559" t="s">
        <v>297</v>
      </c>
      <c r="C58" s="676">
        <v>5.21</v>
      </c>
      <c r="D58" s="409" t="s">
        <v>281</v>
      </c>
      <c r="E58" s="552">
        <f>C58*E57</f>
        <v>4.6890000000000001</v>
      </c>
      <c r="F58" s="409" t="s">
        <v>282</v>
      </c>
      <c r="G58" s="383"/>
      <c r="H58" s="383"/>
      <c r="I58" s="383"/>
      <c r="J58" s="383"/>
      <c r="K58" s="383"/>
      <c r="L58" s="383"/>
      <c r="M58" s="553"/>
      <c r="N58" s="383"/>
      <c r="O58" s="383"/>
      <c r="P58" s="317"/>
      <c r="Q58" s="383"/>
      <c r="R58" s="384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</row>
    <row r="59" spans="2:36" ht="17.25" thickTop="1" thickBot="1" x14ac:dyDescent="0.3">
      <c r="B59" s="328"/>
      <c r="C59" s="233"/>
      <c r="D59" s="233"/>
      <c r="E59" s="233"/>
      <c r="F59" s="233"/>
      <c r="G59" s="233"/>
      <c r="H59" s="233"/>
      <c r="I59" s="233"/>
      <c r="J59" s="233"/>
      <c r="K59" s="233"/>
      <c r="L59" s="233"/>
      <c r="M59" s="233"/>
      <c r="N59" s="233"/>
      <c r="O59" s="233"/>
      <c r="P59" s="389"/>
      <c r="Q59" s="233"/>
      <c r="R59" s="233"/>
      <c r="S59" s="233"/>
      <c r="T59" s="233"/>
      <c r="U59" s="233"/>
      <c r="V59" s="233"/>
      <c r="W59" s="233"/>
      <c r="X59" s="233"/>
      <c r="Y59" s="233"/>
      <c r="Z59" s="233"/>
      <c r="AA59" s="233"/>
      <c r="AB59" s="233"/>
      <c r="AC59" s="233"/>
      <c r="AD59" s="233"/>
      <c r="AE59" s="233"/>
      <c r="AF59" s="233"/>
      <c r="AG59" s="233"/>
      <c r="AH59" s="233"/>
      <c r="AI59" s="233"/>
      <c r="AJ59" s="233"/>
    </row>
    <row r="60" spans="2:36" s="282" customFormat="1" ht="19.899999999999999" customHeight="1" thickTop="1" thickBot="1" x14ac:dyDescent="0.35">
      <c r="B60" s="626" t="s">
        <v>184</v>
      </c>
      <c r="C60" s="90"/>
      <c r="D60" s="281"/>
      <c r="E60" s="281"/>
      <c r="F60" s="281"/>
      <c r="G60" s="48"/>
      <c r="H60" s="48"/>
      <c r="I60" s="48"/>
      <c r="J60" s="48"/>
      <c r="K60" s="48"/>
      <c r="L60" s="281"/>
      <c r="M60" s="281"/>
      <c r="N60" s="281"/>
      <c r="O60" s="48"/>
      <c r="P60" s="388"/>
      <c r="Q60" s="48"/>
      <c r="R60" s="48"/>
      <c r="S60" s="48"/>
      <c r="T60" s="281"/>
      <c r="U60" s="281"/>
      <c r="V60" s="281"/>
      <c r="W60" s="48"/>
      <c r="X60" s="48"/>
      <c r="Y60" s="48"/>
      <c r="Z60" s="48"/>
      <c r="AA60" s="48"/>
      <c r="AB60" s="281"/>
      <c r="AC60" s="281"/>
      <c r="AD60" s="281"/>
      <c r="AE60" s="48"/>
      <c r="AF60" s="48"/>
      <c r="AG60" s="48"/>
      <c r="AH60" s="48"/>
      <c r="AI60" s="48"/>
      <c r="AJ60" s="93"/>
    </row>
    <row r="61" spans="2:36" ht="4.9000000000000004" customHeight="1" outlineLevel="1" thickTop="1" thickBot="1" x14ac:dyDescent="0.3">
      <c r="B61" s="71"/>
      <c r="C61" s="233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389"/>
      <c r="Q61" s="233"/>
      <c r="R61" s="233"/>
      <c r="S61" s="233"/>
      <c r="T61" s="233"/>
      <c r="U61" s="233"/>
      <c r="V61" s="233"/>
      <c r="W61" s="233"/>
      <c r="X61" s="233"/>
      <c r="Y61" s="233"/>
      <c r="Z61" s="233"/>
      <c r="AA61" s="233"/>
      <c r="AB61" s="233"/>
      <c r="AC61" s="233"/>
      <c r="AD61" s="233"/>
      <c r="AE61" s="233"/>
      <c r="AF61" s="233"/>
      <c r="AG61" s="233"/>
      <c r="AH61" s="233"/>
      <c r="AI61" s="233"/>
      <c r="AJ61" s="233"/>
    </row>
    <row r="62" spans="2:36" ht="16.5" outlineLevel="1" collapsed="1" thickTop="1" thickBot="1" x14ac:dyDescent="0.3">
      <c r="B62" s="627" t="s">
        <v>296</v>
      </c>
      <c r="C62" s="275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390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</row>
    <row r="63" spans="2:36" ht="4.9000000000000004" hidden="1" customHeight="1" outlineLevel="2" thickTop="1" thickBot="1" x14ac:dyDescent="0.3">
      <c r="B63" s="71"/>
      <c r="C63" s="275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390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2:36" ht="16.5" hidden="1" outlineLevel="2" thickBot="1" x14ac:dyDescent="0.3">
      <c r="B64" s="322"/>
      <c r="C64" s="764" t="s">
        <v>215</v>
      </c>
      <c r="D64" s="765"/>
      <c r="E64" s="766" t="s">
        <v>216</v>
      </c>
      <c r="F64" s="767"/>
      <c r="G64" s="768" t="s">
        <v>217</v>
      </c>
      <c r="H64" s="769"/>
      <c r="I64" s="768" t="s">
        <v>200</v>
      </c>
      <c r="J64" s="769"/>
      <c r="K64" s="768" t="s">
        <v>201</v>
      </c>
      <c r="L64" s="769"/>
      <c r="M64" s="768" t="s">
        <v>202</v>
      </c>
      <c r="N64" s="769"/>
      <c r="O64" s="283"/>
      <c r="P64" s="391"/>
      <c r="Q64" s="283"/>
      <c r="R64" s="284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</row>
    <row r="65" spans="2:36" ht="15.75" hidden="1" outlineLevel="2" thickBot="1" x14ac:dyDescent="0.3">
      <c r="B65" s="322" t="s">
        <v>4</v>
      </c>
      <c r="C65" s="593">
        <f>'C-Dados RT1 Simplif.'!C108</f>
        <v>1127.7427429811567</v>
      </c>
      <c r="D65" s="283" t="s">
        <v>20</v>
      </c>
      <c r="E65" s="629">
        <f>'C-Dados RT1 Simplif.'!C108</f>
        <v>1127.7427429811567</v>
      </c>
      <c r="F65" s="630" t="s">
        <v>20</v>
      </c>
      <c r="G65" s="629">
        <f>'C-Dados RT1 Simplif.'!C108</f>
        <v>1127.7427429811567</v>
      </c>
      <c r="H65" s="631" t="s">
        <v>20</v>
      </c>
      <c r="I65" s="629">
        <f>'C-Dados RT2 Simplif.'!C108</f>
        <v>1138.1692238576566</v>
      </c>
      <c r="J65" s="630" t="s">
        <v>20</v>
      </c>
      <c r="K65" s="629">
        <f>'C-Dados RT3 Simplif.'!C108</f>
        <v>1068.6593513476564</v>
      </c>
      <c r="L65" s="630" t="s">
        <v>20</v>
      </c>
      <c r="M65" s="629">
        <f>'C-Dados RT4 Simplif.'!C108</f>
        <v>1068.6593513476564</v>
      </c>
      <c r="N65" s="630" t="s">
        <v>20</v>
      </c>
      <c r="O65" s="283"/>
      <c r="P65" s="391"/>
      <c r="Q65" s="283"/>
      <c r="R65" s="284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2:36" ht="4.9000000000000004" customHeight="1" outlineLevel="1" thickTop="1" thickBot="1" x14ac:dyDescent="0.3">
      <c r="B66" s="409"/>
      <c r="C66" s="382"/>
      <c r="D66" s="383"/>
      <c r="E66" s="383"/>
      <c r="F66" s="383"/>
      <c r="G66" s="383"/>
      <c r="H66" s="383"/>
      <c r="I66" s="383"/>
      <c r="J66" s="383"/>
      <c r="K66" s="383"/>
      <c r="L66" s="383"/>
      <c r="M66" s="383"/>
      <c r="N66" s="383"/>
      <c r="O66" s="383"/>
      <c r="P66" s="317"/>
      <c r="Q66" s="383"/>
      <c r="R66" s="383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2:36" ht="17.25" outlineLevel="1" collapsed="1" thickTop="1" thickBot="1" x14ac:dyDescent="0.3">
      <c r="B67" s="627" t="s">
        <v>249</v>
      </c>
      <c r="C67" s="378" t="s">
        <v>345</v>
      </c>
      <c r="D67" s="413"/>
      <c r="E67" s="416"/>
      <c r="F67" s="416"/>
      <c r="G67" s="416"/>
      <c r="H67" s="414" t="s">
        <v>257</v>
      </c>
      <c r="I67" s="415" t="s">
        <v>261</v>
      </c>
      <c r="J67" s="416"/>
      <c r="K67" s="416"/>
      <c r="L67" s="416"/>
      <c r="M67" s="416"/>
      <c r="N67" s="414" t="s">
        <v>258</v>
      </c>
      <c r="O67" s="415" t="s">
        <v>264</v>
      </c>
      <c r="P67" s="417"/>
      <c r="Q67" s="418"/>
      <c r="R67" s="413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2:36" ht="4.9000000000000004" hidden="1" customHeight="1" outlineLevel="2" thickTop="1" thickBot="1" x14ac:dyDescent="0.3">
      <c r="B68" s="71"/>
      <c r="C68" s="275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390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2:36" ht="4.5" hidden="1" customHeight="1" outlineLevel="2" thickTop="1" thickBot="1" x14ac:dyDescent="0.3">
      <c r="B69" s="385"/>
      <c r="C69" s="379"/>
      <c r="D69" s="379"/>
      <c r="E69" s="379"/>
      <c r="F69" s="379"/>
      <c r="G69" s="379"/>
      <c r="H69" s="379"/>
      <c r="I69" s="379"/>
      <c r="J69" s="379"/>
      <c r="K69" s="379"/>
      <c r="L69" s="379"/>
      <c r="M69" s="379"/>
      <c r="N69" s="379"/>
      <c r="O69" s="379"/>
      <c r="P69" s="394"/>
      <c r="Q69" s="379"/>
      <c r="R69" s="380"/>
      <c r="S69" s="233"/>
      <c r="T69" s="233"/>
      <c r="U69" s="233"/>
      <c r="V69" s="233"/>
      <c r="W69" s="233"/>
      <c r="X69" s="233"/>
      <c r="Y69" s="233"/>
      <c r="Z69" s="233"/>
      <c r="AA69" s="233"/>
      <c r="AB69" s="233"/>
      <c r="AC69" s="233"/>
      <c r="AD69" s="233"/>
      <c r="AE69" s="233"/>
      <c r="AF69" s="233"/>
      <c r="AG69" s="233"/>
      <c r="AH69" s="233"/>
      <c r="AI69" s="233"/>
      <c r="AJ69" s="233"/>
    </row>
    <row r="70" spans="2:36" ht="17.25" hidden="1" outlineLevel="2" x14ac:dyDescent="0.25">
      <c r="B70" s="404" t="s">
        <v>230</v>
      </c>
      <c r="C70" s="320">
        <v>1</v>
      </c>
      <c r="D70" s="61"/>
      <c r="E70" s="279"/>
      <c r="F70" s="396"/>
      <c r="G70" s="456"/>
      <c r="H70" s="734" t="s">
        <v>267</v>
      </c>
      <c r="I70" s="679">
        <v>25</v>
      </c>
      <c r="J70" s="457" t="s">
        <v>248</v>
      </c>
      <c r="K70" s="458"/>
      <c r="L70" s="458"/>
      <c r="M70" s="458"/>
      <c r="N70" s="458"/>
      <c r="O70" s="482" t="s">
        <v>270</v>
      </c>
      <c r="P70" s="483">
        <f>IF(I73="New Holland",25,25)</f>
        <v>25</v>
      </c>
      <c r="Q70" s="484" t="s">
        <v>271</v>
      </c>
      <c r="R70" s="569"/>
      <c r="S70" s="233"/>
      <c r="T70" s="233"/>
      <c r="U70" s="233"/>
      <c r="V70" s="233"/>
      <c r="W70" s="233"/>
      <c r="X70" s="233"/>
      <c r="Y70" s="233"/>
      <c r="Z70" s="233"/>
      <c r="AA70" s="233"/>
      <c r="AB70" s="233"/>
      <c r="AC70" s="233"/>
      <c r="AD70" s="233"/>
      <c r="AE70" s="233"/>
      <c r="AF70" s="233"/>
      <c r="AG70" s="233"/>
      <c r="AH70" s="233"/>
      <c r="AI70" s="233"/>
      <c r="AJ70" s="233"/>
    </row>
    <row r="71" spans="2:36" ht="15.75" hidden="1" outlineLevel="2" x14ac:dyDescent="0.25">
      <c r="B71" s="406" t="s">
        <v>7</v>
      </c>
      <c r="C71" s="297">
        <f>C72*1000/C70</f>
        <v>150000</v>
      </c>
      <c r="D71" s="233" t="s">
        <v>181</v>
      </c>
      <c r="F71" s="397"/>
      <c r="G71" s="459"/>
      <c r="H71" s="471" t="s">
        <v>268</v>
      </c>
      <c r="I71" s="680">
        <v>2000</v>
      </c>
      <c r="J71" s="460" t="s">
        <v>128</v>
      </c>
      <c r="K71" s="461"/>
      <c r="L71" s="462"/>
      <c r="M71" s="462"/>
      <c r="N71" s="462"/>
      <c r="O71" s="479" t="s">
        <v>269</v>
      </c>
      <c r="P71" s="480">
        <f>IF(I73="New Holland",10%,10%)</f>
        <v>0.1</v>
      </c>
      <c r="Q71" s="481" t="s">
        <v>1</v>
      </c>
      <c r="R71" s="407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</row>
    <row r="72" spans="2:36" ht="15.75" hidden="1" outlineLevel="2" x14ac:dyDescent="0.25">
      <c r="B72" s="406" t="s">
        <v>7</v>
      </c>
      <c r="C72" s="297">
        <f>I70*I71*12/'RT1B) Descarb AutoCons'!C29/1000</f>
        <v>150</v>
      </c>
      <c r="D72" s="276" t="s">
        <v>182</v>
      </c>
      <c r="F72" s="454"/>
      <c r="G72" s="464"/>
      <c r="H72" s="465" t="s">
        <v>126</v>
      </c>
      <c r="I72" s="681">
        <v>10</v>
      </c>
      <c r="J72" s="466" t="s">
        <v>245</v>
      </c>
      <c r="K72" s="464"/>
      <c r="L72" s="464"/>
      <c r="M72" s="467"/>
      <c r="N72" s="467"/>
      <c r="O72" s="468" t="s">
        <v>246</v>
      </c>
      <c r="P72" s="469">
        <f>IF(I73="New Holland",25%,25%)</f>
        <v>0.25</v>
      </c>
      <c r="Q72" s="470" t="s">
        <v>1</v>
      </c>
      <c r="R72" s="407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2:36" ht="15.75" hidden="1" outlineLevel="2" x14ac:dyDescent="0.25">
      <c r="B73" s="406"/>
      <c r="C73" s="381"/>
      <c r="D73" s="276"/>
      <c r="F73" s="397"/>
      <c r="G73" s="459"/>
      <c r="H73" s="471" t="s">
        <v>272</v>
      </c>
      <c r="I73" s="682" t="s">
        <v>192</v>
      </c>
      <c r="J73" s="478" t="s">
        <v>192</v>
      </c>
      <c r="K73" s="405" t="s">
        <v>247</v>
      </c>
      <c r="L73" s="459"/>
      <c r="M73" s="462"/>
      <c r="N73" s="462"/>
      <c r="O73" s="463" t="s">
        <v>132</v>
      </c>
      <c r="P73" s="472">
        <f>IF($I$73="New Holland",500,500)</f>
        <v>500</v>
      </c>
      <c r="Q73" s="485" t="s">
        <v>133</v>
      </c>
      <c r="R73" s="407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2:36" ht="15.75" hidden="1" outlineLevel="2" x14ac:dyDescent="0.25">
      <c r="B74" s="406"/>
      <c r="C74" s="381"/>
      <c r="D74" s="276"/>
      <c r="F74" s="397"/>
      <c r="G74" s="459"/>
      <c r="H74" s="471" t="s">
        <v>330</v>
      </c>
      <c r="I74" s="681">
        <v>25</v>
      </c>
      <c r="J74" s="461" t="s">
        <v>326</v>
      </c>
      <c r="K74" s="459"/>
      <c r="L74" s="459"/>
      <c r="M74" s="462"/>
      <c r="N74" s="462"/>
      <c r="O74" s="463" t="s">
        <v>135</v>
      </c>
      <c r="P74" s="469">
        <f>IF(I73="New Holland",20%,20%)</f>
        <v>0.2</v>
      </c>
      <c r="Q74" s="485" t="s">
        <v>1</v>
      </c>
      <c r="R74" s="407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</row>
    <row r="75" spans="2:36" ht="15.75" hidden="1" outlineLevel="2" x14ac:dyDescent="0.25">
      <c r="B75" s="406"/>
      <c r="C75" s="381"/>
      <c r="D75" s="276"/>
      <c r="F75" s="637"/>
      <c r="G75" s="638"/>
      <c r="H75" s="471"/>
      <c r="I75" s="471"/>
      <c r="J75" s="639"/>
      <c r="K75" s="638"/>
      <c r="L75" s="638"/>
      <c r="M75" s="640"/>
      <c r="N75" s="640"/>
      <c r="O75" s="479" t="s">
        <v>347</v>
      </c>
      <c r="P75" s="643">
        <f>IF(I73="New Holland",3.5%,3.5%)</f>
        <v>3.5000000000000003E-2</v>
      </c>
      <c r="Q75" s="641" t="s">
        <v>1</v>
      </c>
      <c r="R75" s="407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2:36" ht="16.5" hidden="1" outlineLevel="2" thickBot="1" x14ac:dyDescent="0.3">
      <c r="B76" s="406"/>
      <c r="C76" s="381"/>
      <c r="D76" s="276"/>
      <c r="F76" s="455"/>
      <c r="G76" s="473"/>
      <c r="H76" s="636"/>
      <c r="I76" s="636"/>
      <c r="J76" s="474"/>
      <c r="K76" s="473"/>
      <c r="L76" s="473"/>
      <c r="M76" s="475"/>
      <c r="N76" s="475"/>
      <c r="O76" s="476" t="s">
        <v>348</v>
      </c>
      <c r="P76" s="644">
        <f>IF(I73="New Holland",35%,35%)</f>
        <v>0.35</v>
      </c>
      <c r="Q76" s="477" t="s">
        <v>1</v>
      </c>
      <c r="R76" s="407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2:36" ht="4.9000000000000004" hidden="1" customHeight="1" outlineLevel="2" thickBot="1" x14ac:dyDescent="0.3">
      <c r="B77" s="386"/>
      <c r="C77" s="382"/>
      <c r="D77" s="383"/>
      <c r="E77" s="383"/>
      <c r="F77" s="383"/>
      <c r="G77" s="383"/>
      <c r="H77" s="383"/>
      <c r="I77" s="383"/>
      <c r="J77" s="383"/>
      <c r="K77" s="383"/>
      <c r="L77" s="383"/>
      <c r="M77" s="383"/>
      <c r="N77" s="383"/>
      <c r="O77" s="383"/>
      <c r="P77" s="317"/>
      <c r="Q77" s="383"/>
      <c r="R77" s="384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2:36" ht="4.9000000000000004" customHeight="1" outlineLevel="1" thickTop="1" thickBot="1" x14ac:dyDescent="0.3">
      <c r="B78" s="409"/>
      <c r="C78" s="382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17"/>
      <c r="Q78" s="383"/>
      <c r="R78" s="383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2:36" ht="16.5" outlineLevel="1" collapsed="1" thickTop="1" thickBot="1" x14ac:dyDescent="0.3">
      <c r="B79" s="628" t="s">
        <v>250</v>
      </c>
      <c r="C79" s="275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390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2:36" ht="4.9000000000000004" hidden="1" customHeight="1" outlineLevel="2" thickTop="1" thickBot="1" x14ac:dyDescent="0.3">
      <c r="B80" s="71"/>
      <c r="C80" s="275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390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</row>
    <row r="81" spans="2:36" ht="15.75" hidden="1" outlineLevel="2" thickBot="1" x14ac:dyDescent="0.3">
      <c r="B81" s="322" t="s">
        <v>4</v>
      </c>
      <c r="C81" s="683">
        <f>'C-Dados RT1 Simplif.'!C102*0.15</f>
        <v>14529.9</v>
      </c>
      <c r="D81" s="283" t="s">
        <v>20</v>
      </c>
      <c r="E81" s="283"/>
      <c r="F81" s="283"/>
      <c r="G81" s="283"/>
      <c r="H81" s="283"/>
      <c r="I81" s="283"/>
      <c r="J81" s="283"/>
      <c r="K81" s="283"/>
      <c r="L81" s="283"/>
      <c r="M81" s="283"/>
      <c r="N81" s="283"/>
      <c r="O81" s="283"/>
      <c r="P81" s="391"/>
      <c r="Q81" s="283"/>
      <c r="R81" s="284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</row>
    <row r="82" spans="2:36" ht="4.9000000000000004" customHeight="1" outlineLevel="1" thickTop="1" thickBot="1" x14ac:dyDescent="0.3">
      <c r="B82" s="409"/>
      <c r="C82" s="382"/>
      <c r="D82" s="383"/>
      <c r="E82" s="383"/>
      <c r="F82" s="383"/>
      <c r="G82" s="383"/>
      <c r="H82" s="383"/>
      <c r="I82" s="383"/>
      <c r="J82" s="383"/>
      <c r="K82" s="383"/>
      <c r="L82" s="383"/>
      <c r="M82" s="383"/>
      <c r="N82" s="383"/>
      <c r="O82" s="383"/>
      <c r="P82" s="317"/>
      <c r="Q82" s="383"/>
      <c r="R82" s="383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2:36" ht="17.25" outlineLevel="1" collapsed="1" thickTop="1" thickBot="1" x14ac:dyDescent="0.3">
      <c r="B83" s="628" t="s">
        <v>251</v>
      </c>
      <c r="C83" s="378" t="s">
        <v>345</v>
      </c>
      <c r="D83" s="413"/>
      <c r="E83" s="416"/>
      <c r="F83" s="416"/>
      <c r="G83" s="416"/>
      <c r="H83" s="414" t="s">
        <v>257</v>
      </c>
      <c r="I83" s="415" t="s">
        <v>262</v>
      </c>
      <c r="J83" s="416"/>
      <c r="K83" s="416"/>
      <c r="L83" s="416"/>
      <c r="N83" s="414" t="s">
        <v>258</v>
      </c>
      <c r="O83" s="415" t="s">
        <v>263</v>
      </c>
      <c r="P83" s="417"/>
      <c r="Q83" s="418"/>
      <c r="R83" s="413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</row>
    <row r="84" spans="2:36" ht="4.9000000000000004" hidden="1" customHeight="1" outlineLevel="2" thickTop="1" thickBot="1" x14ac:dyDescent="0.3">
      <c r="B84" s="409"/>
      <c r="C84" s="382"/>
      <c r="D84" s="383"/>
      <c r="E84" s="383"/>
      <c r="F84" s="383"/>
      <c r="G84" s="383"/>
      <c r="H84" s="383"/>
      <c r="I84" s="383"/>
      <c r="J84" s="383"/>
      <c r="K84" s="383"/>
      <c r="L84" s="383"/>
      <c r="M84" s="383"/>
      <c r="N84" s="383"/>
      <c r="O84" s="383"/>
      <c r="P84" s="317"/>
      <c r="Q84" s="383"/>
      <c r="R84" s="383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2:36" ht="4.5" hidden="1" customHeight="1" outlineLevel="2" thickTop="1" thickBot="1" x14ac:dyDescent="0.3">
      <c r="B85" s="385"/>
      <c r="C85" s="379"/>
      <c r="D85" s="379"/>
      <c r="E85" s="379"/>
      <c r="F85" s="379"/>
      <c r="G85" s="379"/>
      <c r="H85" s="379"/>
      <c r="I85" s="379"/>
      <c r="J85" s="379"/>
      <c r="K85" s="379"/>
      <c r="L85" s="379"/>
      <c r="M85" s="379"/>
      <c r="N85" s="379"/>
      <c r="O85" s="379"/>
      <c r="P85" s="394"/>
      <c r="Q85" s="379"/>
      <c r="R85" s="380"/>
      <c r="S85" s="233"/>
      <c r="T85" s="233"/>
      <c r="U85" s="233"/>
      <c r="V85" s="233"/>
      <c r="W85" s="233"/>
      <c r="X85" s="233"/>
      <c r="Y85" s="233"/>
      <c r="Z85" s="233"/>
      <c r="AA85" s="233"/>
      <c r="AB85" s="233"/>
      <c r="AC85" s="233"/>
      <c r="AD85" s="233"/>
      <c r="AE85" s="233"/>
      <c r="AF85" s="233"/>
      <c r="AG85" s="233"/>
      <c r="AH85" s="233"/>
      <c r="AI85" s="233"/>
      <c r="AJ85" s="233"/>
    </row>
    <row r="86" spans="2:36" ht="17.25" hidden="1" outlineLevel="2" x14ac:dyDescent="0.25">
      <c r="B86" s="404" t="s">
        <v>230</v>
      </c>
      <c r="C86" s="320">
        <v>1</v>
      </c>
      <c r="D86" s="61"/>
      <c r="E86" s="279"/>
      <c r="F86" s="396"/>
      <c r="G86" s="456"/>
      <c r="H86" s="734" t="s">
        <v>253</v>
      </c>
      <c r="I86" s="679">
        <v>50</v>
      </c>
      <c r="J86" s="525" t="s">
        <v>238</v>
      </c>
      <c r="K86" s="458"/>
      <c r="L86" s="458"/>
      <c r="M86" s="458"/>
      <c r="N86" s="458"/>
      <c r="O86" s="482" t="s">
        <v>270</v>
      </c>
      <c r="P86" s="483">
        <f>IF(I89="Fabricante 1",10,10)</f>
        <v>10</v>
      </c>
      <c r="Q86" s="484" t="s">
        <v>271</v>
      </c>
      <c r="R86" s="410" t="s">
        <v>256</v>
      </c>
      <c r="S86" s="233"/>
      <c r="T86" s="233"/>
      <c r="U86" s="233"/>
      <c r="V86" s="233"/>
      <c r="W86" s="233"/>
      <c r="X86" s="233"/>
      <c r="Y86" s="233"/>
      <c r="Z86" s="233"/>
      <c r="AA86" s="233"/>
      <c r="AB86" s="233"/>
      <c r="AC86" s="233"/>
      <c r="AD86" s="233"/>
      <c r="AE86" s="233"/>
      <c r="AF86" s="233"/>
      <c r="AG86" s="233"/>
      <c r="AH86" s="233"/>
      <c r="AI86" s="233"/>
      <c r="AJ86" s="233"/>
    </row>
    <row r="87" spans="2:36" ht="15.75" hidden="1" outlineLevel="2" x14ac:dyDescent="0.25">
      <c r="B87" s="406" t="s">
        <v>7</v>
      </c>
      <c r="C87" s="297">
        <f>C88*1000/C86</f>
        <v>337500</v>
      </c>
      <c r="D87" s="233" t="s">
        <v>181</v>
      </c>
      <c r="E87" s="278"/>
      <c r="F87" s="397"/>
      <c r="G87" s="459"/>
      <c r="H87" s="471" t="s">
        <v>254</v>
      </c>
      <c r="I87" s="680">
        <v>2250</v>
      </c>
      <c r="J87" s="460" t="s">
        <v>128</v>
      </c>
      <c r="K87" s="461"/>
      <c r="L87" s="462"/>
      <c r="M87" s="462"/>
      <c r="N87" s="462"/>
      <c r="O87" s="479" t="s">
        <v>269</v>
      </c>
      <c r="P87" s="480">
        <f>IF(I89="Fabricante 1",10%,10%)</f>
        <v>0.1</v>
      </c>
      <c r="Q87" s="481" t="s">
        <v>1</v>
      </c>
      <c r="R87" s="268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2:36" ht="15.75" hidden="1" outlineLevel="2" x14ac:dyDescent="0.25">
      <c r="B88" s="406" t="s">
        <v>7</v>
      </c>
      <c r="C88" s="297">
        <f>(I86*I87*12/'RT1B) Descarb AutoCons'!C29)/1000</f>
        <v>337.5</v>
      </c>
      <c r="D88" s="276" t="s">
        <v>182</v>
      </c>
      <c r="E88" s="290"/>
      <c r="F88" s="454"/>
      <c r="G88" s="464"/>
      <c r="H88" s="465" t="s">
        <v>126</v>
      </c>
      <c r="I88" s="681">
        <v>5</v>
      </c>
      <c r="J88" s="466" t="s">
        <v>245</v>
      </c>
      <c r="K88" s="464"/>
      <c r="L88" s="464"/>
      <c r="M88" s="467"/>
      <c r="N88" s="467"/>
      <c r="O88" s="468" t="s">
        <v>246</v>
      </c>
      <c r="P88" s="469">
        <f>IF(I89="Fabricante 1",25%,25%)</f>
        <v>0.25</v>
      </c>
      <c r="Q88" s="470" t="s">
        <v>1</v>
      </c>
      <c r="R88" s="41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2:36" ht="15.75" hidden="1" outlineLevel="2" x14ac:dyDescent="0.25">
      <c r="B89" s="406"/>
      <c r="C89" s="381"/>
      <c r="D89" s="276"/>
      <c r="F89" s="397"/>
      <c r="G89" s="459"/>
      <c r="H89" s="471" t="s">
        <v>255</v>
      </c>
      <c r="I89" s="682" t="s">
        <v>220</v>
      </c>
      <c r="J89" s="478" t="s">
        <v>220</v>
      </c>
      <c r="K89" s="405" t="s">
        <v>256</v>
      </c>
      <c r="L89" s="459"/>
      <c r="M89" s="462"/>
      <c r="N89" s="462"/>
      <c r="O89" s="463" t="s">
        <v>190</v>
      </c>
      <c r="P89" s="472">
        <f>IF(I89="Fabricante 1",75,75)</f>
        <v>75</v>
      </c>
      <c r="Q89" s="485" t="s">
        <v>191</v>
      </c>
      <c r="R89" s="407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2:36" ht="15.75" hidden="1" outlineLevel="2" x14ac:dyDescent="0.25">
      <c r="B90" s="406"/>
      <c r="C90" s="381"/>
      <c r="D90" s="276"/>
      <c r="F90" s="397"/>
      <c r="G90" s="459"/>
      <c r="H90" s="471" t="s">
        <v>331</v>
      </c>
      <c r="I90" s="681">
        <v>25</v>
      </c>
      <c r="J90" s="461" t="s">
        <v>326</v>
      </c>
      <c r="K90" s="459"/>
      <c r="L90" s="459"/>
      <c r="M90" s="462"/>
      <c r="N90" s="462"/>
      <c r="O90" s="463" t="s">
        <v>187</v>
      </c>
      <c r="P90" s="643">
        <f>IF(I89="Fabricante 1",25%,25%)</f>
        <v>0.25</v>
      </c>
      <c r="Q90" s="485" t="s">
        <v>1</v>
      </c>
      <c r="R90" s="407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2:36" ht="15.75" hidden="1" outlineLevel="2" x14ac:dyDescent="0.25">
      <c r="B91" s="406"/>
      <c r="C91" s="381"/>
      <c r="D91" s="276"/>
      <c r="F91" s="648"/>
      <c r="G91" s="632"/>
      <c r="H91" s="465"/>
      <c r="I91" s="465"/>
      <c r="J91" s="633"/>
      <c r="K91" s="632"/>
      <c r="L91" s="632"/>
      <c r="M91" s="634"/>
      <c r="N91" s="634"/>
      <c r="O91" s="635" t="s">
        <v>347</v>
      </c>
      <c r="P91" s="654">
        <f>IF(I89="Fabricante 1",2.5%,2.5%)</f>
        <v>2.5000000000000001E-2</v>
      </c>
      <c r="Q91" s="485" t="s">
        <v>1</v>
      </c>
      <c r="R91" s="407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</row>
    <row r="92" spans="2:36" ht="16.5" hidden="1" outlineLevel="2" thickBot="1" x14ac:dyDescent="0.3">
      <c r="B92" s="406"/>
      <c r="C92" s="381"/>
      <c r="D92" s="276"/>
      <c r="F92" s="649"/>
      <c r="G92" s="650"/>
      <c r="H92" s="599"/>
      <c r="I92" s="599"/>
      <c r="J92" s="651"/>
      <c r="K92" s="650"/>
      <c r="L92" s="650"/>
      <c r="M92" s="652"/>
      <c r="N92" s="652"/>
      <c r="O92" s="653" t="s">
        <v>348</v>
      </c>
      <c r="P92" s="644">
        <f>IF(I89="Fabricante 1",37.5%,37.5%)</f>
        <v>0.375</v>
      </c>
      <c r="Q92" s="477" t="s">
        <v>1</v>
      </c>
      <c r="R92" s="407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</row>
    <row r="93" spans="2:36" ht="4.9000000000000004" hidden="1" customHeight="1" outlineLevel="2" thickBot="1" x14ac:dyDescent="0.3">
      <c r="B93" s="386"/>
      <c r="C93" s="382"/>
      <c r="D93" s="383"/>
      <c r="E93" s="383"/>
      <c r="F93" s="383"/>
      <c r="G93" s="383"/>
      <c r="H93" s="383"/>
      <c r="I93" s="383"/>
      <c r="J93" s="383"/>
      <c r="K93" s="383"/>
      <c r="L93" s="383"/>
      <c r="M93" s="383"/>
      <c r="N93" s="383"/>
      <c r="O93" s="383"/>
      <c r="P93" s="317"/>
      <c r="Q93" s="383"/>
      <c r="R93" s="384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2:36" ht="4.9000000000000004" customHeight="1" outlineLevel="1" thickTop="1" thickBot="1" x14ac:dyDescent="0.3">
      <c r="B94" s="71"/>
      <c r="C94" s="275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275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</row>
    <row r="95" spans="2:36" ht="16.5" outlineLevel="1" collapsed="1" thickTop="1" thickBot="1" x14ac:dyDescent="0.3">
      <c r="B95" s="408" t="s">
        <v>298</v>
      </c>
      <c r="C95" s="421"/>
      <c r="D95" s="413"/>
      <c r="E95" s="413"/>
      <c r="F95" s="413"/>
      <c r="G95" s="413"/>
      <c r="H95" s="413"/>
      <c r="I95" s="413"/>
      <c r="J95" s="413"/>
      <c r="K95" s="413"/>
      <c r="L95" s="413"/>
      <c r="M95" s="413"/>
      <c r="N95" s="413"/>
      <c r="O95" s="413"/>
      <c r="P95" s="421"/>
      <c r="Q95" s="413"/>
      <c r="R95" s="413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</row>
    <row r="96" spans="2:36" ht="4.9000000000000004" hidden="1" customHeight="1" outlineLevel="2" thickTop="1" thickBot="1" x14ac:dyDescent="0.3">
      <c r="B96" s="71"/>
      <c r="C96" s="275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275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</row>
    <row r="97" spans="2:36" ht="4.9000000000000004" hidden="1" customHeight="1" outlineLevel="2" thickTop="1" thickBot="1" x14ac:dyDescent="0.3">
      <c r="B97" s="378"/>
      <c r="C97" s="421"/>
      <c r="D97" s="413"/>
      <c r="E97" s="413"/>
      <c r="F97" s="413"/>
      <c r="G97" s="413"/>
      <c r="H97" s="413"/>
      <c r="I97" s="413">
        <v>4500000</v>
      </c>
      <c r="J97" s="413"/>
      <c r="K97" s="413"/>
      <c r="L97" s="413"/>
      <c r="M97" s="413"/>
      <c r="N97" s="413"/>
      <c r="O97" s="413"/>
      <c r="P97" s="421"/>
      <c r="Q97" s="413"/>
      <c r="R97" s="422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2:36" ht="17.25" hidden="1" outlineLevel="2" thickBot="1" x14ac:dyDescent="0.3">
      <c r="B98" s="428" t="s">
        <v>221</v>
      </c>
      <c r="C98" s="758" t="s">
        <v>222</v>
      </c>
      <c r="D98" s="759"/>
      <c r="E98" s="398" t="s">
        <v>222</v>
      </c>
      <c r="F98" s="398" t="s">
        <v>223</v>
      </c>
      <c r="G98" s="399"/>
      <c r="H98" s="419" t="s">
        <v>7</v>
      </c>
      <c r="I98" s="321">
        <v>4500000</v>
      </c>
      <c r="J98" s="400" t="s">
        <v>252</v>
      </c>
      <c r="K98" s="399"/>
      <c r="L98" s="399"/>
      <c r="M98" s="400"/>
      <c r="N98" s="400" t="s">
        <v>224</v>
      </c>
      <c r="O98" s="399"/>
      <c r="P98" s="321">
        <v>2000000</v>
      </c>
      <c r="Q98" s="401" t="s">
        <v>181</v>
      </c>
      <c r="R98" s="403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2:36" ht="4.9000000000000004" hidden="1" customHeight="1" outlineLevel="2" thickBot="1" x14ac:dyDescent="0.3">
      <c r="B99" s="423"/>
      <c r="C99" s="420"/>
      <c r="D99" s="291"/>
      <c r="E99" s="291"/>
      <c r="F99" s="291"/>
      <c r="G99" s="291"/>
      <c r="H99" s="291"/>
      <c r="I99" s="291"/>
      <c r="J99" s="291"/>
      <c r="K99" s="291"/>
      <c r="L99" s="291"/>
      <c r="M99" s="291"/>
      <c r="N99" s="291"/>
      <c r="O99" s="291"/>
      <c r="P99" s="420"/>
      <c r="Q99" s="291"/>
      <c r="R99" s="424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2:36" ht="17.25" hidden="1" outlineLevel="2" x14ac:dyDescent="0.25">
      <c r="B100" s="602" t="s">
        <v>231</v>
      </c>
      <c r="C100" s="320">
        <v>1</v>
      </c>
      <c r="D100" s="61"/>
      <c r="E100" s="279"/>
      <c r="F100" s="279"/>
      <c r="G100" s="233"/>
      <c r="H100" s="233"/>
      <c r="I100" s="233">
        <v>25</v>
      </c>
      <c r="J100" s="233"/>
      <c r="K100" s="233"/>
      <c r="L100" s="233"/>
      <c r="M100" s="233"/>
      <c r="N100" s="233"/>
      <c r="O100" s="233"/>
      <c r="P100" s="275"/>
      <c r="Q100" s="233"/>
      <c r="R100" s="412"/>
      <c r="S100" s="233"/>
      <c r="T100" s="233"/>
      <c r="U100" s="233"/>
      <c r="V100" s="233"/>
      <c r="W100" s="233"/>
      <c r="X100" s="233"/>
      <c r="Y100" s="233"/>
      <c r="Z100" s="233"/>
      <c r="AA100" s="233"/>
      <c r="AB100" s="233"/>
      <c r="AC100" s="233"/>
      <c r="AD100" s="233"/>
      <c r="AE100" s="233"/>
      <c r="AF100" s="233"/>
      <c r="AG100" s="233"/>
      <c r="AH100" s="233"/>
      <c r="AI100" s="233"/>
      <c r="AJ100" s="233"/>
    </row>
    <row r="101" spans="2:36" ht="17.25" hidden="1" outlineLevel="2" x14ac:dyDescent="0.25">
      <c r="B101" s="404" t="s">
        <v>230</v>
      </c>
      <c r="C101" s="320">
        <v>1</v>
      </c>
      <c r="D101" s="61"/>
      <c r="E101" s="279"/>
      <c r="F101" s="279"/>
      <c r="G101" s="233"/>
      <c r="H101" s="465" t="s">
        <v>331</v>
      </c>
      <c r="I101" s="681">
        <v>25</v>
      </c>
      <c r="J101" s="466" t="s">
        <v>326</v>
      </c>
      <c r="K101" s="233"/>
      <c r="L101" s="233"/>
      <c r="M101" s="233"/>
      <c r="N101" s="233"/>
      <c r="O101" s="233"/>
      <c r="P101" s="275"/>
      <c r="Q101" s="233"/>
      <c r="R101" s="412"/>
      <c r="S101" s="233"/>
      <c r="T101" s="233"/>
      <c r="U101" s="233"/>
      <c r="V101" s="233"/>
      <c r="W101" s="233"/>
      <c r="X101" s="233"/>
      <c r="Y101" s="233"/>
      <c r="Z101" s="233"/>
      <c r="AA101" s="233"/>
      <c r="AB101" s="233"/>
      <c r="AC101" s="233"/>
      <c r="AD101" s="233"/>
      <c r="AE101" s="233"/>
      <c r="AF101" s="233"/>
      <c r="AG101" s="233"/>
      <c r="AH101" s="233"/>
      <c r="AI101" s="233"/>
      <c r="AJ101" s="233"/>
    </row>
    <row r="102" spans="2:36" ht="4.9000000000000004" hidden="1" customHeight="1" outlineLevel="2" x14ac:dyDescent="0.25">
      <c r="B102" s="603"/>
      <c r="C102" s="604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604"/>
      <c r="Q102" s="39"/>
      <c r="R102" s="605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</row>
    <row r="103" spans="2:36" ht="18" hidden="1" outlineLevel="2" x14ac:dyDescent="0.25">
      <c r="B103" s="406" t="s">
        <v>7</v>
      </c>
      <c r="C103" s="297">
        <f>IF(C98="Nm3 Biometano",I98,P98*C100)</f>
        <v>4500000</v>
      </c>
      <c r="D103" s="233" t="s">
        <v>229</v>
      </c>
      <c r="E103" s="78">
        <f>('RT1C)BIODIG Gas Natural'!F22-'RT1C)BIODIG Gas Natural'!F10-'RT1C)BIODIG Gas Natural'!F13)*C100-C103</f>
        <v>-3456009.7513078172</v>
      </c>
      <c r="F103" s="233" t="s">
        <v>181</v>
      </c>
      <c r="G103" s="578" t="s">
        <v>321</v>
      </c>
      <c r="H103" s="71"/>
      <c r="I103" s="71"/>
      <c r="J103" s="61"/>
      <c r="K103" s="61"/>
      <c r="L103" s="61"/>
      <c r="M103" s="69"/>
      <c r="N103" s="61"/>
      <c r="O103" s="61"/>
      <c r="P103" s="275"/>
      <c r="Q103" s="61"/>
      <c r="R103" s="268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</row>
    <row r="104" spans="2:36" ht="17.25" hidden="1" outlineLevel="2" x14ac:dyDescent="0.25">
      <c r="B104" s="406" t="s">
        <v>224</v>
      </c>
      <c r="C104" s="297">
        <f>C103/C100</f>
        <v>4500000</v>
      </c>
      <c r="D104" s="276" t="s">
        <v>228</v>
      </c>
      <c r="G104" s="10"/>
      <c r="H104" s="10"/>
      <c r="I104" s="10"/>
      <c r="J104" s="61"/>
      <c r="K104" s="61"/>
      <c r="L104" s="61"/>
      <c r="M104" s="61"/>
      <c r="N104" s="61"/>
      <c r="O104" s="61"/>
      <c r="P104" s="275"/>
      <c r="Q104" s="61"/>
      <c r="R104" s="268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2:36" ht="18.75" hidden="1" outlineLevel="2" thickBot="1" x14ac:dyDescent="0.3">
      <c r="B105" s="425" t="s">
        <v>7</v>
      </c>
      <c r="C105" s="426">
        <f>'RT1B)BIODIG Descarb Biomet'!F16*1000*'Demanda Preço &amp; Quantidade'!C101</f>
        <v>556490.24869218259</v>
      </c>
      <c r="D105" s="542" t="s">
        <v>229</v>
      </c>
      <c r="E105" s="560">
        <f>('RT1B)BIODIG Descarb Biomet'!F22-'RT1B)BIODIG Descarb Biomet'!F10-'RT1B)BIODIG Descarb Biomet'!F13-'RT1B)BIODIG Descarb Biomet'!F16)*1000*C101</f>
        <v>0</v>
      </c>
      <c r="F105" s="542" t="s">
        <v>181</v>
      </c>
      <c r="G105" s="579" t="s">
        <v>322</v>
      </c>
      <c r="H105" s="409"/>
      <c r="I105" s="409"/>
      <c r="J105" s="383"/>
      <c r="K105" s="383"/>
      <c r="L105" s="383"/>
      <c r="M105" s="383"/>
      <c r="N105" s="383"/>
      <c r="O105" s="383"/>
      <c r="P105" s="382"/>
      <c r="Q105" s="383"/>
      <c r="R105" s="384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2:36" ht="16.5" thickTop="1" x14ac:dyDescent="0.25">
      <c r="B106" s="329"/>
      <c r="C106" s="232"/>
      <c r="D106" s="232"/>
      <c r="E106" s="276"/>
      <c r="F106" s="61"/>
      <c r="G106" s="61"/>
      <c r="H106" s="233"/>
      <c r="I106" s="277"/>
      <c r="J106" s="276"/>
      <c r="K106" s="61"/>
      <c r="L106" s="61"/>
      <c r="M106" s="61"/>
      <c r="N106" s="83"/>
      <c r="O106" s="61"/>
      <c r="P106" s="275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2:36" ht="18" customHeight="1" x14ac:dyDescent="0.25">
      <c r="B107" s="330"/>
      <c r="C107" s="232"/>
      <c r="D107" s="562"/>
      <c r="E107" s="561"/>
      <c r="F107" s="562"/>
      <c r="G107" s="232"/>
      <c r="H107" s="232"/>
      <c r="I107" s="232"/>
      <c r="J107" s="232"/>
      <c r="K107" s="232"/>
      <c r="L107" s="61"/>
      <c r="M107" s="61"/>
      <c r="N107" s="232"/>
      <c r="O107" s="61"/>
      <c r="P107" s="395"/>
      <c r="Q107" s="232"/>
      <c r="R107" s="232"/>
      <c r="S107" s="232"/>
      <c r="T107" s="232"/>
      <c r="U107" s="232"/>
      <c r="V107" s="232"/>
      <c r="W107" s="232"/>
      <c r="X107" s="232"/>
      <c r="Y107" s="232"/>
      <c r="Z107" s="232"/>
      <c r="AA107" s="232"/>
      <c r="AB107" s="232"/>
      <c r="AC107" s="232"/>
      <c r="AD107" s="232"/>
      <c r="AE107" s="232"/>
      <c r="AF107" s="232"/>
      <c r="AG107" s="232"/>
      <c r="AH107" s="232"/>
      <c r="AI107" s="232"/>
      <c r="AJ107" s="232"/>
    </row>
    <row r="108" spans="2:36" x14ac:dyDescent="0.25">
      <c r="D108" s="563"/>
      <c r="E108" s="564"/>
      <c r="F108" s="562"/>
      <c r="L108" s="61"/>
      <c r="M108" s="61"/>
      <c r="O108" s="61"/>
    </row>
    <row r="109" spans="2:36" x14ac:dyDescent="0.25">
      <c r="E109" s="564"/>
      <c r="F109" s="562"/>
      <c r="L109" s="61"/>
      <c r="M109" s="61"/>
    </row>
    <row r="110" spans="2:36" x14ac:dyDescent="0.25">
      <c r="E110" s="564"/>
      <c r="F110" s="562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6" type="noConversion"/>
  <conditionalFormatting sqref="I106">
    <cfRule type="expression" dxfId="40" priority="71">
      <formula>"se(d57=""Biometano"")"</formula>
    </cfRule>
  </conditionalFormatting>
  <conditionalFormatting sqref="H98">
    <cfRule type="expression" dxfId="39" priority="55">
      <formula>$C98="Nm3 Biometano"</formula>
    </cfRule>
  </conditionalFormatting>
  <conditionalFormatting sqref="H98">
    <cfRule type="expression" dxfId="38" priority="56">
      <formula>$C98="Nm3 Gas Natural"</formula>
    </cfRule>
  </conditionalFormatting>
  <conditionalFormatting sqref="I98">
    <cfRule type="expression" dxfId="37" priority="53">
      <formula>$C98="Nm3 Biometano"</formula>
    </cfRule>
  </conditionalFormatting>
  <conditionalFormatting sqref="I98">
    <cfRule type="expression" dxfId="36" priority="54">
      <formula>$C98="Nm3 Gas Natural"</formula>
    </cfRule>
  </conditionalFormatting>
  <conditionalFormatting sqref="J98">
    <cfRule type="expression" dxfId="35" priority="51">
      <formula>$C98="Nm3 Biometano"</formula>
    </cfRule>
  </conditionalFormatting>
  <conditionalFormatting sqref="J98">
    <cfRule type="expression" dxfId="34" priority="52">
      <formula>$C98="Nm3 Gas Natural"</formula>
    </cfRule>
  </conditionalFormatting>
  <conditionalFormatting sqref="H20">
    <cfRule type="expression" dxfId="33" priority="33">
      <formula>$C20="Nm3 Biometano"</formula>
    </cfRule>
  </conditionalFormatting>
  <conditionalFormatting sqref="H20">
    <cfRule type="expression" dxfId="32" priority="34">
      <formula>$C20="Nm3 Gas Natural"</formula>
    </cfRule>
  </conditionalFormatting>
  <conditionalFormatting sqref="I20">
    <cfRule type="expression" dxfId="31" priority="31">
      <formula>$C20="Nm3 Biometano"</formula>
    </cfRule>
  </conditionalFormatting>
  <conditionalFormatting sqref="I20">
    <cfRule type="expression" dxfId="30" priority="32">
      <formula>$C20="Nm3 Gas Natural"</formula>
    </cfRule>
  </conditionalFormatting>
  <conditionalFormatting sqref="M20">
    <cfRule type="expression" dxfId="29" priority="27">
      <formula>$C20="Nm3 Gas Natural"</formula>
    </cfRule>
  </conditionalFormatting>
  <conditionalFormatting sqref="M20">
    <cfRule type="expression" dxfId="28" priority="28">
      <formula>$C20="Nm3 Biometano"</formula>
    </cfRule>
  </conditionalFormatting>
  <conditionalFormatting sqref="N20">
    <cfRule type="expression" dxfId="27" priority="25">
      <formula>$C20="Nm3 Gas Natural"</formula>
    </cfRule>
  </conditionalFormatting>
  <conditionalFormatting sqref="N20">
    <cfRule type="expression" dxfId="26" priority="26">
      <formula>$C20="Nm3 Biometano"</formula>
    </cfRule>
  </conditionalFormatting>
  <conditionalFormatting sqref="Q20">
    <cfRule type="expression" dxfId="25" priority="23">
      <formula>$C20="Nm3 Gas Natural"</formula>
    </cfRule>
  </conditionalFormatting>
  <conditionalFormatting sqref="Q20">
    <cfRule type="expression" dxfId="24" priority="24">
      <formula>$C20="Nm3 Biometano"</formula>
    </cfRule>
  </conditionalFormatting>
  <conditionalFormatting sqref="P20">
    <cfRule type="expression" dxfId="23" priority="21">
      <formula>$C20="Nm3 Gas Natural"</formula>
    </cfRule>
  </conditionalFormatting>
  <conditionalFormatting sqref="P20">
    <cfRule type="expression" dxfId="22" priority="22">
      <formula>$C20="Nm3 Biometano"</formula>
    </cfRule>
  </conditionalFormatting>
  <conditionalFormatting sqref="M98">
    <cfRule type="expression" dxfId="21" priority="19">
      <formula>$C98="Nm3 Gas Natural"</formula>
    </cfRule>
  </conditionalFormatting>
  <conditionalFormatting sqref="M98">
    <cfRule type="expression" dxfId="20" priority="20">
      <formula>$C98="Nm3 Biometano"</formula>
    </cfRule>
  </conditionalFormatting>
  <conditionalFormatting sqref="N98">
    <cfRule type="expression" dxfId="19" priority="17">
      <formula>$C98="Nm3 Gas Natural"</formula>
    </cfRule>
  </conditionalFormatting>
  <conditionalFormatting sqref="N98">
    <cfRule type="expression" dxfId="18" priority="18">
      <formula>$C98="Nm3 Biometano"</formula>
    </cfRule>
  </conditionalFormatting>
  <conditionalFormatting sqref="Q98">
    <cfRule type="expression" dxfId="17" priority="15">
      <formula>$C98="Nm3 Gas Natural"</formula>
    </cfRule>
  </conditionalFormatting>
  <conditionalFormatting sqref="Q98">
    <cfRule type="expression" dxfId="16" priority="16">
      <formula>$C98="Nm3 Biometano"</formula>
    </cfRule>
  </conditionalFormatting>
  <conditionalFormatting sqref="P98">
    <cfRule type="expression" dxfId="15" priority="13">
      <formula>$C98="Nm3 Gas Natural"</formula>
    </cfRule>
  </conditionalFormatting>
  <conditionalFormatting sqref="P98">
    <cfRule type="expression" dxfId="14" priority="14">
      <formula>$C98="Nm3 Biometano"</formula>
    </cfRule>
  </conditionalFormatting>
  <conditionalFormatting sqref="E103">
    <cfRule type="cellIs" dxfId="13" priority="9" operator="lessThan">
      <formula>0</formula>
    </cfRule>
    <cfRule type="cellIs" dxfId="12" priority="10" operator="greaterThanOrEqual">
      <formula>0</formula>
    </cfRule>
  </conditionalFormatting>
  <conditionalFormatting sqref="E105">
    <cfRule type="cellIs" dxfId="11" priority="5" operator="lessThan">
      <formula>0</formula>
    </cfRule>
    <cfRule type="cellIs" dxfId="10" priority="6" operator="greaterThanOrEqual">
      <formula>0</formula>
    </cfRule>
  </conditionalFormatting>
  <conditionalFormatting sqref="J20">
    <cfRule type="expression" dxfId="9" priority="1">
      <formula>$C20="Nm3 Biometano"</formula>
    </cfRule>
  </conditionalFormatting>
  <conditionalFormatting sqref="J20">
    <cfRule type="expression" dxfId="8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O73"/>
  <sheetViews>
    <sheetView tabSelected="1" zoomScale="90" zoomScaleNormal="90" workbookViewId="0">
      <selection activeCell="B8" sqref="B8"/>
    </sheetView>
  </sheetViews>
  <sheetFormatPr defaultColWidth="8.85546875" defaultRowHeight="15" outlineLevelRow="2" x14ac:dyDescent="0.25"/>
  <cols>
    <col min="1" max="1" width="0.85546875" style="1" customWidth="1"/>
    <col min="2" max="2" width="83.28515625" style="1" customWidth="1"/>
    <col min="3" max="5" width="15.7109375" style="1" customWidth="1"/>
    <col min="6" max="9" width="8.85546875" style="1"/>
    <col min="10" max="10" width="16.28515625" style="1" customWidth="1"/>
    <col min="11" max="11" width="13.28515625" style="221" customWidth="1"/>
    <col min="12" max="12" width="13.28515625" style="1" customWidth="1"/>
    <col min="13" max="13" width="14.28515625" style="1" customWidth="1"/>
    <col min="14" max="14" width="8.85546875" style="584"/>
    <col min="15" max="16384" width="8.85546875" style="1"/>
  </cols>
  <sheetData>
    <row r="1" spans="2:15" ht="4.9000000000000004" customHeight="1" thickBot="1" x14ac:dyDescent="0.3">
      <c r="B1" s="223"/>
    </row>
    <row r="2" spans="2:15" s="2" customFormat="1" ht="25.15" customHeight="1" thickTop="1" thickBot="1" x14ac:dyDescent="0.3">
      <c r="B2" s="264"/>
      <c r="C2" s="772" t="s">
        <v>218</v>
      </c>
      <c r="D2" s="773"/>
      <c r="E2" s="773"/>
      <c r="F2" s="773"/>
      <c r="G2" s="773"/>
      <c r="H2" s="773"/>
      <c r="I2" s="773"/>
      <c r="J2" s="773"/>
      <c r="K2" s="773"/>
      <c r="L2" s="773"/>
      <c r="M2" s="773"/>
      <c r="N2" s="773"/>
    </row>
    <row r="3" spans="2:15" s="2" customFormat="1" ht="25.15" customHeight="1" thickTop="1" thickBot="1" x14ac:dyDescent="0.3">
      <c r="B3" s="264"/>
      <c r="C3" s="587" t="s">
        <v>324</v>
      </c>
      <c r="D3" s="586" t="s">
        <v>324</v>
      </c>
      <c r="E3" s="588" t="s">
        <v>324</v>
      </c>
      <c r="F3" s="770" t="s">
        <v>360</v>
      </c>
      <c r="G3" s="771"/>
      <c r="H3" s="771"/>
      <c r="I3" s="771"/>
      <c r="J3" s="771"/>
      <c r="K3" s="771"/>
      <c r="L3" s="771"/>
      <c r="M3" s="771"/>
      <c r="N3" s="771"/>
    </row>
    <row r="4" spans="2:15" s="2" customFormat="1" ht="25.15" customHeight="1" thickTop="1" thickBot="1" x14ac:dyDescent="0.3">
      <c r="B4" s="264"/>
      <c r="C4" s="782" t="s">
        <v>343</v>
      </c>
      <c r="D4" s="780" t="s">
        <v>344</v>
      </c>
      <c r="E4" s="780" t="s">
        <v>346</v>
      </c>
      <c r="F4" s="265"/>
      <c r="G4" s="786" t="s">
        <v>361</v>
      </c>
      <c r="H4" s="787"/>
      <c r="I4" s="787"/>
      <c r="J4" s="787"/>
      <c r="K4" s="787"/>
      <c r="L4" s="787"/>
      <c r="M4" s="787"/>
      <c r="N4" s="787"/>
    </row>
    <row r="5" spans="2:15" s="2" customFormat="1" ht="25.15" customHeight="1" thickTop="1" thickBot="1" x14ac:dyDescent="0.3">
      <c r="B5" s="264"/>
      <c r="C5" s="783"/>
      <c r="D5" s="781"/>
      <c r="E5" s="781"/>
      <c r="F5" s="265"/>
      <c r="G5" s="266"/>
      <c r="H5" s="784" t="s">
        <v>362</v>
      </c>
      <c r="I5" s="785"/>
      <c r="J5" s="785"/>
      <c r="K5" s="785"/>
      <c r="L5" s="785"/>
      <c r="M5" s="785"/>
      <c r="N5" s="785"/>
    </row>
    <row r="6" spans="2:15" s="306" customFormat="1" ht="19.899999999999999" customHeight="1" thickTop="1" x14ac:dyDescent="0.25">
      <c r="B6" s="305"/>
      <c r="C6" s="783"/>
      <c r="D6" s="781"/>
      <c r="E6" s="781"/>
      <c r="F6" s="334"/>
      <c r="G6" s="335"/>
      <c r="H6" s="336"/>
      <c r="I6" s="784" t="s">
        <v>390</v>
      </c>
      <c r="J6" s="785"/>
      <c r="K6" s="785"/>
      <c r="L6" s="785"/>
      <c r="M6" s="785"/>
      <c r="N6" s="785"/>
      <c r="O6" s="785"/>
    </row>
    <row r="7" spans="2:15" ht="4.9000000000000004" customHeight="1" thickBot="1" x14ac:dyDescent="0.3"/>
    <row r="8" spans="2:15" s="376" customFormat="1" ht="19.899999999999999" customHeight="1" collapsed="1" thickTop="1" thickBot="1" x14ac:dyDescent="0.3">
      <c r="B8" s="581" t="s">
        <v>199</v>
      </c>
      <c r="C8" s="723" t="s">
        <v>215</v>
      </c>
      <c r="D8" s="723" t="s">
        <v>216</v>
      </c>
      <c r="E8" s="723" t="s">
        <v>217</v>
      </c>
      <c r="F8" s="724" t="s">
        <v>200</v>
      </c>
      <c r="G8" s="725" t="s">
        <v>201</v>
      </c>
      <c r="H8" s="726" t="s">
        <v>202</v>
      </c>
      <c r="I8" s="726" t="s">
        <v>389</v>
      </c>
      <c r="J8" s="727"/>
      <c r="K8" s="377"/>
      <c r="N8" s="585"/>
    </row>
    <row r="9" spans="2:15" ht="15.75" hidden="1" outlineLevel="1" thickTop="1" x14ac:dyDescent="0.25">
      <c r="B9" s="702" t="s">
        <v>391</v>
      </c>
      <c r="C9" s="729">
        <f>'C-Dados RT1 Simplif.'!C102</f>
        <v>96866</v>
      </c>
      <c r="D9" s="729">
        <f>C9</f>
        <v>96866</v>
      </c>
      <c r="E9" s="729">
        <f t="shared" ref="E9:I9" si="0">D9</f>
        <v>96866</v>
      </c>
      <c r="F9" s="729">
        <f t="shared" si="0"/>
        <v>96866</v>
      </c>
      <c r="G9" s="729">
        <f t="shared" si="0"/>
        <v>96866</v>
      </c>
      <c r="H9" s="729">
        <f t="shared" si="0"/>
        <v>96866</v>
      </c>
      <c r="I9" s="729">
        <f t="shared" si="0"/>
        <v>96866</v>
      </c>
      <c r="J9" s="713" t="s">
        <v>394</v>
      </c>
    </row>
    <row r="10" spans="2:15" ht="17.25" hidden="1" outlineLevel="1" x14ac:dyDescent="0.25">
      <c r="B10" s="702" t="s">
        <v>392</v>
      </c>
      <c r="C10" s="729">
        <f>'C-Dados RT1 Simplif.'!C110</f>
        <v>0.8970991984690615</v>
      </c>
      <c r="D10" s="729">
        <f>C10</f>
        <v>0.8970991984690615</v>
      </c>
      <c r="E10" s="729">
        <f t="shared" ref="E10:I10" si="1">D10</f>
        <v>0.8970991984690615</v>
      </c>
      <c r="F10" s="729">
        <f t="shared" si="1"/>
        <v>0.8970991984690615</v>
      </c>
      <c r="G10" s="729">
        <f t="shared" si="1"/>
        <v>0.8970991984690615</v>
      </c>
      <c r="H10" s="729">
        <f t="shared" si="1"/>
        <v>0.8970991984690615</v>
      </c>
      <c r="I10" s="729">
        <f t="shared" si="1"/>
        <v>0.8970991984690615</v>
      </c>
      <c r="J10" s="713" t="s">
        <v>395</v>
      </c>
    </row>
    <row r="11" spans="2:15" hidden="1" outlineLevel="1" x14ac:dyDescent="0.25">
      <c r="B11" s="702" t="s">
        <v>393</v>
      </c>
      <c r="C11" s="729">
        <f>'C-Dados RT1 Simplif.'!C45</f>
        <v>160</v>
      </c>
      <c r="D11" s="729">
        <f>C11</f>
        <v>160</v>
      </c>
      <c r="E11" s="729">
        <f t="shared" ref="E11:I11" si="2">D11</f>
        <v>160</v>
      </c>
      <c r="F11" s="729">
        <f t="shared" si="2"/>
        <v>160</v>
      </c>
      <c r="G11" s="729">
        <f t="shared" si="2"/>
        <v>160</v>
      </c>
      <c r="H11" s="729">
        <f t="shared" si="2"/>
        <v>160</v>
      </c>
      <c r="I11" s="729">
        <f t="shared" si="2"/>
        <v>160</v>
      </c>
      <c r="J11" s="713" t="s">
        <v>371</v>
      </c>
    </row>
    <row r="12" spans="2:15" hidden="1" outlineLevel="1" x14ac:dyDescent="0.25">
      <c r="B12" s="702" t="str">
        <f>B44</f>
        <v>Nova RT | TARIFA LÍQUIDA pós MODICIDADE TARIFÁRIA</v>
      </c>
      <c r="C12" s="717">
        <f t="shared" ref="C12:H12" si="3">C44</f>
        <v>547.0025341030456</v>
      </c>
      <c r="D12" s="717">
        <f t="shared" si="3"/>
        <v>549.31605977049071</v>
      </c>
      <c r="E12" s="717">
        <f t="shared" si="3"/>
        <v>534.73097213512358</v>
      </c>
      <c r="F12" s="717">
        <f t="shared" si="3"/>
        <v>553.93783589915006</v>
      </c>
      <c r="G12" s="717">
        <f t="shared" si="3"/>
        <v>598.20410507236329</v>
      </c>
      <c r="H12" s="717">
        <f t="shared" si="3"/>
        <v>703.24180701646617</v>
      </c>
      <c r="I12" s="717">
        <f t="shared" ref="I12" si="4">I44</f>
        <v>1643.8626997314716</v>
      </c>
      <c r="J12" s="713" t="s">
        <v>371</v>
      </c>
    </row>
    <row r="13" spans="2:15" hidden="1" outlineLevel="1" x14ac:dyDescent="0.25">
      <c r="B13" s="702" t="str">
        <f>B68</f>
        <v>% EF RT &amp; CM | Eficiência Valorização RT + Custos Movimentação:
 (Esforço s/ Tarifa Munícipe)</v>
      </c>
      <c r="C13" s="728">
        <f>C68</f>
        <v>1.4191452505474509</v>
      </c>
      <c r="D13" s="728">
        <f t="shared" ref="D13:H13" si="5">D68</f>
        <v>1.4284728158947606</v>
      </c>
      <c r="E13" s="728">
        <f t="shared" si="5"/>
        <v>1.4753286839962192</v>
      </c>
      <c r="F13" s="728">
        <f t="shared" si="5"/>
        <v>1.3204097079949249</v>
      </c>
      <c r="G13" s="728">
        <f t="shared" si="5"/>
        <v>1.2737170261196555</v>
      </c>
      <c r="H13" s="728">
        <f t="shared" si="5"/>
        <v>1.4718511195914641</v>
      </c>
      <c r="I13" s="728">
        <f t="shared" ref="I13" si="6">I68</f>
        <v>0.85891493457029178</v>
      </c>
      <c r="J13" s="713" t="s">
        <v>1</v>
      </c>
    </row>
    <row r="14" spans="2:15" hidden="1" outlineLevel="1" x14ac:dyDescent="0.25">
      <c r="B14" s="702" t="s">
        <v>381</v>
      </c>
      <c r="C14" s="729">
        <f>'C-Dados RT1 Simplif.'!C7</f>
        <v>35</v>
      </c>
      <c r="D14" s="729">
        <f>'C-Dados RT1 Simplif.'!C7</f>
        <v>35</v>
      </c>
      <c r="E14" s="729">
        <f>'C-Dados RT1 Simplif.'!C7</f>
        <v>35</v>
      </c>
      <c r="F14" s="729">
        <f>'C-Dados RT2 Simplif.'!C7</f>
        <v>35</v>
      </c>
      <c r="G14" s="729">
        <f>'C-Dados RT3 Simplif.'!C7</f>
        <v>35</v>
      </c>
      <c r="H14" s="729">
        <f>'C-Dados RT4 Simplif.'!C7</f>
        <v>35</v>
      </c>
      <c r="I14" s="729">
        <f>'C-Dados RT5 Simplif.'!C7</f>
        <v>35</v>
      </c>
      <c r="J14" s="713" t="s">
        <v>3</v>
      </c>
    </row>
    <row r="15" spans="2:15" hidden="1" outlineLevel="1" x14ac:dyDescent="0.25">
      <c r="B15" s="702" t="s">
        <v>375</v>
      </c>
      <c r="C15" s="712">
        <f>'C-Dados RT1 Simplif.'!C18+('RT1A) Custos Valoriz E.Elétrica'!C10*'RT1A) Custos Valoriz E.Elétrica'!C5)/1000000</f>
        <v>108.03179827887607</v>
      </c>
      <c r="D15" s="712">
        <f>'C-Dados RT1 Simplif.'!C18+'RT1B) Descarb AutoCons'!C38+('RT1B) Descarb AutoCons'!C8*'RT1B) Descarb AutoCons'!C4)/1000000</f>
        <v>137.8358128071487</v>
      </c>
      <c r="E15" s="712">
        <f>'C-Dados RT1 Simplif.'!C18+('RT1C) Comercializ Gás Biomet'!C22+'RT1C) Comercializ Gás Biomet'!C4*'RT1C) Comercializ Gás Biomet'!C8)/1000000</f>
        <v>135.3358128071487</v>
      </c>
      <c r="F15" s="712">
        <f>'C-Dados RT2 Simplif.'!C18</f>
        <v>102.86153302407891</v>
      </c>
      <c r="G15" s="712">
        <f>'C-Dados RT3 Simplif.'!C18</f>
        <v>95.384274238632713</v>
      </c>
      <c r="H15" s="712">
        <f>'C-Dados RT4 Simplif.'!C18</f>
        <v>92.660608102209721</v>
      </c>
      <c r="I15" s="712">
        <f>'C-Dados RT5 Simplif.'!C18</f>
        <v>110.69537303613069</v>
      </c>
      <c r="J15" s="713" t="s">
        <v>386</v>
      </c>
    </row>
    <row r="16" spans="2:15" hidden="1" outlineLevel="1" x14ac:dyDescent="0.25">
      <c r="B16" s="702" t="s">
        <v>382</v>
      </c>
      <c r="C16" s="714">
        <f>'C-Dados RT1 Simplif.'!C21/'C-Dados RT1 Simplif.'!C7+'C-Dados RT1 Simplif.'!C105*C30/1000000</f>
        <v>32.390574406354546</v>
      </c>
      <c r="D16" s="714">
        <f>'C-Dados RT1 Simplif.'!C21/'C-Dados RT1 Simplif.'!C7+'C-Dados RT1 Simplif.'!C105*D30/1000000</f>
        <v>32.390574406354546</v>
      </c>
      <c r="E16" s="714">
        <f>'C-Dados RT1 Simplif.'!C21/'C-Dados RT1 Simplif.'!C7+'C-Dados RT1 Simplif.'!C105*E30/1000000</f>
        <v>32.390574406354546</v>
      </c>
      <c r="F16" s="714">
        <f>'C-Dados RT2 Simplif.'!C21/'C-Dados RT2 Simplif.'!C7+'C-Dados RT2 Simplif.'!C105*F30/1000000</f>
        <v>32.498489131465817</v>
      </c>
      <c r="G16" s="714">
        <f>'C-Dados RT3 Simplif.'!C21/'C-Dados RT3 Simplif.'!C7+'C-Dados RT3 Simplif.'!C105*G30/1000000</f>
        <v>31.658392809790591</v>
      </c>
      <c r="H16" s="714">
        <f>'C-Dados RT4 Simplif.'!C21/'C-Dados RT4 Simplif.'!C7+'C-Dados RT4 Simplif.'!C105*H30/1000000</f>
        <v>31.24915468836635</v>
      </c>
      <c r="I16" s="714">
        <f>'C-Dados RT5 Simplif.'!C21/'C-Dados RT5 Simplif.'!C7+'C-Dados RT5 Simplif.'!C105*I30/1000000</f>
        <v>40.414515486713128</v>
      </c>
      <c r="J16" s="350" t="s">
        <v>386</v>
      </c>
    </row>
    <row r="17" spans="2:14" hidden="1" outlineLevel="1" x14ac:dyDescent="0.25">
      <c r="B17" s="702" t="s">
        <v>374</v>
      </c>
      <c r="C17" s="715">
        <f>'C-Dados RT1 Simplif.'!C105/1000</f>
        <v>34.388276541382687</v>
      </c>
      <c r="D17" s="715">
        <f>'C-Dados RT1 Simplif.'!C105/1000</f>
        <v>34.388276541382687</v>
      </c>
      <c r="E17" s="715">
        <f>'C-Dados RT1 Simplif.'!C105/1000</f>
        <v>34.388276541382687</v>
      </c>
      <c r="F17" s="715">
        <f>'C-Dados RT2 Simplif.'!C105/1000</f>
        <v>34.388276541382687</v>
      </c>
      <c r="G17" s="715">
        <f>'C-Dados RT3 Simplif.'!C105/1000</f>
        <v>34.388276541382687</v>
      </c>
      <c r="H17" s="715">
        <f>'C-Dados RT4 Simplif.'!C105/1000</f>
        <v>34.388276541382687</v>
      </c>
      <c r="I17" s="715">
        <f>'C-Dados RT5 Simplif.'!C105/1000</f>
        <v>34.388276541382687</v>
      </c>
      <c r="J17" s="713" t="s">
        <v>19</v>
      </c>
    </row>
    <row r="18" spans="2:14" hidden="1" outlineLevel="1" x14ac:dyDescent="0.25">
      <c r="B18" s="702" t="s">
        <v>376</v>
      </c>
      <c r="C18" s="716">
        <f>'C-Dados RT1 Simplif.'!C113</f>
        <v>6.4097856117927545</v>
      </c>
      <c r="D18" s="716">
        <f>'C-Dados RT1 Simplif.'!C113</f>
        <v>6.4097856117927545</v>
      </c>
      <c r="E18" s="716">
        <f>'C-Dados RT1 Simplif.'!C113</f>
        <v>6.4097856117927545</v>
      </c>
      <c r="F18" s="716">
        <f>'C-Dados RT2 Simplif.'!C113</f>
        <v>4.832240619595094</v>
      </c>
      <c r="G18" s="716">
        <f>'C-Dados RT3 Simplif.'!C113</f>
        <v>7.7063268022325024</v>
      </c>
      <c r="H18" s="716">
        <f>'C-Dados RT4 Simplif.'!C113</f>
        <v>25.130944028181275</v>
      </c>
      <c r="I18" s="716">
        <f>'C-Dados RT5 Simplif.'!C113</f>
        <v>25.130944028181275</v>
      </c>
      <c r="J18" s="713" t="s">
        <v>19</v>
      </c>
    </row>
    <row r="19" spans="2:14" hidden="1" outlineLevel="1" x14ac:dyDescent="0.25">
      <c r="B19" s="702" t="s">
        <v>380</v>
      </c>
      <c r="C19" s="715">
        <f>'C-Dados RT1 Simplif.'!C116</f>
        <v>13.314839779403641</v>
      </c>
      <c r="D19" s="715">
        <f>'C-Dados RT1 Simplif.'!C116</f>
        <v>13.314839779403641</v>
      </c>
      <c r="E19" s="715">
        <f>'C-Dados RT1 Simplif.'!C116</f>
        <v>13.314839779403641</v>
      </c>
      <c r="F19" s="715">
        <f>'C-Dados RT2 Simplif.'!C116</f>
        <v>13.878248705188518</v>
      </c>
      <c r="G19" s="715">
        <f>'C-Dados RT3 Simplif.'!C116</f>
        <v>12.029706899706493</v>
      </c>
      <c r="H19" s="715">
        <f>'C-Dados RT4 Simplif.'!C116</f>
        <v>6.3291622974414841</v>
      </c>
      <c r="I19" s="715">
        <f>'C-Dados RT5 Simplif.'!C116</f>
        <v>6.3291622974414841</v>
      </c>
      <c r="J19" s="713" t="s">
        <v>19</v>
      </c>
    </row>
    <row r="20" spans="2:14" hidden="1" outlineLevel="1" x14ac:dyDescent="0.25">
      <c r="B20" s="702" t="s">
        <v>383</v>
      </c>
      <c r="C20" s="715">
        <f>'C-Dados RT1 Simplif.'!C119</f>
        <v>14.663651150186295</v>
      </c>
      <c r="D20" s="715">
        <f>'C-Dados RT1 Simplif.'!C119</f>
        <v>14.663651150186295</v>
      </c>
      <c r="E20" s="715">
        <f>'C-Dados RT1 Simplif.'!C119</f>
        <v>14.663651150186295</v>
      </c>
      <c r="F20" s="715">
        <f>'C-Dados RT2 Simplif.'!C119</f>
        <v>15.677787216599075</v>
      </c>
      <c r="G20" s="715">
        <f>'C-Dados RT3 Simplif.'!C119</f>
        <v>14.652242839443693</v>
      </c>
      <c r="H20" s="715">
        <f>'C-Dados RT4 Simplif.'!C119</f>
        <v>2.9281702157599319</v>
      </c>
      <c r="I20" s="715">
        <f>'C-Dados RT5 Simplif.'!C119</f>
        <v>2.9281702157599319</v>
      </c>
      <c r="J20" s="713" t="s">
        <v>19</v>
      </c>
    </row>
    <row r="21" spans="2:14" hidden="1" outlineLevel="1" x14ac:dyDescent="0.25">
      <c r="B21" s="702" t="s">
        <v>377</v>
      </c>
      <c r="C21" s="715">
        <f>'C-Dados RT1 Simplif.'!C123</f>
        <v>2.7424650541752689</v>
      </c>
      <c r="D21" s="715">
        <f>'C-Dados RT1 Simplif.'!C123</f>
        <v>2.7424650541752689</v>
      </c>
      <c r="E21" s="715">
        <f>'C-Dados RT1 Simplif.'!C123</f>
        <v>2.7424650541752689</v>
      </c>
      <c r="F21" s="715">
        <f>'C-Dados RT2 Simplif.'!C123</f>
        <v>2.7424650541752689</v>
      </c>
      <c r="G21" s="715">
        <f>'C-Dados RT3 Simplif.'!C123</f>
        <v>2.7424650541752689</v>
      </c>
      <c r="H21" s="715">
        <f>'C-Dados RT4 Simplif.'!C123</f>
        <v>2.9281702157599319</v>
      </c>
      <c r="I21" s="715">
        <f>'C-Dados RT5 Simplif.'!C123</f>
        <v>2.9281702157599319</v>
      </c>
      <c r="J21" s="713" t="s">
        <v>19</v>
      </c>
    </row>
    <row r="22" spans="2:14" hidden="1" outlineLevel="1" x14ac:dyDescent="0.25">
      <c r="B22" s="702" t="s">
        <v>378</v>
      </c>
      <c r="C22" s="716">
        <f>'C-Dados RT1 Simplif.'!C129</f>
        <v>5.7467710430057641</v>
      </c>
      <c r="D22" s="716">
        <f>'C-Dados RT1 Simplif.'!C129</f>
        <v>5.7467710430057641</v>
      </c>
      <c r="E22" s="716">
        <f>'C-Dados RT1 Simplif.'!C129</f>
        <v>5.7467710430057641</v>
      </c>
      <c r="F22" s="716">
        <f>'C-Dados RT2 Simplif.'!C129</f>
        <v>6.7609071094185476</v>
      </c>
      <c r="G22" s="716">
        <f>'C-Dados RT3 Simplif.'!C129</f>
        <v>0</v>
      </c>
      <c r="H22" s="716">
        <f>'C-Dados RT4 Simplif.'!C129</f>
        <v>0</v>
      </c>
      <c r="I22" s="716">
        <f>'C-Dados RT5 Simplif.'!C129</f>
        <v>0</v>
      </c>
      <c r="J22" s="713" t="s">
        <v>19</v>
      </c>
    </row>
    <row r="23" spans="2:14" hidden="1" outlineLevel="1" x14ac:dyDescent="0.25">
      <c r="B23" s="702" t="s">
        <v>379</v>
      </c>
      <c r="C23" s="716">
        <f>'C-Dados RT1 Simplif.'!C126</f>
        <v>6.1744150530052604</v>
      </c>
      <c r="D23" s="716">
        <f>'C-Dados RT1 Simplif.'!C126</f>
        <v>6.1744150530052604</v>
      </c>
      <c r="E23" s="716">
        <f>'C-Dados RT1 Simplif.'!C126</f>
        <v>6.1744150530052604</v>
      </c>
      <c r="F23" s="716">
        <f>'C-Dados RT2 Simplif.'!C126</f>
        <v>6.1744150530052604</v>
      </c>
      <c r="G23" s="716">
        <f>'C-Dados RT3 Simplif.'!C126</f>
        <v>11.909777785268423</v>
      </c>
      <c r="H23" s="716">
        <f>'C-Dados RT4 Simplif.'!C126</f>
        <v>0</v>
      </c>
      <c r="I23" s="716">
        <f>'C-Dados RT5 Simplif.'!C126</f>
        <v>0</v>
      </c>
      <c r="J23" s="713" t="s">
        <v>19</v>
      </c>
    </row>
    <row r="24" spans="2:14" hidden="1" outlineLevel="1" x14ac:dyDescent="0.25">
      <c r="B24" s="702" t="s">
        <v>384</v>
      </c>
      <c r="C24" s="717">
        <v>0</v>
      </c>
      <c r="D24" s="718">
        <v>0</v>
      </c>
      <c r="E24" s="718">
        <v>0</v>
      </c>
      <c r="F24" s="718">
        <v>0</v>
      </c>
      <c r="G24" s="718">
        <v>0</v>
      </c>
      <c r="H24" s="717">
        <f>'4)Incineração - E Elétrica'!F21</f>
        <v>21804.537156049621</v>
      </c>
      <c r="I24" s="717">
        <f>'5)Incineração - E Elétrica'!F21</f>
        <v>21804.537156049621</v>
      </c>
      <c r="J24" s="713" t="s">
        <v>20</v>
      </c>
    </row>
    <row r="25" spans="2:14" hidden="1" outlineLevel="1" x14ac:dyDescent="0.25">
      <c r="B25" s="702" t="s">
        <v>385</v>
      </c>
      <c r="C25" s="717">
        <f>'RT1A)BIODIG Energia Elétrica'!F21</f>
        <v>4175.9609947687304</v>
      </c>
      <c r="D25" s="718">
        <v>0</v>
      </c>
      <c r="E25" s="718">
        <v>0</v>
      </c>
      <c r="F25" s="718">
        <v>0</v>
      </c>
      <c r="G25" s="718">
        <v>0</v>
      </c>
      <c r="H25" s="718">
        <v>0</v>
      </c>
      <c r="I25" s="718">
        <v>0</v>
      </c>
      <c r="J25" s="713" t="s">
        <v>20</v>
      </c>
    </row>
    <row r="26" spans="2:14" hidden="1" outlineLevel="1" x14ac:dyDescent="0.25">
      <c r="B26" s="702" t="s">
        <v>387</v>
      </c>
      <c r="C26" s="717">
        <v>0</v>
      </c>
      <c r="D26" s="717">
        <f>'RT1B)BIODIG Descarb Biomet'!F22</f>
        <v>1043.9902486921826</v>
      </c>
      <c r="E26" s="718">
        <v>0</v>
      </c>
      <c r="F26" s="718">
        <v>0</v>
      </c>
      <c r="G26" s="718">
        <v>0</v>
      </c>
      <c r="H26" s="718">
        <v>0</v>
      </c>
      <c r="I26" s="718">
        <v>0</v>
      </c>
      <c r="J26" s="713" t="s">
        <v>28</v>
      </c>
    </row>
    <row r="27" spans="2:14" ht="18" hidden="1" outlineLevel="1" thickBot="1" x14ac:dyDescent="0.3">
      <c r="B27" s="719" t="s">
        <v>388</v>
      </c>
      <c r="C27" s="720">
        <v>0</v>
      </c>
      <c r="D27" s="720">
        <v>0</v>
      </c>
      <c r="E27" s="721">
        <f>'RT1C)BIODIG Gas Natural'!F22</f>
        <v>1043990.2486921826</v>
      </c>
      <c r="F27" s="720">
        <v>0</v>
      </c>
      <c r="G27" s="720">
        <v>0</v>
      </c>
      <c r="H27" s="720">
        <v>0</v>
      </c>
      <c r="I27" s="720">
        <v>0</v>
      </c>
      <c r="J27" s="722" t="s">
        <v>228</v>
      </c>
    </row>
    <row r="28" spans="2:14" s="309" customFormat="1" ht="17.25" collapsed="1" thickTop="1" thickBot="1" x14ac:dyDescent="0.3">
      <c r="B28" s="701" t="s">
        <v>356</v>
      </c>
      <c r="C28" s="337">
        <f t="shared" ref="C28:H28" si="7">C32+SUM(C29:C31)</f>
        <v>721.56317615198316</v>
      </c>
      <c r="D28" s="337">
        <f t="shared" si="7"/>
        <v>721.56317615198316</v>
      </c>
      <c r="E28" s="337">
        <f t="shared" si="7"/>
        <v>721.56317615198316</v>
      </c>
      <c r="F28" s="337">
        <f t="shared" si="7"/>
        <v>687.89848243040001</v>
      </c>
      <c r="G28" s="337">
        <f t="shared" si="7"/>
        <v>752.14362727861339</v>
      </c>
      <c r="H28" s="337">
        <f t="shared" si="7"/>
        <v>1040.5389987686544</v>
      </c>
      <c r="I28" s="337">
        <f t="shared" ref="I28" si="8">I32+SUM(I29:I31)</f>
        <v>1924.9654057767279</v>
      </c>
      <c r="J28" s="349" t="s">
        <v>2</v>
      </c>
      <c r="K28" s="311"/>
      <c r="N28" s="582"/>
    </row>
    <row r="29" spans="2:14" ht="19.5" hidden="1" customHeight="1" outlineLevel="1" x14ac:dyDescent="0.25">
      <c r="B29" s="702" t="s">
        <v>355</v>
      </c>
      <c r="C29" s="598">
        <v>0</v>
      </c>
      <c r="D29" s="598">
        <f>$C$29</f>
        <v>0</v>
      </c>
      <c r="E29" s="598">
        <f t="shared" ref="E29:I29" si="9">$C$29</f>
        <v>0</v>
      </c>
      <c r="F29" s="598">
        <f t="shared" si="9"/>
        <v>0</v>
      </c>
      <c r="G29" s="598">
        <f t="shared" si="9"/>
        <v>0</v>
      </c>
      <c r="H29" s="598">
        <f t="shared" si="9"/>
        <v>0</v>
      </c>
      <c r="I29" s="598">
        <f t="shared" si="9"/>
        <v>0</v>
      </c>
      <c r="J29" s="615" t="s">
        <v>2</v>
      </c>
      <c r="L29" s="221"/>
      <c r="M29" s="221"/>
      <c r="N29" s="583"/>
    </row>
    <row r="30" spans="2:14" ht="21" hidden="1" customHeight="1" outlineLevel="1" x14ac:dyDescent="0.25">
      <c r="B30" s="702" t="s">
        <v>357</v>
      </c>
      <c r="C30" s="598">
        <v>432.58</v>
      </c>
      <c r="D30" s="598">
        <f>$C$30</f>
        <v>432.58</v>
      </c>
      <c r="E30" s="598">
        <f t="shared" ref="E30:I30" si="10">$C$30</f>
        <v>432.58</v>
      </c>
      <c r="F30" s="598">
        <f t="shared" si="10"/>
        <v>432.58</v>
      </c>
      <c r="G30" s="598">
        <f t="shared" si="10"/>
        <v>432.58</v>
      </c>
      <c r="H30" s="598">
        <f t="shared" si="10"/>
        <v>432.58</v>
      </c>
      <c r="I30" s="598">
        <f t="shared" si="10"/>
        <v>432.58</v>
      </c>
      <c r="J30" s="615" t="s">
        <v>2</v>
      </c>
      <c r="L30" s="221"/>
      <c r="M30" s="221"/>
      <c r="N30" s="583"/>
    </row>
    <row r="31" spans="2:14" ht="16.5" hidden="1" customHeight="1" outlineLevel="1" thickBot="1" x14ac:dyDescent="0.3">
      <c r="B31" s="702" t="s">
        <v>354</v>
      </c>
      <c r="C31" s="598">
        <v>0.71</v>
      </c>
      <c r="D31" s="598">
        <f>$C$31</f>
        <v>0.71</v>
      </c>
      <c r="E31" s="598">
        <f t="shared" ref="E31:I31" si="11">$C$31</f>
        <v>0.71</v>
      </c>
      <c r="F31" s="598">
        <f t="shared" si="11"/>
        <v>0.71</v>
      </c>
      <c r="G31" s="598">
        <f t="shared" si="11"/>
        <v>0.71</v>
      </c>
      <c r="H31" s="598">
        <f t="shared" si="11"/>
        <v>0.71</v>
      </c>
      <c r="I31" s="598">
        <f t="shared" si="11"/>
        <v>0.71</v>
      </c>
      <c r="J31" s="615" t="s">
        <v>2</v>
      </c>
      <c r="L31" s="221"/>
      <c r="M31" s="221"/>
      <c r="N31" s="583"/>
    </row>
    <row r="32" spans="2:14" s="309" customFormat="1" ht="16.5" thickTop="1" x14ac:dyDescent="0.25">
      <c r="B32" s="703" t="s">
        <v>198</v>
      </c>
      <c r="C32" s="337">
        <f>'RT1A)BIODIG Energia Elétrica'!M7</f>
        <v>288.27317615198319</v>
      </c>
      <c r="D32" s="333">
        <f>'RT1B)BIODIG Descarb Biomet'!M7</f>
        <v>288.27317615198319</v>
      </c>
      <c r="E32" s="338">
        <f>'RT1C)BIODIG Gas Natural'!M7</f>
        <v>288.27317615198319</v>
      </c>
      <c r="F32" s="345">
        <f>'2)Compostagem CDR Comp Org'!M7</f>
        <v>254.60848243040007</v>
      </c>
      <c r="G32" s="345">
        <f>'3)Biosecagem Prod BioCDR'!M7</f>
        <v>318.85362727861343</v>
      </c>
      <c r="H32" s="345">
        <f>'4)Incineração - E Elétrica'!M7</f>
        <v>607.24899876865459</v>
      </c>
      <c r="I32" s="345">
        <f>'5)Incineração - E Elétrica'!M7</f>
        <v>1491.675405776728</v>
      </c>
      <c r="J32" s="349" t="s">
        <v>2</v>
      </c>
      <c r="K32" s="311"/>
      <c r="L32" s="691"/>
      <c r="N32" s="582"/>
    </row>
    <row r="33" spans="2:15" s="376" customFormat="1" ht="19.899999999999999" customHeight="1" collapsed="1" x14ac:dyDescent="0.25">
      <c r="B33" s="704" t="s">
        <v>179</v>
      </c>
      <c r="C33" s="661">
        <f>SUM(C38:C42)</f>
        <v>164.07513682896325</v>
      </c>
      <c r="D33" s="742">
        <f>SUM(D38:D42)</f>
        <v>157.77365970431526</v>
      </c>
      <c r="E33" s="742">
        <f t="shared" ref="E33:I33" si="12">SUM(E38:E42)</f>
        <v>186.83220401685966</v>
      </c>
      <c r="F33" s="742">
        <f t="shared" si="12"/>
        <v>133.96064653125001</v>
      </c>
      <c r="G33" s="742">
        <f t="shared" si="12"/>
        <v>153.93952220625002</v>
      </c>
      <c r="H33" s="741">
        <f t="shared" si="12"/>
        <v>327.18085732623069</v>
      </c>
      <c r="I33" s="740">
        <f t="shared" si="12"/>
        <v>255.81885210965919</v>
      </c>
      <c r="J33" s="618" t="s">
        <v>2</v>
      </c>
      <c r="K33" s="377"/>
      <c r="N33" s="619"/>
    </row>
    <row r="34" spans="2:15" hidden="1" outlineLevel="1" x14ac:dyDescent="0.25">
      <c r="B34" s="702" t="s">
        <v>277</v>
      </c>
      <c r="C34" s="662">
        <f>-'RT1A)BIODIG Energia Elétrica'!M11</f>
        <v>10.485505219974332</v>
      </c>
      <c r="D34" s="307">
        <f>-'RT1B)BIODIG Descarb Biomet'!M11</f>
        <v>0</v>
      </c>
      <c r="E34" s="307">
        <f>-'RT1C)BIODIG Gas Natural'!M11</f>
        <v>0</v>
      </c>
      <c r="F34" s="307">
        <f>-'2)Compostagem CDR Comp Org'!M11</f>
        <v>0</v>
      </c>
      <c r="G34" s="307">
        <f>-'3)Biosecagem Prod BioCDR'!M11</f>
        <v>0</v>
      </c>
      <c r="H34" s="307">
        <f>-'4)Incineração - E Elétrica'!M11</f>
        <v>10.116334425957875</v>
      </c>
      <c r="I34" s="611">
        <f>-'5)Incineração - E Elétrica'!M11</f>
        <v>25.283853935597026</v>
      </c>
      <c r="J34" s="350" t="s">
        <v>2</v>
      </c>
      <c r="L34" s="221"/>
      <c r="M34" s="221"/>
      <c r="N34" s="583"/>
    </row>
    <row r="35" spans="2:15" hidden="1" outlineLevel="1" x14ac:dyDescent="0.25">
      <c r="B35" s="702" t="s">
        <v>276</v>
      </c>
      <c r="C35" s="662">
        <v>0</v>
      </c>
      <c r="D35" s="307">
        <f>-'RT1B)BIODIG Descarb Biomet'!M12</f>
        <v>14.473456677177278</v>
      </c>
      <c r="E35" s="307">
        <v>0</v>
      </c>
      <c r="F35" s="307">
        <v>0</v>
      </c>
      <c r="G35" s="307">
        <v>0</v>
      </c>
      <c r="H35" s="307">
        <f>-'4)Incineração - E Elétrica'!M12</f>
        <v>0</v>
      </c>
      <c r="I35" s="611">
        <f>-'5)Incineração - E Elétrica'!M12</f>
        <v>0</v>
      </c>
      <c r="J35" s="350" t="s">
        <v>2</v>
      </c>
      <c r="L35" s="221"/>
      <c r="M35" s="221"/>
      <c r="N35" s="583"/>
    </row>
    <row r="36" spans="2:15" hidden="1" outlineLevel="1" x14ac:dyDescent="0.25">
      <c r="B36" s="702" t="s">
        <v>278</v>
      </c>
      <c r="C36" s="662">
        <v>0</v>
      </c>
      <c r="D36" s="307">
        <f>-'RT1B)BIODIG Descarb Biomet'!M15</f>
        <v>10.973745300674368</v>
      </c>
      <c r="E36" s="307">
        <v>0</v>
      </c>
      <c r="F36" s="307">
        <v>0</v>
      </c>
      <c r="G36" s="307">
        <v>0</v>
      </c>
      <c r="H36" s="307">
        <f>-'4)Incineração - E Elétrica'!M15</f>
        <v>0</v>
      </c>
      <c r="I36" s="611">
        <f>-'5)Incineração - E Elétrica'!M15</f>
        <v>0</v>
      </c>
      <c r="J36" s="350" t="s">
        <v>2</v>
      </c>
      <c r="L36" s="221"/>
      <c r="M36" s="221"/>
      <c r="N36" s="583"/>
    </row>
    <row r="37" spans="2:15" hidden="1" outlineLevel="1" x14ac:dyDescent="0.25">
      <c r="B37" s="702" t="s">
        <v>279</v>
      </c>
      <c r="C37" s="662">
        <f>-'RT1A)BIODIG Energia Elétrica'!M14</f>
        <v>0</v>
      </c>
      <c r="D37" s="307">
        <v>0</v>
      </c>
      <c r="E37" s="307">
        <f>-'RT1C)BIODIG Gas Natural'!M15</f>
        <v>0</v>
      </c>
      <c r="F37" s="307">
        <v>0</v>
      </c>
      <c r="G37" s="307">
        <v>0</v>
      </c>
      <c r="H37" s="307">
        <f>-'4)Incineração - E Elétrica'!M14</f>
        <v>0</v>
      </c>
      <c r="I37" s="611">
        <f>-'5)Incineração - E Elétrica'!M14</f>
        <v>0</v>
      </c>
      <c r="J37" s="350" t="s">
        <v>2</v>
      </c>
      <c r="L37" s="221"/>
      <c r="M37" s="221"/>
      <c r="N37" s="583"/>
    </row>
    <row r="38" spans="2:15" hidden="1" outlineLevel="1" x14ac:dyDescent="0.25">
      <c r="B38" s="702" t="s">
        <v>240</v>
      </c>
      <c r="C38" s="662">
        <f>-'RT1A)BIODIG Energia Elétrica'!M21</f>
        <v>112.45235203125</v>
      </c>
      <c r="D38" s="307">
        <f>-'RT1B)BIODIG Descarb Biomet'!M21</f>
        <v>112.45235203125</v>
      </c>
      <c r="E38" s="307">
        <f>-'RT1C)BIODIG Gas Natural'!M21</f>
        <v>112.45235203125</v>
      </c>
      <c r="F38" s="307">
        <f>-'2)Compostagem CDR Comp Org'!M21</f>
        <v>112.45235203125</v>
      </c>
      <c r="G38" s="307">
        <f>-'3)Biosecagem Prod BioCDR'!M21</f>
        <v>112.45235203125</v>
      </c>
      <c r="H38" s="307">
        <f>-'4)Incineração - E Elétrica'!M21</f>
        <v>122.69285733386893</v>
      </c>
      <c r="I38" s="611">
        <f>-'5)Incineração - E Elétrica'!M21</f>
        <v>122.69285733386893</v>
      </c>
      <c r="J38" s="350" t="s">
        <v>2</v>
      </c>
      <c r="L38" s="221"/>
      <c r="M38" s="221"/>
      <c r="N38" s="583"/>
    </row>
    <row r="39" spans="2:15" hidden="1" outlineLevel="1" x14ac:dyDescent="0.25">
      <c r="B39" s="702" t="s">
        <v>241</v>
      </c>
      <c r="C39" s="662">
        <f>-'RT1A)BIODIG Energia Elétrica'!M17</f>
        <v>30.11449029771325</v>
      </c>
      <c r="D39" s="307">
        <f>-'RT1B)BIODIG Descarb Biomet'!M17</f>
        <v>0</v>
      </c>
      <c r="E39" s="307">
        <f>-'RT1C)BIODIG Gas Natural'!M17</f>
        <v>0</v>
      </c>
      <c r="F39" s="307">
        <v>0</v>
      </c>
      <c r="G39" s="307">
        <v>0</v>
      </c>
      <c r="H39" s="307">
        <f>-'4)Incineração - E Elétrica'!M17</f>
        <v>204.48799999236178</v>
      </c>
      <c r="I39" s="611">
        <f>-'5)Incineração - E Elétrica'!M17</f>
        <v>133.12599477579025</v>
      </c>
      <c r="J39" s="350" t="s">
        <v>2</v>
      </c>
      <c r="L39" s="221"/>
      <c r="M39" s="221"/>
      <c r="N39" s="583"/>
    </row>
    <row r="40" spans="2:15" hidden="1" outlineLevel="1" x14ac:dyDescent="0.25">
      <c r="B40" s="702" t="s">
        <v>242</v>
      </c>
      <c r="C40" s="662">
        <f>-'RT1A)BIODIG Energia Elétrica'!M18</f>
        <v>0</v>
      </c>
      <c r="D40" s="307">
        <f>-'RT1B)BIODIG Descarb Biomet'!M18</f>
        <v>23.813013173065247</v>
      </c>
      <c r="E40" s="307">
        <f>-'RT1C)BIODIG Gas Natural'!M18+E36</f>
        <v>52.871557485609657</v>
      </c>
      <c r="F40" s="307">
        <v>0</v>
      </c>
      <c r="G40" s="307">
        <v>0</v>
      </c>
      <c r="H40" s="307">
        <f>-'4)Incineração - E Elétrica'!M18</f>
        <v>0</v>
      </c>
      <c r="I40" s="611">
        <f>-'5)Incineração - E Elétrica'!M18</f>
        <v>0</v>
      </c>
      <c r="J40" s="350" t="s">
        <v>2</v>
      </c>
      <c r="L40" s="221"/>
      <c r="M40" s="221"/>
      <c r="N40" s="583"/>
    </row>
    <row r="41" spans="2:15" hidden="1" outlineLevel="1" x14ac:dyDescent="0.25">
      <c r="B41" s="702" t="s">
        <v>243</v>
      </c>
      <c r="C41" s="662">
        <f>-'RT1A)BIODIG Energia Elétrica'!M20</f>
        <v>0</v>
      </c>
      <c r="D41" s="307">
        <f>-'RT1B)BIODIG Descarb Biomet'!M20</f>
        <v>0</v>
      </c>
      <c r="E41" s="307">
        <f>-'RT1C)BIODIG Gas Natural'!M20</f>
        <v>0</v>
      </c>
      <c r="F41" s="307">
        <f>-'2)Compostagem CDR Comp Org'!M20</f>
        <v>0</v>
      </c>
      <c r="G41" s="307">
        <v>0</v>
      </c>
      <c r="H41" s="307">
        <f>-'4)Incineração - E Elétrica'!M20</f>
        <v>0</v>
      </c>
      <c r="I41" s="611">
        <f>-'5)Incineração - E Elétrica'!M20</f>
        <v>0</v>
      </c>
      <c r="J41" s="350" t="s">
        <v>2</v>
      </c>
      <c r="L41" s="221"/>
      <c r="M41" s="221"/>
      <c r="N41" s="583"/>
    </row>
    <row r="42" spans="2:15" hidden="1" outlineLevel="1" x14ac:dyDescent="0.25">
      <c r="B42" s="702" t="s">
        <v>244</v>
      </c>
      <c r="C42" s="662">
        <f>-'RT1A)BIODIG Energia Elétrica'!M19</f>
        <v>21.508294499999998</v>
      </c>
      <c r="D42" s="307">
        <f>-'RT1B)BIODIG Descarb Biomet'!M19</f>
        <v>21.508294499999998</v>
      </c>
      <c r="E42" s="307">
        <f>-'RT1C)BIODIG Gas Natural'!M19</f>
        <v>21.508294499999998</v>
      </c>
      <c r="F42" s="307">
        <f>-'2)Compostagem CDR Comp Org'!M19</f>
        <v>21.508294499999998</v>
      </c>
      <c r="G42" s="307">
        <f>-'3)Biosecagem Prod BioCDR'!M19</f>
        <v>41.487170175000017</v>
      </c>
      <c r="H42" s="307">
        <f>-'4)Incineração - E Elétrica'!M19</f>
        <v>0</v>
      </c>
      <c r="I42" s="611">
        <f>-'5)Incineração - E Elétrica'!M19</f>
        <v>0</v>
      </c>
      <c r="J42" s="350" t="s">
        <v>2</v>
      </c>
      <c r="L42" s="221"/>
      <c r="M42" s="221"/>
      <c r="N42" s="583"/>
    </row>
    <row r="43" spans="2:15" s="620" customFormat="1" ht="15" customHeight="1" thickBot="1" x14ac:dyDescent="0.3">
      <c r="B43" s="705" t="s">
        <v>180</v>
      </c>
      <c r="C43" s="621">
        <f t="shared" ref="C43:H43" si="13">C33/C32</f>
        <v>0.56916546665604317</v>
      </c>
      <c r="D43" s="743">
        <f t="shared" si="13"/>
        <v>0.54730607200558246</v>
      </c>
      <c r="E43" s="743">
        <f t="shared" si="13"/>
        <v>0.64810818165876838</v>
      </c>
      <c r="F43" s="743">
        <f t="shared" si="13"/>
        <v>0.5261436903142831</v>
      </c>
      <c r="G43" s="743">
        <f t="shared" si="13"/>
        <v>0.48279056293042599</v>
      </c>
      <c r="H43" s="743">
        <f t="shared" si="13"/>
        <v>0.53879192553576816</v>
      </c>
      <c r="I43" s="622">
        <f t="shared" ref="I43" si="14">I33/I32</f>
        <v>0.17149766706547806</v>
      </c>
      <c r="J43" s="623" t="s">
        <v>2</v>
      </c>
      <c r="K43" s="624"/>
      <c r="N43" s="625"/>
    </row>
    <row r="44" spans="2:15" s="309" customFormat="1" ht="19.899999999999999" customHeight="1" thickTop="1" thickBot="1" x14ac:dyDescent="0.3">
      <c r="B44" s="706" t="s">
        <v>239</v>
      </c>
      <c r="C44" s="663">
        <f>'RT1A)BIODIG Energia Elétrica'!M22</f>
        <v>547.0025341030456</v>
      </c>
      <c r="D44" s="664">
        <f>'RT1B)BIODIG Descarb Biomet'!M22</f>
        <v>549.31605977049071</v>
      </c>
      <c r="E44" s="665">
        <f>'RT1C)BIODIG Gas Natural'!M22</f>
        <v>534.73097213512358</v>
      </c>
      <c r="F44" s="666">
        <f>'2)Compostagem CDR Comp Org'!M22</f>
        <v>553.93783589915006</v>
      </c>
      <c r="G44" s="666">
        <f>'3)Biosecagem Prod BioCDR'!M22</f>
        <v>598.20410507236329</v>
      </c>
      <c r="H44" s="666">
        <f>'4)Incineração - E Elétrica'!M22</f>
        <v>703.24180701646617</v>
      </c>
      <c r="I44" s="666">
        <f>'5)Incineração - E Elétrica'!M22</f>
        <v>1643.8626997314716</v>
      </c>
      <c r="J44" s="667" t="s">
        <v>2</v>
      </c>
      <c r="K44" s="779" t="s">
        <v>197</v>
      </c>
      <c r="L44" s="779"/>
      <c r="M44" s="779"/>
      <c r="N44" s="779"/>
      <c r="O44" s="691"/>
    </row>
    <row r="45" spans="2:15" s="309" customFormat="1" ht="17.25" collapsed="1" thickTop="1" thickBot="1" x14ac:dyDescent="0.3">
      <c r="B45" s="707" t="s">
        <v>193</v>
      </c>
      <c r="C45" s="339">
        <f t="shared" ref="C45:H45" si="15">C46+C47+C48+C49</f>
        <v>10.485505219974332</v>
      </c>
      <c r="D45" s="313">
        <f t="shared" si="15"/>
        <v>25.447201977851648</v>
      </c>
      <c r="E45" s="313">
        <f t="shared" si="15"/>
        <v>0</v>
      </c>
      <c r="F45" s="346">
        <f t="shared" si="15"/>
        <v>0</v>
      </c>
      <c r="G45" s="346">
        <f t="shared" si="15"/>
        <v>0</v>
      </c>
      <c r="H45" s="346">
        <f t="shared" si="15"/>
        <v>10.116334425957875</v>
      </c>
      <c r="I45" s="346">
        <f t="shared" ref="I45" si="16">I46+I47+I48+I49</f>
        <v>25.283853935597026</v>
      </c>
      <c r="J45" s="351" t="s">
        <v>2</v>
      </c>
      <c r="K45" s="778" t="s">
        <v>195</v>
      </c>
      <c r="L45" s="778"/>
      <c r="M45" s="778"/>
      <c r="N45" s="778"/>
    </row>
    <row r="46" spans="2:15" ht="15.75" hidden="1" outlineLevel="1" thickTop="1" x14ac:dyDescent="0.25">
      <c r="B46" s="702" t="s">
        <v>287</v>
      </c>
      <c r="C46" s="566">
        <f>'RT1A) Custos Valoriz E.Elétrica'!C20</f>
        <v>10.485505219974332</v>
      </c>
      <c r="D46" s="307">
        <v>0</v>
      </c>
      <c r="E46" s="3">
        <v>0</v>
      </c>
      <c r="F46" s="307">
        <v>0</v>
      </c>
      <c r="G46" s="307">
        <v>0</v>
      </c>
      <c r="H46" s="308">
        <f>-'4)Incineração - E Elétrica'!M11</f>
        <v>10.116334425957875</v>
      </c>
      <c r="I46" s="308">
        <f>-'5)Incineração - E Elétrica'!M11</f>
        <v>25.283853935597026</v>
      </c>
      <c r="J46" s="221" t="s">
        <v>2</v>
      </c>
      <c r="L46" s="221"/>
      <c r="M46" s="221"/>
      <c r="N46" s="693"/>
    </row>
    <row r="47" spans="2:15" hidden="1" outlineLevel="1" x14ac:dyDescent="0.25">
      <c r="B47" s="702" t="s">
        <v>284</v>
      </c>
      <c r="C47" s="3">
        <v>0</v>
      </c>
      <c r="D47" s="565">
        <f>'RT1B) Descarb AutoCons'!C42</f>
        <v>14.473456677177278</v>
      </c>
      <c r="E47" s="3">
        <v>0</v>
      </c>
      <c r="F47" s="307">
        <v>0</v>
      </c>
      <c r="G47" s="307">
        <v>0</v>
      </c>
      <c r="H47" s="308">
        <v>0</v>
      </c>
      <c r="I47" s="308">
        <v>0</v>
      </c>
      <c r="J47" s="221" t="s">
        <v>2</v>
      </c>
      <c r="L47" s="221"/>
      <c r="M47" s="221"/>
      <c r="N47" s="693"/>
    </row>
    <row r="48" spans="2:15" hidden="1" outlineLevel="1" x14ac:dyDescent="0.25">
      <c r="B48" s="702" t="s">
        <v>285</v>
      </c>
      <c r="C48" s="3">
        <v>0</v>
      </c>
      <c r="D48" s="565">
        <f>'RT1B) Descarb Util Públ'!C42</f>
        <v>10.973745300674368</v>
      </c>
      <c r="E48" s="3">
        <v>0</v>
      </c>
      <c r="F48" s="307">
        <v>0</v>
      </c>
      <c r="G48" s="307">
        <v>0</v>
      </c>
      <c r="H48" s="308">
        <v>0</v>
      </c>
      <c r="I48" s="308">
        <v>0</v>
      </c>
      <c r="J48" s="221" t="s">
        <v>2</v>
      </c>
      <c r="L48" s="221"/>
      <c r="M48" s="221"/>
      <c r="N48" s="693"/>
    </row>
    <row r="49" spans="2:14" ht="15.75" hidden="1" outlineLevel="1" thickBot="1" x14ac:dyDescent="0.3">
      <c r="B49" s="702" t="s">
        <v>286</v>
      </c>
      <c r="C49" s="566">
        <f>'RT1A) Custos Valoriz E.Elétrica'!C26</f>
        <v>0</v>
      </c>
      <c r="D49" s="307">
        <v>0</v>
      </c>
      <c r="E49" s="3">
        <v>0</v>
      </c>
      <c r="F49" s="307">
        <v>0</v>
      </c>
      <c r="G49" s="307">
        <v>0</v>
      </c>
      <c r="H49" s="568">
        <f>'RT4)Custos Valoriz E.Elétrica'!C26</f>
        <v>0</v>
      </c>
      <c r="I49" s="568">
        <f>'RT5)Custos Valoriz E.Elétrica'!C26</f>
        <v>0</v>
      </c>
      <c r="J49" s="221" t="s">
        <v>2</v>
      </c>
      <c r="L49" s="221"/>
      <c r="M49" s="221"/>
      <c r="N49" s="693"/>
    </row>
    <row r="50" spans="2:14" s="309" customFormat="1" ht="17.25" thickTop="1" thickBot="1" x14ac:dyDescent="0.3">
      <c r="B50" s="708" t="s">
        <v>194</v>
      </c>
      <c r="C50" s="340">
        <f t="shared" ref="C50:H50" si="17">C51+C55+C60</f>
        <v>441.71540626081963</v>
      </c>
      <c r="D50" s="314">
        <f t="shared" si="17"/>
        <v>441.46219703440067</v>
      </c>
      <c r="E50" s="341">
        <f t="shared" si="17"/>
        <v>442.07173739527116</v>
      </c>
      <c r="F50" s="347">
        <f t="shared" si="17"/>
        <v>437.46424961568732</v>
      </c>
      <c r="G50" s="347">
        <f t="shared" si="17"/>
        <v>448.00323151909049</v>
      </c>
      <c r="H50" s="347">
        <f t="shared" si="17"/>
        <v>537.77004924852156</v>
      </c>
      <c r="I50" s="347">
        <f t="shared" ref="I50" si="18">I51+I55+I60</f>
        <v>970.83551713714405</v>
      </c>
      <c r="J50" s="352" t="s">
        <v>2</v>
      </c>
      <c r="K50" s="777" t="s">
        <v>195</v>
      </c>
      <c r="L50" s="777"/>
      <c r="M50" s="777"/>
      <c r="N50" s="777"/>
    </row>
    <row r="51" spans="2:14" s="2" customFormat="1" ht="15.75" outlineLevel="1" collapsed="1" thickTop="1" x14ac:dyDescent="0.25">
      <c r="B51" s="709" t="s">
        <v>170</v>
      </c>
      <c r="C51" s="609">
        <f t="shared" ref="C51:H51" si="19">C52+C54</f>
        <v>100.11218185342608</v>
      </c>
      <c r="D51" s="310">
        <f t="shared" si="19"/>
        <v>100.11218185342608</v>
      </c>
      <c r="E51" s="610">
        <f t="shared" si="19"/>
        <v>100.11218185342608</v>
      </c>
      <c r="F51" s="310">
        <f t="shared" si="19"/>
        <v>96.644778295140455</v>
      </c>
      <c r="G51" s="310">
        <f t="shared" si="19"/>
        <v>108.30876620887024</v>
      </c>
      <c r="H51" s="310">
        <f t="shared" si="19"/>
        <v>151.0391659491757</v>
      </c>
      <c r="I51" s="310">
        <f t="shared" ref="I51" si="20">I52+I54</f>
        <v>151.0391659491757</v>
      </c>
      <c r="J51" s="614" t="s">
        <v>2</v>
      </c>
      <c r="K51" s="312"/>
      <c r="L51" s="312"/>
      <c r="M51" s="312"/>
      <c r="N51" s="694"/>
    </row>
    <row r="52" spans="2:14" hidden="1" outlineLevel="2" x14ac:dyDescent="0.25">
      <c r="B52" s="702" t="s">
        <v>166</v>
      </c>
      <c r="C52" s="598">
        <f>'C-Dados RT1 Simplif.'!$F57</f>
        <v>100.11218185342608</v>
      </c>
      <c r="D52" s="307">
        <f>'C-Dados RT1 Simplif.'!$F57</f>
        <v>100.11218185342608</v>
      </c>
      <c r="E52" s="611">
        <f>'C-Dados RT1 Simplif.'!$F57</f>
        <v>100.11218185342608</v>
      </c>
      <c r="F52" s="307">
        <f>'C-Dados RT2 Simplif.'!$F57</f>
        <v>96.644778295140455</v>
      </c>
      <c r="G52" s="307">
        <f>'C-Dados RT3 Simplif.'!$F57</f>
        <v>108.30876620887024</v>
      </c>
      <c r="H52" s="307">
        <f>'C-Dados RT4 Simplif.'!$F57</f>
        <v>151.0391659491757</v>
      </c>
      <c r="I52" s="307">
        <f>'C-Dados RT5 Simplif.'!$F57</f>
        <v>151.0391659491757</v>
      </c>
      <c r="J52" s="615" t="s">
        <v>2</v>
      </c>
      <c r="L52" s="221"/>
      <c r="M52" s="221"/>
      <c r="N52" s="693"/>
    </row>
    <row r="53" spans="2:14" s="600" customFormat="1" hidden="1" outlineLevel="2" x14ac:dyDescent="0.25">
      <c r="B53" s="710" t="s">
        <v>329</v>
      </c>
      <c r="C53" s="612">
        <f>'C-Dados RT1 Simplif.'!$F58</f>
        <v>0</v>
      </c>
      <c r="D53" s="601">
        <f>'C-Dados RT1 Simplif.'!$F58</f>
        <v>0</v>
      </c>
      <c r="E53" s="613">
        <f>'C-Dados RT1 Simplif.'!$F58</f>
        <v>0</v>
      </c>
      <c r="F53" s="601">
        <f>'C-Dados RT2 Simplif.'!$F58</f>
        <v>0</v>
      </c>
      <c r="G53" s="601">
        <f>'C-Dados RT3 Simplif.'!$F58</f>
        <v>0</v>
      </c>
      <c r="H53" s="601">
        <f>'C-Dados RT4 Simplif.'!$F58</f>
        <v>0</v>
      </c>
      <c r="I53" s="601">
        <f>'C-Dados RT4 Simplif.'!$F58</f>
        <v>0</v>
      </c>
      <c r="J53" s="616" t="s">
        <v>2</v>
      </c>
      <c r="K53" s="692"/>
      <c r="L53" s="692"/>
      <c r="M53" s="692"/>
      <c r="N53" s="695"/>
    </row>
    <row r="54" spans="2:14" hidden="1" outlineLevel="2" x14ac:dyDescent="0.25">
      <c r="B54" s="702" t="s">
        <v>171</v>
      </c>
      <c r="C54" s="598">
        <f>'C-Dados RT1 Simplif.'!$F58</f>
        <v>0</v>
      </c>
      <c r="D54" s="307">
        <f>'C-Dados RT1 Simplif.'!$F58</f>
        <v>0</v>
      </c>
      <c r="E54" s="611">
        <f>'C-Dados RT1 Simplif.'!$F58</f>
        <v>0</v>
      </c>
      <c r="F54" s="307">
        <f>'C-Dados RT2 Simplif.'!$F58</f>
        <v>0</v>
      </c>
      <c r="G54" s="307">
        <f>'C-Dados RT3 Simplif.'!$F58</f>
        <v>0</v>
      </c>
      <c r="H54" s="307">
        <f>'C-Dados RT4 Simplif.'!$F58</f>
        <v>0</v>
      </c>
      <c r="I54" s="307">
        <f>'C-Dados RT5 Simplif.'!$F58</f>
        <v>0</v>
      </c>
      <c r="J54" s="615" t="s">
        <v>2</v>
      </c>
      <c r="L54" s="221"/>
      <c r="M54" s="221"/>
      <c r="N54" s="693"/>
    </row>
    <row r="55" spans="2:14" s="2" customFormat="1" outlineLevel="1" collapsed="1" x14ac:dyDescent="0.25">
      <c r="B55" s="709" t="s">
        <v>172</v>
      </c>
      <c r="C55" s="609">
        <f t="shared" ref="C55:H55" si="21">C56+C57+C58+C59</f>
        <v>236.23150880860379</v>
      </c>
      <c r="D55" s="310">
        <f t="shared" si="21"/>
        <v>236.23150880860379</v>
      </c>
      <c r="E55" s="610">
        <f t="shared" si="21"/>
        <v>236.23150880860379</v>
      </c>
      <c r="F55" s="310">
        <f t="shared" si="21"/>
        <v>237.33287694768146</v>
      </c>
      <c r="G55" s="310">
        <f t="shared" si="21"/>
        <v>227.75105459221021</v>
      </c>
      <c r="H55" s="310">
        <f t="shared" si="21"/>
        <v>232.16052361139015</v>
      </c>
      <c r="I55" s="310">
        <f t="shared" ref="I55" si="22">I56+I57+I58+I59</f>
        <v>399.27372358023774</v>
      </c>
      <c r="J55" s="614" t="s">
        <v>2</v>
      </c>
      <c r="K55" s="312"/>
      <c r="L55" s="312"/>
      <c r="M55" s="312"/>
      <c r="N55" s="694"/>
    </row>
    <row r="56" spans="2:14" hidden="1" outlineLevel="2" x14ac:dyDescent="0.25">
      <c r="B56" s="702" t="s">
        <v>167</v>
      </c>
      <c r="C56" s="598">
        <f>'C-Dados RT1 Simplif.'!$F61</f>
        <v>77.861174682099431</v>
      </c>
      <c r="D56" s="307">
        <f>'C-Dados RT1 Simplif.'!$F61</f>
        <v>77.861174682099431</v>
      </c>
      <c r="E56" s="611">
        <f>'C-Dados RT1 Simplif.'!$F61</f>
        <v>77.861174682099431</v>
      </c>
      <c r="F56" s="307">
        <f>'C-Dados RT2 Simplif.'!$F61</f>
        <v>77.861174682099431</v>
      </c>
      <c r="G56" s="307">
        <f>'C-Dados RT3 Simplif.'!$F61</f>
        <v>77.861174682099431</v>
      </c>
      <c r="H56" s="307">
        <f>'C-Dados RT4 Simplif.'!$F61</f>
        <v>83.718984207234897</v>
      </c>
      <c r="I56" s="307">
        <f>'C-Dados RT5 Simplif.'!$F61</f>
        <v>83.718984207234897</v>
      </c>
      <c r="J56" s="615" t="s">
        <v>2</v>
      </c>
      <c r="L56" s="221"/>
      <c r="M56" s="221"/>
      <c r="N56" s="693"/>
    </row>
    <row r="57" spans="2:14" hidden="1" outlineLevel="2" x14ac:dyDescent="0.25">
      <c r="B57" s="702" t="s">
        <v>168</v>
      </c>
      <c r="C57" s="598">
        <f>'C-Dados RT1 Simplif.'!$F78</f>
        <v>65.987639219376817</v>
      </c>
      <c r="D57" s="307">
        <f>'C-Dados RT1 Simplif.'!$F78</f>
        <v>65.987639219376817</v>
      </c>
      <c r="E57" s="611">
        <f>'C-Dados RT1 Simplif.'!$F78</f>
        <v>65.987639219376817</v>
      </c>
      <c r="F57" s="307">
        <f>'C-Dados RT2 Simplif.'!$F78</f>
        <v>66.446542610659179</v>
      </c>
      <c r="G57" s="307">
        <f>'C-Dados RT3 Simplif.'!$F78</f>
        <v>62.454116629212827</v>
      </c>
      <c r="H57" s="307">
        <f>'C-Dados RT4 Simplif.'!$F78</f>
        <v>61.85064141839802</v>
      </c>
      <c r="I57" s="307">
        <f>'C-Dados RT5 Simplif.'!$F78</f>
        <v>131.48114140541787</v>
      </c>
      <c r="J57" s="615" t="s">
        <v>2</v>
      </c>
      <c r="L57" s="221"/>
      <c r="M57" s="221"/>
      <c r="N57" s="693"/>
    </row>
    <row r="58" spans="2:14" hidden="1" outlineLevel="2" x14ac:dyDescent="0.25">
      <c r="B58" s="702" t="s">
        <v>169</v>
      </c>
      <c r="C58" s="598">
        <f>'C-Dados RT1 Simplif.'!$F79</f>
        <v>92.382694907127529</v>
      </c>
      <c r="D58" s="307">
        <f>'C-Dados RT1 Simplif.'!$F79</f>
        <v>92.382694907127529</v>
      </c>
      <c r="E58" s="611">
        <f>'C-Dados RT1 Simplif.'!$F79</f>
        <v>92.382694907127529</v>
      </c>
      <c r="F58" s="307">
        <f>'C-Dados RT2 Simplif.'!$F79</f>
        <v>93.025159654922845</v>
      </c>
      <c r="G58" s="307">
        <f>'C-Dados RT3 Simplif.'!$F79</f>
        <v>87.435763280897959</v>
      </c>
      <c r="H58" s="307">
        <f>'C-Dados RT4 Simplif.'!$F79</f>
        <v>86.590897985757223</v>
      </c>
      <c r="I58" s="307">
        <f>'C-Dados RT5 Simplif.'!$F79</f>
        <v>184.07359796758499</v>
      </c>
      <c r="J58" s="615" t="s">
        <v>2</v>
      </c>
      <c r="L58" s="221"/>
      <c r="M58" s="221"/>
      <c r="N58" s="693"/>
    </row>
    <row r="59" spans="2:14" hidden="1" outlineLevel="2" x14ac:dyDescent="0.25">
      <c r="B59" s="702" t="s">
        <v>173</v>
      </c>
      <c r="C59" s="598">
        <f>'C-Dados RT1 Simplif.'!$F63</f>
        <v>0</v>
      </c>
      <c r="D59" s="307">
        <f>'C-Dados RT1 Simplif.'!$F63</f>
        <v>0</v>
      </c>
      <c r="E59" s="611">
        <f>'C-Dados RT1 Simplif.'!$F63</f>
        <v>0</v>
      </c>
      <c r="F59" s="307">
        <f>'C-Dados RT2 Simplif.'!$F63</f>
        <v>0</v>
      </c>
      <c r="G59" s="307">
        <f>'C-Dados RT3 Simplif.'!$F63</f>
        <v>0</v>
      </c>
      <c r="H59" s="307">
        <f>'C-Dados RT4 Simplif.'!$F63</f>
        <v>0</v>
      </c>
      <c r="I59" s="307">
        <f>'C-Dados RT5 Simplif.'!$F63</f>
        <v>0</v>
      </c>
      <c r="J59" s="615" t="s">
        <v>2</v>
      </c>
      <c r="L59" s="221"/>
      <c r="M59" s="221"/>
      <c r="N59" s="693"/>
    </row>
    <row r="60" spans="2:14" s="2" customFormat="1" ht="15.75" outlineLevel="1" collapsed="1" thickBot="1" x14ac:dyDescent="0.3">
      <c r="B60" s="709" t="s">
        <v>174</v>
      </c>
      <c r="C60" s="609">
        <f t="shared" ref="C60:H60" si="23">C61+C62+C63+C64</f>
        <v>105.37171559878976</v>
      </c>
      <c r="D60" s="310">
        <f t="shared" si="23"/>
        <v>105.11850637237077</v>
      </c>
      <c r="E60" s="610">
        <f t="shared" si="23"/>
        <v>105.72804673324131</v>
      </c>
      <c r="F60" s="310">
        <f t="shared" si="23"/>
        <v>103.48659437286537</v>
      </c>
      <c r="G60" s="310">
        <f t="shared" si="23"/>
        <v>111.94341071801003</v>
      </c>
      <c r="H60" s="310">
        <f t="shared" si="23"/>
        <v>154.57035968795569</v>
      </c>
      <c r="I60" s="310">
        <f t="shared" ref="I60" si="24">I61+I62+I63+I64</f>
        <v>420.5226276077305</v>
      </c>
      <c r="J60" s="614" t="s">
        <v>2</v>
      </c>
      <c r="K60" s="312"/>
      <c r="L60" s="312"/>
      <c r="M60" s="312"/>
      <c r="N60" s="694"/>
    </row>
    <row r="61" spans="2:14" hidden="1" outlineLevel="2" x14ac:dyDescent="0.25">
      <c r="B61" s="702" t="s">
        <v>175</v>
      </c>
      <c r="C61" s="3">
        <f>('C-Dados RT1 Simplif.'!$C84*'C-Dados RT1 Simplif.'!$C85/'C-Dados RT1 Simplif.'!$C103+C44)*'C-Dados RT1 Simplif.'!$C86</f>
        <v>31.124420848942727</v>
      </c>
      <c r="D61" s="307">
        <f>('C-Dados RT1 Simplif.'!$C84*'C-Dados RT1 Simplif.'!$C85/'C-Dados RT1 Simplif.'!$C103+D44)*'C-Dados RT1 Simplif.'!$C86</f>
        <v>31.240097132314983</v>
      </c>
      <c r="E61" s="308">
        <f>('C-Dados RT1 Simplif.'!$C84*'C-Dados RT1 Simplif.'!$C85/'C-Dados RT1 Simplif.'!$C103+E44)*'C-Dados RT1 Simplif.'!$C86</f>
        <v>30.510842750546626</v>
      </c>
      <c r="F61" s="3">
        <f>('C-Dados RT2 Simplif.'!$C84*'C-Dados RT2 Simplif.'!$C85/'C-Dados RT2 Simplif.'!$C103+F44)*'C-Dados RT2 Simplif.'!$C86</f>
        <v>31.440374928456432</v>
      </c>
      <c r="G61" s="307">
        <f>('C-Dados RT3 Simplif.'!$C84*'C-Dados RT3 Simplif.'!$C85/'C-Dados RT3 Simplif.'!$C103+G44)*'C-Dados RT3 Simplif.'!$C86</f>
        <v>33.759241716248418</v>
      </c>
      <c r="H61" s="307">
        <f>('C-Dados RT4 Simplif.'!$C84*'C-Dados RT4 Simplif.'!$C85/'C-Dados RT4 Simplif.'!$C103+H44)*'C-Dados RT4 Simplif.'!$C86</f>
        <v>39.441592129738439</v>
      </c>
      <c r="I61" s="3">
        <f>('C-Dados RT5 Simplif.'!$C84*'C-Dados RT5 Simplif.'!$C85/'C-Dados RT5 Simplif.'!$C103+I44)*'C-Dados RT5 Simplif.'!$C86</f>
        <v>86.472636765488716</v>
      </c>
      <c r="J61" s="615" t="s">
        <v>2</v>
      </c>
      <c r="L61" s="221"/>
      <c r="M61" s="221"/>
      <c r="N61" s="693"/>
    </row>
    <row r="62" spans="2:14" hidden="1" outlineLevel="2" x14ac:dyDescent="0.25">
      <c r="B62" s="702" t="s">
        <v>176</v>
      </c>
      <c r="C62" s="3">
        <f>'C-Dados RT1 Simplif.'!$F88</f>
        <v>1.4901660226239126</v>
      </c>
      <c r="D62" s="307">
        <f>'C-Dados RT1 Simplif.'!$F88</f>
        <v>1.4901660226239126</v>
      </c>
      <c r="E62" s="308">
        <f>'C-Dados RT1 Simplif.'!$F88</f>
        <v>1.4901660226239126</v>
      </c>
      <c r="F62" s="738">
        <f>'C-Dados RT2 Simplif.'!$F88</f>
        <v>1.4901660226239126</v>
      </c>
      <c r="G62" s="307">
        <f>'C-Dados RT3 Simplif.'!$F88</f>
        <v>1.4901660226239126</v>
      </c>
      <c r="H62" s="698">
        <f>'C-Dados RT4 Simplif.'!$F88</f>
        <v>1.602277209707845</v>
      </c>
      <c r="I62" s="698">
        <f>'C-Dados RT5 Simplif.'!$F88</f>
        <v>1.602277209707845</v>
      </c>
      <c r="J62" s="615" t="s">
        <v>2</v>
      </c>
      <c r="L62" s="221"/>
      <c r="M62" s="221"/>
      <c r="N62" s="693"/>
    </row>
    <row r="63" spans="2:14" hidden="1" outlineLevel="2" x14ac:dyDescent="0.25">
      <c r="B63" s="702" t="s">
        <v>177</v>
      </c>
      <c r="C63" s="3">
        <f>('C-Dados RT1 Simplif.'!$C96*'C-Dados RT1 Simplif.'!$C97/'C-Dados RT1 Simplif.'!$C103+C44+(SUM(C38:C42)))*'C-Dados RT1 Simplif.'!$C93+'C-Dados RT1 Simplif.'!C36*1000000/'C-Dados RT1 Simplif.'!C16</f>
        <v>72.757128727223133</v>
      </c>
      <c r="D63" s="307">
        <f>('C-Dados RT1 Simplif.'!$C96*'C-Dados RT1 Simplif.'!$C97/'C-Dados RT1 Simplif.'!$C103+D44+(SUM(D38:D42)))*'C-Dados RT1 Simplif.'!$C93+'C-Dados RT1 Simplif.'!C36*1000000/'C-Dados RT1 Simplif.'!C16</f>
        <v>72.388243217431878</v>
      </c>
      <c r="E63" s="308">
        <f>('C-Dados RT1 Simplif.'!$C96*'C-Dados RT1 Simplif.'!$C97/'C-Dados RT1 Simplif.'!$C103+E44+(SUM(E38:E42)))*'C-Dados RT1 Simplif.'!$C93+'C-Dados RT1 Simplif.'!C36*1000000/'C-Dados RT1 Simplif.'!C16</f>
        <v>73.727037960070774</v>
      </c>
      <c r="F63" s="738">
        <f>('C-Dados RT2 Simplif.'!$C96*'C-Dados RT2 Simplif.'!$C97/'C-Dados RT2 Simplif.'!$C103+F44+(SUM(F38:F42)))*'C-Dados RT2 Simplif.'!$C93+'C-Dados RT2 Simplif.'!C36*1000000/'C-Dados RT2 Simplif.'!C16</f>
        <v>70.556053421785023</v>
      </c>
      <c r="G63" s="307">
        <f>('C-Dados RT3 Simplif.'!$C96*'C-Dados RT3 Simplif.'!$C97/'C-Dados RT3 Simplif.'!$C103+G44+(SUM(G38:G42)))*'C-Dados RT3 Simplif.'!$C93+'C-Dados RT3 Simplif.'!C36*1000000/'C-Dados RT3 Simplif.'!C16</f>
        <v>76.694002979137693</v>
      </c>
      <c r="H63" s="307">
        <f>('C-Dados RT4 Simplif.'!$C96*'C-Dados RT4 Simplif.'!$C97/'C-Dados RT4 Simplif.'!$C103+H44+(SUM(H38:H42)))*'C-Dados RT4 Simplif.'!$C93+'C-Dados RT4 Simplif.'!C36*1000000/'C-Dados RT4 Simplif.'!C16</f>
        <v>113.52649034850941</v>
      </c>
      <c r="I63" s="698">
        <f>('C-Dados RT4 Simplif.'!$C96*'C-Dados RT4 Simplif.'!$C97/'C-Dados RT4 Simplif.'!$C103+I44+(SUM(I38:I42)))*'C-Dados RT4 Simplif.'!$C93+'C-Dados RT5 Simplif.'!C36*1000000/'C-Dados RT5 Simplif.'!C16</f>
        <v>332.44771363253392</v>
      </c>
      <c r="J63" s="615" t="s">
        <v>2</v>
      </c>
      <c r="L63" s="221"/>
      <c r="M63" s="221"/>
      <c r="N63" s="693"/>
    </row>
    <row r="64" spans="2:14" ht="15.75" hidden="1" outlineLevel="2" thickBot="1" x14ac:dyDescent="0.3">
      <c r="B64" s="702" t="s">
        <v>178</v>
      </c>
      <c r="C64" s="3">
        <f>'C-Dados RT1 Simplif.'!$F68</f>
        <v>0</v>
      </c>
      <c r="D64" s="307">
        <f>'C-Dados RT1 Simplif.'!$F68</f>
        <v>0</v>
      </c>
      <c r="E64" s="739">
        <f>'C-Dados RT1 Simplif.'!$F68</f>
        <v>0</v>
      </c>
      <c r="F64" s="738">
        <f>'C-Dados RT2 Simplif.'!$F68</f>
        <v>0</v>
      </c>
      <c r="G64" s="307">
        <f>'C-Dados RT3 Simplif.'!$F68</f>
        <v>0</v>
      </c>
      <c r="H64" s="698">
        <f>'C-Dados RT4 Simplif.'!$F68</f>
        <v>0</v>
      </c>
      <c r="I64" s="698">
        <f>'C-Dados RT5 Simplif.'!$F68</f>
        <v>0</v>
      </c>
      <c r="J64" s="700" t="s">
        <v>2</v>
      </c>
      <c r="L64" s="221"/>
      <c r="M64" s="221"/>
      <c r="N64" s="693"/>
    </row>
    <row r="65" spans="2:15" s="369" customFormat="1" ht="19.899999999999999" customHeight="1" thickTop="1" thickBot="1" x14ac:dyDescent="0.3">
      <c r="B65" s="368" t="s">
        <v>214</v>
      </c>
      <c r="C65" s="370">
        <f t="shared" ref="C65:H65" si="25">C45+C50</f>
        <v>452.20091148079399</v>
      </c>
      <c r="D65" s="371">
        <f t="shared" si="25"/>
        <v>466.90939901225232</v>
      </c>
      <c r="E65" s="372">
        <f t="shared" si="25"/>
        <v>442.07173739527116</v>
      </c>
      <c r="F65" s="373">
        <f t="shared" si="25"/>
        <v>437.46424961568732</v>
      </c>
      <c r="G65" s="373">
        <f t="shared" si="25"/>
        <v>448.00323151909049</v>
      </c>
      <c r="H65" s="373">
        <f t="shared" si="25"/>
        <v>547.88638367447948</v>
      </c>
      <c r="I65" s="373">
        <f t="shared" ref="I65" si="26">I45+I50</f>
        <v>996.11937107274105</v>
      </c>
      <c r="J65" s="699" t="s">
        <v>2</v>
      </c>
      <c r="K65" s="776" t="s">
        <v>196</v>
      </c>
      <c r="L65" s="776"/>
      <c r="M65" s="776"/>
      <c r="N65" s="776"/>
    </row>
    <row r="66" spans="2:15" s="374" customFormat="1" ht="19.899999999999999" customHeight="1" thickBot="1" x14ac:dyDescent="0.3">
      <c r="B66" s="711" t="s">
        <v>213</v>
      </c>
      <c r="C66" s="375">
        <f>C65+C33</f>
        <v>616.27604830975724</v>
      </c>
      <c r="D66" s="375">
        <f t="shared" ref="D66:I66" si="27">D65+D33</f>
        <v>624.68305871656753</v>
      </c>
      <c r="E66" s="375">
        <f t="shared" si="27"/>
        <v>628.90394141213085</v>
      </c>
      <c r="F66" s="375">
        <f t="shared" si="27"/>
        <v>571.42489614693727</v>
      </c>
      <c r="G66" s="375">
        <f t="shared" si="27"/>
        <v>601.94275372534048</v>
      </c>
      <c r="H66" s="375">
        <f t="shared" si="27"/>
        <v>875.06724100071017</v>
      </c>
      <c r="I66" s="375">
        <f t="shared" si="27"/>
        <v>1251.9382231824002</v>
      </c>
      <c r="J66" s="366" t="s">
        <v>2</v>
      </c>
      <c r="K66" s="776" t="s">
        <v>341</v>
      </c>
      <c r="L66" s="776"/>
      <c r="M66" s="776"/>
      <c r="N66" s="776"/>
    </row>
    <row r="67" spans="2:15" s="376" customFormat="1" ht="42.4" customHeight="1" thickBot="1" x14ac:dyDescent="0.3">
      <c r="B67" s="617" t="s">
        <v>369</v>
      </c>
      <c r="C67" s="343">
        <f t="shared" ref="C67:I67" si="28">(C66+C11-C32)/C32</f>
        <v>1.6928487023034342</v>
      </c>
      <c r="D67" s="331">
        <f t="shared" si="28"/>
        <v>1.7220120484011576</v>
      </c>
      <c r="E67" s="344">
        <f t="shared" si="28"/>
        <v>1.7366540027859041</v>
      </c>
      <c r="F67" s="348">
        <f t="shared" si="28"/>
        <v>1.872743630396839</v>
      </c>
      <c r="G67" s="348">
        <f t="shared" si="28"/>
        <v>1.3896317574570258</v>
      </c>
      <c r="H67" s="348">
        <f t="shared" si="28"/>
        <v>0.70451864572780076</v>
      </c>
      <c r="I67" s="348">
        <f t="shared" si="28"/>
        <v>-5.3454781305325591E-2</v>
      </c>
      <c r="J67" s="354" t="s">
        <v>1</v>
      </c>
      <c r="K67" s="775" t="s">
        <v>373</v>
      </c>
      <c r="L67" s="775"/>
      <c r="M67" s="775"/>
      <c r="N67" s="775"/>
    </row>
    <row r="68" spans="2:15" s="367" customFormat="1" ht="42.4" customHeight="1" thickTop="1" thickBot="1" x14ac:dyDescent="0.3">
      <c r="B68" s="617" t="s">
        <v>370</v>
      </c>
      <c r="C68" s="342">
        <f>(C66+C11)/C44</f>
        <v>1.4191452505474509</v>
      </c>
      <c r="D68" s="342">
        <f t="shared" ref="D68:I68" si="29">(D66+D11)/D44</f>
        <v>1.4284728158947606</v>
      </c>
      <c r="E68" s="342">
        <f t="shared" si="29"/>
        <v>1.4753286839962192</v>
      </c>
      <c r="F68" s="342">
        <f t="shared" si="29"/>
        <v>1.3204097079949249</v>
      </c>
      <c r="G68" s="342">
        <f t="shared" si="29"/>
        <v>1.2737170261196555</v>
      </c>
      <c r="H68" s="342">
        <f t="shared" si="29"/>
        <v>1.4718511195914641</v>
      </c>
      <c r="I68" s="342">
        <f t="shared" si="29"/>
        <v>0.85891493457029178</v>
      </c>
      <c r="J68" s="353" t="s">
        <v>1</v>
      </c>
      <c r="K68" s="774" t="s">
        <v>402</v>
      </c>
      <c r="L68" s="774"/>
      <c r="M68" s="774"/>
      <c r="N68" s="774"/>
      <c r="O68" s="376"/>
    </row>
    <row r="69" spans="2:15" ht="16.5" thickTop="1" x14ac:dyDescent="0.25">
      <c r="B69" s="4" t="s">
        <v>403</v>
      </c>
      <c r="C69" s="740">
        <f>'C-Dados RT1 Simplif.'!C140</f>
        <v>106.96269480000001</v>
      </c>
      <c r="D69" s="740">
        <f>'C-Dados RT1 Simplif.'!C140</f>
        <v>106.96269480000001</v>
      </c>
      <c r="E69" s="740">
        <f>'C-Dados RT1 Simplif.'!C140</f>
        <v>106.96269480000001</v>
      </c>
      <c r="F69" s="740">
        <f>'C-Dados RT2 Simplif.'!C140</f>
        <v>90.813446153846158</v>
      </c>
      <c r="G69" s="740">
        <f>'C-Dados RT3 Simplif.'!C140</f>
        <v>97</v>
      </c>
      <c r="H69" s="740">
        <f>'C-Dados RT4 Simplif.'!C140</f>
        <v>158</v>
      </c>
      <c r="I69" s="740">
        <f>'C-Dados RT5 Simplif.'!C140</f>
        <v>158</v>
      </c>
    </row>
    <row r="70" spans="2:15" x14ac:dyDescent="0.25">
      <c r="B70" s="4" t="s">
        <v>404</v>
      </c>
      <c r="C70" s="750">
        <f>C69*C71</f>
        <v>427.85077920000003</v>
      </c>
      <c r="D70" s="750">
        <f t="shared" ref="D70:I70" si="30">D69*D71</f>
        <v>427.85077920000003</v>
      </c>
      <c r="E70" s="750">
        <f t="shared" si="30"/>
        <v>427.85077920000003</v>
      </c>
      <c r="F70" s="750">
        <f t="shared" si="30"/>
        <v>363.25378461538463</v>
      </c>
      <c r="G70" s="750">
        <f t="shared" si="30"/>
        <v>388</v>
      </c>
      <c r="H70" s="750">
        <f t="shared" si="30"/>
        <v>632</v>
      </c>
      <c r="I70" s="750">
        <f t="shared" si="30"/>
        <v>632</v>
      </c>
    </row>
    <row r="71" spans="2:15" x14ac:dyDescent="0.25">
      <c r="B71" s="4" t="s">
        <v>405</v>
      </c>
      <c r="C71" s="751">
        <v>4</v>
      </c>
      <c r="D71" s="751">
        <f>C71</f>
        <v>4</v>
      </c>
      <c r="E71" s="751">
        <f>C71</f>
        <v>4</v>
      </c>
      <c r="F71" s="751">
        <f>C71</f>
        <v>4</v>
      </c>
      <c r="G71" s="751">
        <f>C71</f>
        <v>4</v>
      </c>
      <c r="H71" s="751">
        <f>C71</f>
        <v>4</v>
      </c>
      <c r="I71" s="751">
        <f>H71</f>
        <v>4</v>
      </c>
    </row>
    <row r="72" spans="2:15" ht="18" x14ac:dyDescent="0.25">
      <c r="B72" s="4" t="s">
        <v>406</v>
      </c>
      <c r="C72" s="752">
        <f>'C-Dados RT1 Simplif.'!C141</f>
        <v>211754.2931469132</v>
      </c>
      <c r="D72" s="752">
        <f>'C-Dados RT1 Simplif.'!C141</f>
        <v>211754.2931469132</v>
      </c>
      <c r="E72" s="752">
        <f>'C-Dados RT1 Simplif.'!C141</f>
        <v>211754.2931469132</v>
      </c>
      <c r="F72" s="752">
        <f>'C-Dados RT1 Simplif.'!C141</f>
        <v>211754.2931469132</v>
      </c>
      <c r="G72" s="752">
        <f>'C-Dados RT1 Simplif.'!C141</f>
        <v>211754.2931469132</v>
      </c>
      <c r="H72" s="752">
        <f>'C-Dados RT1 Simplif.'!C141</f>
        <v>211754.2931469132</v>
      </c>
      <c r="I72" s="752">
        <f>'C-Dados RT1 Simplif.'!C141</f>
        <v>211754.2931469132</v>
      </c>
      <c r="J72" s="1" t="s">
        <v>412</v>
      </c>
    </row>
    <row r="73" spans="2:15" x14ac:dyDescent="0.25">
      <c r="B73" s="4" t="s">
        <v>407</v>
      </c>
      <c r="C73" s="752">
        <f>'C-Dados RT1 Simplif.'!C142</f>
        <v>8841.1310233941622</v>
      </c>
      <c r="D73" s="752">
        <f>'C-Dados RT1 Simplif.'!C143</f>
        <v>639.67884431692073</v>
      </c>
      <c r="E73" s="752">
        <f>'C-Dados RT1 Simplif.'!C144</f>
        <v>8969.990360764903</v>
      </c>
      <c r="F73" s="752">
        <f>'C-Dados RT2 Simplif.'!C142</f>
        <v>39467.470567997749</v>
      </c>
      <c r="G73" s="752">
        <f>'C-Dados RT3 Simplif.'!C142</f>
        <v>-34836.778343970363</v>
      </c>
      <c r="H73" s="752">
        <f>'C-Dados RT4 Simplif.'!C142</f>
        <v>41916.464131641689</v>
      </c>
      <c r="I73" s="752">
        <f>'C-Dados RT5 Simplif.'!C142</f>
        <v>6610.6283322570471</v>
      </c>
      <c r="J73" s="1" t="s">
        <v>411</v>
      </c>
    </row>
  </sheetData>
  <sheetProtection formatRows="0" sort="0" autoFilter="0" pivotTables="0"/>
  <mergeCells count="15">
    <mergeCell ref="F3:N3"/>
    <mergeCell ref="C2:N2"/>
    <mergeCell ref="K68:N68"/>
    <mergeCell ref="K67:N67"/>
    <mergeCell ref="K66:N66"/>
    <mergeCell ref="K65:N65"/>
    <mergeCell ref="K50:N50"/>
    <mergeCell ref="K45:N45"/>
    <mergeCell ref="K44:N44"/>
    <mergeCell ref="D4:D6"/>
    <mergeCell ref="E4:E6"/>
    <mergeCell ref="C4:C6"/>
    <mergeCell ref="H5:N5"/>
    <mergeCell ref="G4:N4"/>
    <mergeCell ref="I6:O6"/>
  </mergeCells>
  <phoneticPr fontId="16" type="noConversion"/>
  <conditionalFormatting sqref="C34:I42">
    <cfRule type="cellIs" dxfId="7" priority="4" operator="lessThan">
      <formula>0</formula>
    </cfRule>
  </conditionalFormatting>
  <conditionalFormatting sqref="C33:I33">
    <cfRule type="cellIs" dxfId="6" priority="3" operator="lessThan">
      <formula>0</formula>
    </cfRule>
  </conditionalFormatting>
  <conditionalFormatting sqref="C43:I43">
    <cfRule type="cellIs" dxfId="5" priority="2" operator="lessThan">
      <formula>0</formula>
    </cfRule>
  </conditionalFormatting>
  <conditionalFormatting sqref="C69:I69">
    <cfRule type="cellIs" dxfId="4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C22" sqref="C2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9" customWidth="1"/>
    <col min="4" max="4" width="20.7109375" style="221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4" customFormat="1" ht="19.899999999999999" customHeight="1" thickTop="1" thickBot="1" x14ac:dyDescent="0.3">
      <c r="B2" s="838" t="s">
        <v>332</v>
      </c>
      <c r="C2" s="839"/>
      <c r="D2" s="840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841" t="s">
        <v>105</v>
      </c>
      <c r="C3" s="502">
        <f>'C-Dados RT1 Simplif.'!C106</f>
        <v>110.21883506853425</v>
      </c>
      <c r="D3" s="499" t="s">
        <v>29</v>
      </c>
    </row>
    <row r="4" spans="2:12" ht="15" customHeight="1" outlineLevel="1" x14ac:dyDescent="0.25">
      <c r="B4" s="842"/>
      <c r="C4" s="503">
        <f>'C-Dados RT1 Simplif.'!C105</f>
        <v>34388.276541382686</v>
      </c>
      <c r="D4" s="225" t="s">
        <v>5</v>
      </c>
    </row>
    <row r="5" spans="2:12" ht="15" customHeight="1" outlineLevel="1" x14ac:dyDescent="0.25">
      <c r="B5" s="227" t="s">
        <v>137</v>
      </c>
      <c r="C5" s="504">
        <f>'C-Dados RT1 Simplif.'!C107</f>
        <v>0.48399999999999999</v>
      </c>
      <c r="D5" s="228" t="s">
        <v>1</v>
      </c>
    </row>
    <row r="6" spans="2:12" ht="15" customHeight="1" outlineLevel="1" thickBot="1" x14ac:dyDescent="0.3">
      <c r="B6" s="492" t="s">
        <v>18</v>
      </c>
      <c r="C6" s="505">
        <f>'C-Dados RT1 Simplif.'!C7</f>
        <v>35</v>
      </c>
      <c r="D6" s="226" t="s">
        <v>106</v>
      </c>
    </row>
    <row r="7" spans="2:12" ht="15" customHeight="1" outlineLevel="1" thickTop="1" x14ac:dyDescent="0.25">
      <c r="B7" s="493" t="s">
        <v>107</v>
      </c>
      <c r="C7" s="506"/>
      <c r="D7" s="500"/>
    </row>
    <row r="8" spans="2:12" ht="15" customHeight="1" outlineLevel="1" x14ac:dyDescent="0.25">
      <c r="B8" s="494" t="s">
        <v>109</v>
      </c>
      <c r="C8" s="507">
        <v>250</v>
      </c>
      <c r="D8" s="444" t="s">
        <v>138</v>
      </c>
    </row>
    <row r="9" spans="2:12" ht="15" customHeight="1" outlineLevel="1" x14ac:dyDescent="0.25">
      <c r="B9" s="495" t="s">
        <v>110</v>
      </c>
      <c r="C9" s="507"/>
      <c r="D9" s="444"/>
    </row>
    <row r="10" spans="2:12" ht="15" customHeight="1" outlineLevel="1" x14ac:dyDescent="0.25">
      <c r="B10" s="494" t="s">
        <v>109</v>
      </c>
      <c r="C10" s="507">
        <v>100</v>
      </c>
      <c r="D10" s="444" t="s">
        <v>139</v>
      </c>
    </row>
    <row r="11" spans="2:12" ht="15" customHeight="1" outlineLevel="1" x14ac:dyDescent="0.25">
      <c r="B11" s="495" t="s">
        <v>111</v>
      </c>
      <c r="C11" s="507"/>
      <c r="D11" s="444"/>
    </row>
    <row r="12" spans="2:12" ht="15" customHeight="1" outlineLevel="1" x14ac:dyDescent="0.25">
      <c r="B12" s="494" t="s">
        <v>113</v>
      </c>
      <c r="C12" s="512">
        <f>'C-Dados RT1 Simplif.'!C136</f>
        <v>62.724999999999994</v>
      </c>
      <c r="D12" s="441" t="s">
        <v>265</v>
      </c>
    </row>
    <row r="13" spans="2:12" ht="15" customHeight="1" outlineLevel="1" x14ac:dyDescent="0.25">
      <c r="B13" s="494" t="s">
        <v>114</v>
      </c>
      <c r="C13" s="507">
        <f>C12*90%</f>
        <v>56.452499999999993</v>
      </c>
      <c r="D13" s="441" t="s">
        <v>141</v>
      </c>
    </row>
    <row r="14" spans="2:12" ht="15" customHeight="1" outlineLevel="1" x14ac:dyDescent="0.25">
      <c r="B14" s="496" t="s">
        <v>115</v>
      </c>
      <c r="C14" s="508">
        <f>(C8*C4*C5+C10*C4*C5*C6)/(C13*C4*C5*C6)</f>
        <v>1.8979293590692554</v>
      </c>
      <c r="D14" s="444" t="s">
        <v>116</v>
      </c>
    </row>
    <row r="15" spans="2:12" ht="15" customHeight="1" outlineLevel="1" x14ac:dyDescent="0.25">
      <c r="B15" s="496" t="s">
        <v>117</v>
      </c>
      <c r="C15" s="509">
        <f>C14*90%*45/100</f>
        <v>0.76866139042304849</v>
      </c>
      <c r="D15" s="430" t="s">
        <v>118</v>
      </c>
    </row>
    <row r="16" spans="2:12" ht="15" customHeight="1" outlineLevel="1" thickBot="1" x14ac:dyDescent="0.3">
      <c r="B16" s="497" t="s">
        <v>337</v>
      </c>
      <c r="C16" s="510">
        <f>'Demanda Preço &amp; Quantidade'!C24</f>
        <v>4</v>
      </c>
      <c r="D16" s="229" t="s">
        <v>118</v>
      </c>
    </row>
    <row r="17" spans="2:4" ht="4.9000000000000004" customHeight="1" thickBot="1" x14ac:dyDescent="0.3">
      <c r="D17" s="1"/>
    </row>
    <row r="18" spans="2:4" ht="19.899999999999999" customHeight="1" thickTop="1" thickBot="1" x14ac:dyDescent="0.3">
      <c r="B18" s="838" t="s">
        <v>335</v>
      </c>
      <c r="C18" s="839"/>
      <c r="D18" s="840"/>
    </row>
    <row r="19" spans="2:4" ht="15" customHeight="1" outlineLevel="1" x14ac:dyDescent="0.25">
      <c r="B19" s="498" t="s">
        <v>333</v>
      </c>
      <c r="C19" s="606">
        <f>'RT1C)BIODIG Gas Natural'!F16</f>
        <v>1043990.2486921826</v>
      </c>
      <c r="D19" s="501" t="s">
        <v>334</v>
      </c>
    </row>
    <row r="20" spans="2:4" outlineLevel="1" x14ac:dyDescent="0.25">
      <c r="B20" s="489" t="s">
        <v>331</v>
      </c>
      <c r="C20" s="521">
        <f>'Demanda Preço &amp; Quantidade'!I101</f>
        <v>25</v>
      </c>
      <c r="D20" s="225" t="s">
        <v>336</v>
      </c>
    </row>
    <row r="21" spans="2:4" outlineLevel="1" x14ac:dyDescent="0.25">
      <c r="B21" s="489" t="s">
        <v>327</v>
      </c>
      <c r="C21" s="503">
        <v>1000000</v>
      </c>
      <c r="D21" s="225" t="s">
        <v>328</v>
      </c>
    </row>
    <row r="22" spans="2:4" x14ac:dyDescent="0.25">
      <c r="B22" s="490" t="s">
        <v>129</v>
      </c>
      <c r="C22" s="607">
        <f>C20*C21</f>
        <v>25000000</v>
      </c>
      <c r="D22" s="491" t="s">
        <v>6</v>
      </c>
    </row>
    <row r="23" spans="2:4" x14ac:dyDescent="0.25">
      <c r="B23" s="490" t="s">
        <v>36</v>
      </c>
      <c r="C23" s="523">
        <f>C22/(C19*(C16-C15))</f>
        <v>7.4107318098311925</v>
      </c>
      <c r="D23" s="491" t="s">
        <v>106</v>
      </c>
    </row>
    <row r="24" spans="2:4" s="2" customFormat="1" x14ac:dyDescent="0.25">
      <c r="B24" s="833" t="s">
        <v>275</v>
      </c>
      <c r="C24" s="608">
        <f>C25/C6</f>
        <v>1818161.7399887566</v>
      </c>
      <c r="D24" s="387" t="s">
        <v>274</v>
      </c>
    </row>
    <row r="25" spans="2:4" s="2" customFormat="1" x14ac:dyDescent="0.25">
      <c r="B25" s="834"/>
      <c r="C25" s="608">
        <f>(C19*(C16*(1-'C-Dados RT1 Simplif.'!$C$93)*(1-'C-Dados RT1 Simplif.'!$C$89)-C15))*C6-C22</f>
        <v>63635660.899606481</v>
      </c>
      <c r="D25" s="387" t="s">
        <v>338</v>
      </c>
    </row>
    <row r="26" spans="2:4" s="2" customFormat="1" ht="15.75" thickBot="1" x14ac:dyDescent="0.3">
      <c r="B26" s="835"/>
      <c r="C26" s="524">
        <f>C24/C4</f>
        <v>52.871557485609657</v>
      </c>
      <c r="D26" s="519" t="s">
        <v>8</v>
      </c>
    </row>
    <row r="27" spans="2:4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4"/>
  <sheetViews>
    <sheetView topLeftCell="A7" zoomScale="75" zoomScaleNormal="75" workbookViewId="0">
      <selection activeCell="B140" sqref="B140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4" customWidth="1"/>
    <col min="3" max="3" width="13.7109375" style="105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6"/>
      <c r="E1" s="106"/>
      <c r="F1" s="106"/>
      <c r="G1" s="106"/>
      <c r="H1" s="106"/>
    </row>
    <row r="2" spans="1:60" ht="22.5" thickTop="1" thickBot="1" x14ac:dyDescent="0.3">
      <c r="B2" s="11" t="s">
        <v>103</v>
      </c>
      <c r="C2" s="794" t="s">
        <v>413</v>
      </c>
      <c r="D2" s="795"/>
      <c r="E2" s="795"/>
      <c r="F2" s="795"/>
      <c r="G2" s="795"/>
      <c r="H2" s="796"/>
    </row>
    <row r="3" spans="1:60" ht="4.9000000000000004" customHeight="1" thickTop="1" thickBot="1" x14ac:dyDescent="0.3"/>
    <row r="4" spans="1:60" ht="19.5" thickTop="1" x14ac:dyDescent="0.25">
      <c r="B4" s="107" t="str">
        <f>B104</f>
        <v>Quant. RSU (Ano 1)</v>
      </c>
      <c r="C4" s="108">
        <f>C104</f>
        <v>101.66</v>
      </c>
      <c r="D4" s="109" t="str">
        <f>D104</f>
        <v>t/d</v>
      </c>
      <c r="E4" s="110"/>
      <c r="F4" s="110"/>
      <c r="G4" s="110"/>
      <c r="H4" s="111"/>
    </row>
    <row r="5" spans="1:60" ht="19.899999999999999" customHeight="1" x14ac:dyDescent="0.25">
      <c r="B5" s="12" t="s">
        <v>358</v>
      </c>
      <c r="C5" s="13">
        <v>268.77733415910234</v>
      </c>
      <c r="D5" s="14" t="s">
        <v>8</v>
      </c>
      <c r="E5" s="112"/>
      <c r="F5" s="112"/>
      <c r="G5" s="112"/>
      <c r="H5" s="113"/>
    </row>
    <row r="6" spans="1:60" ht="19.899999999999999" customHeight="1" x14ac:dyDescent="0.25">
      <c r="B6" s="12" t="s">
        <v>359</v>
      </c>
      <c r="C6" s="13">
        <v>288.27317615198319</v>
      </c>
      <c r="D6" s="14" t="s">
        <v>8</v>
      </c>
      <c r="E6" s="112"/>
      <c r="F6" s="112"/>
      <c r="G6" s="112"/>
      <c r="H6" s="113"/>
    </row>
    <row r="7" spans="1:60" ht="18.75" x14ac:dyDescent="0.25">
      <c r="B7" s="12" t="s">
        <v>18</v>
      </c>
      <c r="C7" s="13">
        <v>35</v>
      </c>
      <c r="D7" s="14" t="s">
        <v>3</v>
      </c>
      <c r="E7" s="112"/>
      <c r="F7" s="112"/>
      <c r="G7" s="112"/>
      <c r="H7" s="113"/>
    </row>
    <row r="8" spans="1:60" ht="19.5" thickBot="1" x14ac:dyDescent="0.3">
      <c r="B8" s="15" t="s">
        <v>30</v>
      </c>
      <c r="C8" s="230">
        <v>9.611299999999999E-2</v>
      </c>
      <c r="D8" s="16" t="s">
        <v>1</v>
      </c>
      <c r="E8" s="114"/>
      <c r="F8" s="114"/>
      <c r="G8" s="114"/>
      <c r="H8" s="115"/>
    </row>
    <row r="9" spans="1:60" ht="4.9000000000000004" customHeight="1" thickTop="1" thickBot="1" x14ac:dyDescent="0.3"/>
    <row r="10" spans="1:60" s="116" customFormat="1" ht="19.899999999999999" customHeight="1" thickTop="1" x14ac:dyDescent="0.25">
      <c r="B10" s="797" t="s">
        <v>396</v>
      </c>
      <c r="C10" s="798"/>
      <c r="D10" s="801" t="s">
        <v>104</v>
      </c>
      <c r="E10" s="802"/>
      <c r="F10" s="802"/>
      <c r="G10" s="802"/>
      <c r="H10" s="803"/>
      <c r="J10" s="117" t="s">
        <v>104</v>
      </c>
      <c r="K10" s="117" t="s">
        <v>32</v>
      </c>
      <c r="L10" s="117" t="s">
        <v>31</v>
      </c>
      <c r="M10" s="117" t="s">
        <v>33</v>
      </c>
    </row>
    <row r="11" spans="1:60" s="116" customFormat="1" ht="19.899999999999999" customHeight="1" thickBot="1" x14ac:dyDescent="0.3">
      <c r="B11" s="799"/>
      <c r="C11" s="800"/>
      <c r="D11" s="804"/>
      <c r="E11" s="805"/>
      <c r="F11" s="805"/>
      <c r="G11" s="805"/>
      <c r="H11" s="806"/>
    </row>
    <row r="12" spans="1:60" ht="4.9000000000000004" customHeight="1" thickTop="1" thickBot="1" x14ac:dyDescent="0.3"/>
    <row r="13" spans="1:60" s="118" customFormat="1" ht="25.15" customHeight="1" collapsed="1" thickTop="1" thickBot="1" x14ac:dyDescent="0.3">
      <c r="B13" s="807" t="s">
        <v>34</v>
      </c>
      <c r="C13" s="808"/>
      <c r="D13" s="808"/>
      <c r="E13" s="808"/>
      <c r="F13" s="808"/>
      <c r="G13" s="808"/>
      <c r="H13" s="809"/>
      <c r="I13" s="1"/>
      <c r="J13" s="1"/>
    </row>
    <row r="14" spans="1:60" s="119" customFormat="1" ht="15" hidden="1" customHeight="1" outlineLevel="1" thickTop="1" x14ac:dyDescent="0.25">
      <c r="B14" s="119" t="s">
        <v>428</v>
      </c>
      <c r="C14" s="120"/>
      <c r="D14" s="121">
        <v>0</v>
      </c>
      <c r="E14" s="119">
        <v>1</v>
      </c>
      <c r="F14" s="119">
        <v>2</v>
      </c>
      <c r="G14" s="119">
        <v>3</v>
      </c>
      <c r="H14" s="119">
        <v>4</v>
      </c>
      <c r="I14" s="119">
        <v>5</v>
      </c>
      <c r="J14" s="119">
        <v>6</v>
      </c>
      <c r="K14" s="119">
        <v>7</v>
      </c>
      <c r="L14" s="119">
        <v>8</v>
      </c>
      <c r="M14" s="119">
        <v>9</v>
      </c>
      <c r="N14" s="119">
        <v>10</v>
      </c>
      <c r="O14" s="119">
        <v>11</v>
      </c>
      <c r="P14" s="119">
        <v>12</v>
      </c>
      <c r="Q14" s="119">
        <v>13</v>
      </c>
      <c r="R14" s="119">
        <v>14</v>
      </c>
      <c r="S14" s="119">
        <v>15</v>
      </c>
      <c r="T14" s="119">
        <v>16</v>
      </c>
      <c r="U14" s="119">
        <v>17</v>
      </c>
      <c r="V14" s="119">
        <v>18</v>
      </c>
      <c r="W14" s="119">
        <v>19</v>
      </c>
      <c r="X14" s="119">
        <v>20</v>
      </c>
      <c r="Y14" s="119">
        <v>21</v>
      </c>
      <c r="Z14" s="119">
        <v>22</v>
      </c>
      <c r="AA14" s="119">
        <v>23</v>
      </c>
      <c r="AB14" s="119">
        <v>24</v>
      </c>
      <c r="AC14" s="119">
        <v>25</v>
      </c>
      <c r="AD14" s="119">
        <v>26</v>
      </c>
      <c r="AE14" s="119">
        <v>27</v>
      </c>
      <c r="AF14" s="119">
        <v>28</v>
      </c>
      <c r="AG14" s="119">
        <v>29</v>
      </c>
      <c r="AH14" s="119">
        <v>30</v>
      </c>
      <c r="AI14" s="119">
        <v>31</v>
      </c>
      <c r="AJ14" s="119">
        <v>32</v>
      </c>
      <c r="AK14" s="119">
        <v>33</v>
      </c>
      <c r="AL14" s="119">
        <v>34</v>
      </c>
      <c r="AM14" s="119">
        <v>35</v>
      </c>
      <c r="AN14" s="119">
        <v>36</v>
      </c>
      <c r="AO14" s="119">
        <v>37</v>
      </c>
      <c r="AP14" s="119">
        <v>38</v>
      </c>
      <c r="AQ14" s="119">
        <v>39</v>
      </c>
      <c r="AR14" s="119">
        <v>40</v>
      </c>
      <c r="AS14" s="119">
        <v>41</v>
      </c>
      <c r="AT14" s="119">
        <v>42</v>
      </c>
      <c r="AU14" s="119">
        <v>43</v>
      </c>
      <c r="AV14" s="119">
        <v>44</v>
      </c>
      <c r="AW14" s="119">
        <v>45</v>
      </c>
      <c r="AX14" s="119">
        <v>46</v>
      </c>
      <c r="AY14" s="119">
        <v>47</v>
      </c>
      <c r="AZ14" s="119">
        <v>48</v>
      </c>
      <c r="BA14" s="119">
        <v>49</v>
      </c>
      <c r="BB14" s="119">
        <v>50</v>
      </c>
      <c r="BC14" s="119">
        <v>51</v>
      </c>
      <c r="BD14" s="119">
        <v>52</v>
      </c>
      <c r="BE14" s="119">
        <v>0</v>
      </c>
      <c r="BF14" s="119">
        <v>0</v>
      </c>
      <c r="BG14" s="119">
        <v>0</v>
      </c>
      <c r="BH14" s="119">
        <v>0</v>
      </c>
    </row>
    <row r="15" spans="1:60" s="127" customFormat="1" ht="15" hidden="1" customHeight="1" outlineLevel="1" x14ac:dyDescent="0.25">
      <c r="A15" s="788" t="s">
        <v>35</v>
      </c>
      <c r="B15" s="122" t="s">
        <v>36</v>
      </c>
      <c r="C15" s="123"/>
      <c r="D15" s="124">
        <v>1</v>
      </c>
      <c r="E15" s="125">
        <v>1</v>
      </c>
      <c r="F15" s="125">
        <v>1</v>
      </c>
      <c r="G15" s="125">
        <v>1</v>
      </c>
      <c r="H15" s="125">
        <v>1</v>
      </c>
      <c r="I15" s="125">
        <v>1</v>
      </c>
      <c r="J15" s="125">
        <v>1</v>
      </c>
      <c r="K15" s="125">
        <v>1</v>
      </c>
      <c r="L15" s="125">
        <v>1</v>
      </c>
      <c r="M15" s="125">
        <v>1</v>
      </c>
      <c r="N15" s="125">
        <v>1</v>
      </c>
      <c r="O15" s="125">
        <v>1</v>
      </c>
      <c r="P15" s="125">
        <v>1</v>
      </c>
      <c r="Q15" s="125">
        <v>1</v>
      </c>
      <c r="R15" s="125">
        <v>1</v>
      </c>
      <c r="S15" s="125">
        <v>1</v>
      </c>
      <c r="T15" s="125">
        <v>1</v>
      </c>
      <c r="U15" s="125">
        <v>1</v>
      </c>
      <c r="V15" s="125">
        <v>1</v>
      </c>
      <c r="W15" s="125">
        <v>1</v>
      </c>
      <c r="X15" s="125">
        <v>1</v>
      </c>
      <c r="Y15" s="125">
        <v>1</v>
      </c>
      <c r="Z15" s="125">
        <v>1</v>
      </c>
      <c r="AA15" s="125">
        <v>1</v>
      </c>
      <c r="AB15" s="125">
        <v>1</v>
      </c>
      <c r="AC15" s="125">
        <v>1</v>
      </c>
      <c r="AD15" s="125">
        <v>1</v>
      </c>
      <c r="AE15" s="125">
        <v>1</v>
      </c>
      <c r="AF15" s="125">
        <v>1</v>
      </c>
      <c r="AG15" s="125">
        <v>1</v>
      </c>
      <c r="AH15" s="125">
        <v>1</v>
      </c>
      <c r="AI15" s="125">
        <v>1</v>
      </c>
      <c r="AJ15" s="125">
        <v>1</v>
      </c>
      <c r="AK15" s="125">
        <v>1</v>
      </c>
      <c r="AL15" s="125">
        <v>1</v>
      </c>
      <c r="AM15" s="125">
        <v>0</v>
      </c>
      <c r="AN15" s="125">
        <v>0</v>
      </c>
      <c r="AO15" s="125">
        <v>0</v>
      </c>
      <c r="AP15" s="125">
        <v>0</v>
      </c>
      <c r="AQ15" s="125">
        <v>0</v>
      </c>
      <c r="AR15" s="125">
        <v>0</v>
      </c>
      <c r="AS15" s="125">
        <v>0</v>
      </c>
      <c r="AT15" s="125">
        <v>0</v>
      </c>
      <c r="AU15" s="125">
        <v>0</v>
      </c>
      <c r="AV15" s="125">
        <v>0</v>
      </c>
      <c r="AW15" s="125">
        <v>0</v>
      </c>
      <c r="AX15" s="125">
        <v>0</v>
      </c>
      <c r="AY15" s="125">
        <v>0</v>
      </c>
      <c r="AZ15" s="125">
        <v>0</v>
      </c>
      <c r="BA15" s="125">
        <v>0</v>
      </c>
      <c r="BB15" s="125">
        <v>0</v>
      </c>
      <c r="BC15" s="125">
        <v>0</v>
      </c>
      <c r="BD15" s="125">
        <v>0</v>
      </c>
      <c r="BE15" s="125">
        <v>0</v>
      </c>
      <c r="BF15" s="125">
        <v>0</v>
      </c>
      <c r="BG15" s="125">
        <v>0</v>
      </c>
      <c r="BH15" s="126">
        <v>0</v>
      </c>
    </row>
    <row r="16" spans="1:60" s="131" customFormat="1" ht="15" hidden="1" customHeight="1" outlineLevel="1" x14ac:dyDescent="0.25">
      <c r="A16" s="788"/>
      <c r="B16" s="104" t="s">
        <v>429</v>
      </c>
      <c r="C16" s="128">
        <f>SUMIF($D$15:$BG$15,1,D16:BG16)</f>
        <v>1193646.2820174235</v>
      </c>
      <c r="D16" s="129">
        <v>31717.919999999998</v>
      </c>
      <c r="E16" s="130">
        <v>31866.994223999995</v>
      </c>
      <c r="F16" s="130">
        <v>32016.769096852793</v>
      </c>
      <c r="G16" s="130">
        <v>32167.247911607999</v>
      </c>
      <c r="H16" s="130">
        <v>32318.433976792556</v>
      </c>
      <c r="I16" s="130">
        <v>32470.330616483479</v>
      </c>
      <c r="J16" s="130">
        <v>32622.941170380949</v>
      </c>
      <c r="K16" s="130">
        <v>32776.268993881735</v>
      </c>
      <c r="L16" s="130">
        <v>32930.317458152975</v>
      </c>
      <c r="M16" s="130">
        <v>33085.089950206289</v>
      </c>
      <c r="N16" s="130">
        <v>33240.589872972254</v>
      </c>
      <c r="O16" s="130">
        <v>33396.820645375221</v>
      </c>
      <c r="P16" s="130">
        <v>33553.785702408481</v>
      </c>
      <c r="Q16" s="130">
        <v>33711.4884952098</v>
      </c>
      <c r="R16" s="130">
        <v>33869.932491137282</v>
      </c>
      <c r="S16" s="130">
        <v>33553.785702408481</v>
      </c>
      <c r="T16" s="130">
        <v>33711.4884952098</v>
      </c>
      <c r="U16" s="130">
        <v>33869.932491137282</v>
      </c>
      <c r="V16" s="130">
        <v>34029.121173845626</v>
      </c>
      <c r="W16" s="130">
        <v>34189.058043362696</v>
      </c>
      <c r="X16" s="130">
        <v>34349.7466161665</v>
      </c>
      <c r="Y16" s="130">
        <v>34511.190425262481</v>
      </c>
      <c r="Z16" s="130">
        <v>34673.39302026121</v>
      </c>
      <c r="AA16" s="130">
        <v>34836.357967456432</v>
      </c>
      <c r="AB16" s="130">
        <v>35000.088849903477</v>
      </c>
      <c r="AC16" s="130">
        <v>35164.58926749802</v>
      </c>
      <c r="AD16" s="130">
        <v>35329.862837055261</v>
      </c>
      <c r="AE16" s="130">
        <v>35495.913192389417</v>
      </c>
      <c r="AF16" s="130">
        <v>35662.743984393644</v>
      </c>
      <c r="AG16" s="130">
        <v>35830.358881120294</v>
      </c>
      <c r="AH16" s="130">
        <v>35998.761567861555</v>
      </c>
      <c r="AI16" s="130">
        <v>36167.955747230502</v>
      </c>
      <c r="AJ16" s="130">
        <v>36337.945139242482</v>
      </c>
      <c r="AK16" s="130">
        <v>36508.733481396921</v>
      </c>
      <c r="AL16" s="130">
        <v>36680.324528759484</v>
      </c>
      <c r="AM16" s="130">
        <v>36852.722054044651</v>
      </c>
      <c r="AN16" s="130">
        <v>37025.929847698659</v>
      </c>
      <c r="AO16" s="130">
        <v>37199.95171798284</v>
      </c>
      <c r="AP16" s="130">
        <v>37374.79149105736</v>
      </c>
      <c r="AQ16" s="130">
        <v>37550.453011065329</v>
      </c>
      <c r="AR16" s="130">
        <v>37726.940140217332</v>
      </c>
      <c r="AS16" s="130">
        <v>37904.256758876349</v>
      </c>
      <c r="AT16" s="130">
        <v>38082.406765643063</v>
      </c>
      <c r="AU16" s="130">
        <v>38261.394077441582</v>
      </c>
      <c r="AV16" s="130">
        <v>38441.222629605552</v>
      </c>
      <c r="AW16" s="130">
        <v>38621.896375964694</v>
      </c>
      <c r="AX16" s="130">
        <v>38803.419288931727</v>
      </c>
      <c r="AY16" s="130">
        <v>38985.795359589705</v>
      </c>
      <c r="AZ16" s="130">
        <v>39169.028597779776</v>
      </c>
      <c r="BA16" s="130">
        <v>39353.123032189338</v>
      </c>
      <c r="BB16" s="130">
        <v>39538.082710440627</v>
      </c>
      <c r="BC16" s="130">
        <v>39723.911699179698</v>
      </c>
      <c r="BD16" s="130">
        <v>39910.614084165842</v>
      </c>
      <c r="BE16" s="130">
        <v>40098.193970361419</v>
      </c>
      <c r="BF16" s="130">
        <v>40286.655482022114</v>
      </c>
      <c r="BG16" s="130">
        <v>40476.002762787612</v>
      </c>
      <c r="BH16" s="130">
        <v>0</v>
      </c>
    </row>
    <row r="17" spans="1:60" ht="15" hidden="1" customHeight="1" outlineLevel="1" x14ac:dyDescent="0.25">
      <c r="A17" s="105"/>
      <c r="C17" s="132"/>
      <c r="D17" s="133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</row>
    <row r="18" spans="1:60" ht="15" hidden="1" customHeight="1" outlineLevel="1" x14ac:dyDescent="0.25">
      <c r="A18" s="135">
        <f>C18*1000000/$C$16</f>
        <v>85.233578158389449</v>
      </c>
      <c r="B18" s="136" t="s">
        <v>430</v>
      </c>
      <c r="C18" s="137">
        <f>SUMIF($D$15:$BG$15,1,D18:BG18)</f>
        <v>101.73874367180304</v>
      </c>
      <c r="D18" s="138">
        <v>30.402483024985166</v>
      </c>
      <c r="E18" s="8">
        <v>30.712026053230918</v>
      </c>
      <c r="F18" s="8">
        <v>40.624234593586955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</row>
    <row r="19" spans="1:60" ht="15" hidden="1" customHeight="1" outlineLevel="1" x14ac:dyDescent="0.25">
      <c r="A19" s="135">
        <f>C19*1000000/$C$16</f>
        <v>77.759846072794915</v>
      </c>
      <c r="B19" s="139" t="s">
        <v>37</v>
      </c>
      <c r="C19" s="132">
        <f>SUMIF($D$15:$BG$15,1,D19:BG19)</f>
        <v>92.817751155038806</v>
      </c>
      <c r="D19" s="138">
        <f t="shared" ref="D19:AJ19" si="0">NPV($C$8,D18:D18)</f>
        <v>27.736632103610823</v>
      </c>
      <c r="E19" s="8">
        <f t="shared" si="0"/>
        <v>28.019032757782199</v>
      </c>
      <c r="F19" s="8">
        <f t="shared" si="0"/>
        <v>37.062086293645784</v>
      </c>
      <c r="G19" s="8">
        <f t="shared" si="0"/>
        <v>0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8">
        <f t="shared" si="0"/>
        <v>0</v>
      </c>
      <c r="N19" s="8">
        <f t="shared" si="0"/>
        <v>0</v>
      </c>
      <c r="O19" s="8">
        <f t="shared" si="0"/>
        <v>0</v>
      </c>
      <c r="P19" s="8">
        <f t="shared" si="0"/>
        <v>0</v>
      </c>
      <c r="Q19" s="8">
        <f t="shared" si="0"/>
        <v>0</v>
      </c>
      <c r="R19" s="8">
        <f t="shared" si="0"/>
        <v>0</v>
      </c>
      <c r="S19" s="8">
        <f t="shared" si="0"/>
        <v>0</v>
      </c>
      <c r="T19" s="8">
        <f t="shared" si="0"/>
        <v>0</v>
      </c>
      <c r="U19" s="8">
        <f t="shared" si="0"/>
        <v>0</v>
      </c>
      <c r="V19" s="8">
        <f t="shared" si="0"/>
        <v>0</v>
      </c>
      <c r="W19" s="8">
        <f t="shared" si="0"/>
        <v>0</v>
      </c>
      <c r="X19" s="8">
        <f t="shared" si="0"/>
        <v>0</v>
      </c>
      <c r="Y19" s="8">
        <f t="shared" si="0"/>
        <v>0</v>
      </c>
      <c r="Z19" s="8">
        <f t="shared" si="0"/>
        <v>0</v>
      </c>
      <c r="AA19" s="8">
        <f t="shared" si="0"/>
        <v>0</v>
      </c>
      <c r="AB19" s="8">
        <f t="shared" si="0"/>
        <v>0</v>
      </c>
      <c r="AC19" s="8">
        <f t="shared" si="0"/>
        <v>0</v>
      </c>
      <c r="AD19" s="8">
        <f t="shared" si="0"/>
        <v>0</v>
      </c>
      <c r="AE19" s="8">
        <f t="shared" si="0"/>
        <v>0</v>
      </c>
      <c r="AF19" s="8">
        <f t="shared" si="0"/>
        <v>0</v>
      </c>
      <c r="AG19" s="8">
        <f t="shared" si="0"/>
        <v>0</v>
      </c>
      <c r="AH19" s="8">
        <f t="shared" si="0"/>
        <v>0</v>
      </c>
      <c r="AI19" s="8">
        <f t="shared" si="0"/>
        <v>0</v>
      </c>
      <c r="AJ19" s="8">
        <f t="shared" si="0"/>
        <v>0</v>
      </c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1:60" ht="15" hidden="1" customHeight="1" outlineLevel="1" x14ac:dyDescent="0.25">
      <c r="A20" s="135"/>
      <c r="B20" s="1"/>
      <c r="C20" s="140">
        <f>C18*1000000/(C16/C43)</f>
        <v>2983.1752355436306</v>
      </c>
      <c r="D20" s="13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</row>
    <row r="21" spans="1:60" ht="15" hidden="1" customHeight="1" outlineLevel="1" x14ac:dyDescent="0.25">
      <c r="A21" s="135">
        <f>C21*1000000/$C$16</f>
        <v>513.57030146889417</v>
      </c>
      <c r="B21" s="136" t="s">
        <v>431</v>
      </c>
      <c r="C21" s="137">
        <f>SUMIF($D$15:$BG$15,1,D21:BG21)</f>
        <v>613.02128090291285</v>
      </c>
      <c r="D21" s="138">
        <v>5.0087194397754624</v>
      </c>
      <c r="E21" s="8">
        <v>5.0087194397754624</v>
      </c>
      <c r="F21" s="8">
        <v>5.0087194397754624</v>
      </c>
      <c r="G21" s="8">
        <v>18.687347580737072</v>
      </c>
      <c r="H21" s="8">
        <v>18.687347580737072</v>
      </c>
      <c r="I21" s="8">
        <v>18.687347580737072</v>
      </c>
      <c r="J21" s="8">
        <v>18.687347580737072</v>
      </c>
      <c r="K21" s="8">
        <v>18.687347580737072</v>
      </c>
      <c r="L21" s="8">
        <v>18.687347580737072</v>
      </c>
      <c r="M21" s="8">
        <v>18.687347580737072</v>
      </c>
      <c r="N21" s="8">
        <v>18.687347580737072</v>
      </c>
      <c r="O21" s="8">
        <v>18.687347580737072</v>
      </c>
      <c r="P21" s="8">
        <v>18.687347580737072</v>
      </c>
      <c r="Q21" s="8">
        <v>18.687347580737072</v>
      </c>
      <c r="R21" s="8">
        <v>18.687347580737072</v>
      </c>
      <c r="S21" s="8">
        <v>18.687347580737072</v>
      </c>
      <c r="T21" s="8">
        <v>18.687347580737072</v>
      </c>
      <c r="U21" s="8">
        <v>18.687347580737072</v>
      </c>
      <c r="V21" s="8">
        <v>18.687347580737072</v>
      </c>
      <c r="W21" s="8">
        <v>18.687347580737072</v>
      </c>
      <c r="X21" s="8">
        <v>18.687347580737072</v>
      </c>
      <c r="Y21" s="8">
        <v>18.687347580737072</v>
      </c>
      <c r="Z21" s="8">
        <v>18.687347580737072</v>
      </c>
      <c r="AA21" s="8">
        <v>18.687347580737072</v>
      </c>
      <c r="AB21" s="8">
        <v>18.687347580737072</v>
      </c>
      <c r="AC21" s="8">
        <v>18.687347580737072</v>
      </c>
      <c r="AD21" s="8">
        <v>18.687347580737072</v>
      </c>
      <c r="AE21" s="8">
        <v>18.687347580737072</v>
      </c>
      <c r="AF21" s="8">
        <v>18.687347580737072</v>
      </c>
      <c r="AG21" s="8">
        <v>18.687347580737072</v>
      </c>
      <c r="AH21" s="8">
        <v>18.687347580737072</v>
      </c>
      <c r="AI21" s="8">
        <v>18.687347580737072</v>
      </c>
      <c r="AJ21" s="8">
        <v>18.687347580737072</v>
      </c>
      <c r="AK21" s="8">
        <v>18.687347580737072</v>
      </c>
      <c r="AL21" s="8">
        <v>18.687347580737072</v>
      </c>
      <c r="AM21" s="8">
        <v>18.687347580737072</v>
      </c>
      <c r="AN21" s="8">
        <v>18.687347580737072</v>
      </c>
      <c r="AO21" s="8">
        <v>18.687347580737072</v>
      </c>
      <c r="AP21" s="8">
        <v>18.687347580737072</v>
      </c>
      <c r="AQ21" s="8">
        <v>18.687347580737072</v>
      </c>
      <c r="AR21" s="8">
        <v>18.687347580737072</v>
      </c>
      <c r="AS21" s="8">
        <v>18.687347580737072</v>
      </c>
      <c r="AT21" s="8">
        <v>18.687347580737072</v>
      </c>
      <c r="AU21" s="8">
        <v>18.687347580737072</v>
      </c>
      <c r="AV21" s="8">
        <v>18.687347580737072</v>
      </c>
      <c r="AW21" s="8">
        <v>18.687347580737072</v>
      </c>
      <c r="AX21" s="8">
        <v>18.687347580737072</v>
      </c>
      <c r="AY21" s="8">
        <v>18.687347580737072</v>
      </c>
      <c r="AZ21" s="8">
        <v>18.687347580737072</v>
      </c>
      <c r="BA21" s="8">
        <v>18.687347580737072</v>
      </c>
      <c r="BB21" s="8">
        <v>18.687347580737072</v>
      </c>
      <c r="BC21" s="8">
        <v>18.687347580737072</v>
      </c>
      <c r="BD21" s="8">
        <v>18.687347580737072</v>
      </c>
      <c r="BE21" s="8">
        <v>18.687347580737072</v>
      </c>
      <c r="BF21" s="8">
        <v>18.687347580737072</v>
      </c>
      <c r="BG21" s="8">
        <v>18.687347580737072</v>
      </c>
      <c r="BH21" s="8">
        <v>0</v>
      </c>
    </row>
    <row r="22" spans="1:60" ht="15" hidden="1" customHeight="1" outlineLevel="1" x14ac:dyDescent="0.25">
      <c r="A22" s="135">
        <f>C22*1000000/$C$16</f>
        <v>439.97191516323096</v>
      </c>
      <c r="B22" s="139" t="s">
        <v>38</v>
      </c>
      <c r="C22" s="132">
        <f>SUMIF($D$15:$BG$15,1,D22:BG22)</f>
        <v>525.17084072667592</v>
      </c>
      <c r="D22" s="138">
        <f t="shared" ref="D22:AJ22" si="1">NPV($C$8,D21:D21)</f>
        <v>4.5695283604659949</v>
      </c>
      <c r="E22" s="8">
        <f t="shared" si="1"/>
        <v>4.5695283604659949</v>
      </c>
      <c r="F22" s="8">
        <f t="shared" si="1"/>
        <v>4.5695283604659949</v>
      </c>
      <c r="G22" s="8">
        <f t="shared" si="1"/>
        <v>17.048741854842589</v>
      </c>
      <c r="H22" s="8">
        <f t="shared" si="1"/>
        <v>17.048741854842589</v>
      </c>
      <c r="I22" s="8">
        <f t="shared" si="1"/>
        <v>17.048741854842589</v>
      </c>
      <c r="J22" s="8">
        <f t="shared" si="1"/>
        <v>17.048741854842589</v>
      </c>
      <c r="K22" s="8">
        <f t="shared" si="1"/>
        <v>17.048741854842589</v>
      </c>
      <c r="L22" s="8">
        <f t="shared" si="1"/>
        <v>17.048741854842589</v>
      </c>
      <c r="M22" s="8">
        <f t="shared" si="1"/>
        <v>17.048741854842589</v>
      </c>
      <c r="N22" s="8">
        <f t="shared" si="1"/>
        <v>17.048741854842589</v>
      </c>
      <c r="O22" s="8">
        <f t="shared" si="1"/>
        <v>17.048741854842589</v>
      </c>
      <c r="P22" s="8">
        <f t="shared" si="1"/>
        <v>17.048741854842589</v>
      </c>
      <c r="Q22" s="8">
        <f t="shared" si="1"/>
        <v>17.048741854842589</v>
      </c>
      <c r="R22" s="8">
        <f t="shared" si="1"/>
        <v>17.048741854842589</v>
      </c>
      <c r="S22" s="8">
        <f t="shared" si="1"/>
        <v>17.048741854842589</v>
      </c>
      <c r="T22" s="8">
        <f t="shared" si="1"/>
        <v>17.048741854842589</v>
      </c>
      <c r="U22" s="8">
        <f t="shared" si="1"/>
        <v>17.048741854842589</v>
      </c>
      <c r="V22" s="8">
        <f t="shared" si="1"/>
        <v>17.048741854842589</v>
      </c>
      <c r="W22" s="8">
        <f t="shared" si="1"/>
        <v>17.048741854842589</v>
      </c>
      <c r="X22" s="8">
        <f t="shared" si="1"/>
        <v>17.048741854842589</v>
      </c>
      <c r="Y22" s="8">
        <f t="shared" si="1"/>
        <v>17.048741854842589</v>
      </c>
      <c r="Z22" s="8">
        <f t="shared" si="1"/>
        <v>17.048741854842589</v>
      </c>
      <c r="AA22" s="8">
        <f t="shared" si="1"/>
        <v>17.048741854842589</v>
      </c>
      <c r="AB22" s="8">
        <f t="shared" si="1"/>
        <v>17.048741854842589</v>
      </c>
      <c r="AC22" s="8">
        <f t="shared" si="1"/>
        <v>17.048741854842589</v>
      </c>
      <c r="AD22" s="8">
        <f t="shared" si="1"/>
        <v>17.048741854842589</v>
      </c>
      <c r="AE22" s="8">
        <f t="shared" si="1"/>
        <v>17.048741854842589</v>
      </c>
      <c r="AF22" s="8">
        <f t="shared" si="1"/>
        <v>17.048741854842589</v>
      </c>
      <c r="AG22" s="8">
        <f t="shared" si="1"/>
        <v>17.048741854842589</v>
      </c>
      <c r="AH22" s="8">
        <f t="shared" si="1"/>
        <v>17.048741854842589</v>
      </c>
      <c r="AI22" s="8">
        <f t="shared" si="1"/>
        <v>17.048741854842589</v>
      </c>
      <c r="AJ22" s="8">
        <f t="shared" si="1"/>
        <v>17.048741854842589</v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</row>
    <row r="23" spans="1:60" ht="15" hidden="1" customHeight="1" outlineLevel="1" x14ac:dyDescent="0.25">
      <c r="A23" s="135"/>
      <c r="C23" s="192">
        <f>C21*1000000/C16</f>
        <v>513.57030146889417</v>
      </c>
      <c r="D23" s="13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4" spans="1:60" ht="15" hidden="1" customHeight="1" outlineLevel="1" x14ac:dyDescent="0.25">
      <c r="A24" s="135">
        <f>C24*1000000/$C$16</f>
        <v>0</v>
      </c>
      <c r="B24" s="136" t="s">
        <v>39</v>
      </c>
      <c r="C24" s="137">
        <f>SUMIF($D$15:$BG$15,1,D24:BG24)</f>
        <v>0</v>
      </c>
      <c r="D24" s="13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</row>
    <row r="25" spans="1:60" ht="15" hidden="1" customHeight="1" outlineLevel="1" x14ac:dyDescent="0.25">
      <c r="A25" s="135">
        <f>C25*1000000/$C$16</f>
        <v>0</v>
      </c>
      <c r="B25" s="139" t="s">
        <v>40</v>
      </c>
      <c r="C25" s="132">
        <f>SUMIF($D$15:$BG$15,1,D25:BG25)</f>
        <v>0</v>
      </c>
      <c r="D25" s="138">
        <f t="shared" ref="D25:AJ25" si="2">NPV($C$8,D24:D24)</f>
        <v>0</v>
      </c>
      <c r="E25" s="8">
        <f t="shared" si="2"/>
        <v>0</v>
      </c>
      <c r="F25" s="8">
        <f t="shared" si="2"/>
        <v>0</v>
      </c>
      <c r="G25" s="8">
        <f t="shared" si="2"/>
        <v>0</v>
      </c>
      <c r="H25" s="8">
        <f t="shared" si="2"/>
        <v>0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8">
        <f t="shared" si="2"/>
        <v>0</v>
      </c>
      <c r="M25" s="8">
        <f t="shared" si="2"/>
        <v>0</v>
      </c>
      <c r="N25" s="8">
        <f t="shared" si="2"/>
        <v>0</v>
      </c>
      <c r="O25" s="8">
        <f t="shared" si="2"/>
        <v>0</v>
      </c>
      <c r="P25" s="8">
        <f t="shared" si="2"/>
        <v>0</v>
      </c>
      <c r="Q25" s="8">
        <f t="shared" si="2"/>
        <v>0</v>
      </c>
      <c r="R25" s="8">
        <f t="shared" si="2"/>
        <v>0</v>
      </c>
      <c r="S25" s="8">
        <f t="shared" si="2"/>
        <v>0</v>
      </c>
      <c r="T25" s="8">
        <f t="shared" si="2"/>
        <v>0</v>
      </c>
      <c r="U25" s="8">
        <f t="shared" si="2"/>
        <v>0</v>
      </c>
      <c r="V25" s="8">
        <f t="shared" si="2"/>
        <v>0</v>
      </c>
      <c r="W25" s="8">
        <f t="shared" si="2"/>
        <v>0</v>
      </c>
      <c r="X25" s="8">
        <f t="shared" si="2"/>
        <v>0</v>
      </c>
      <c r="Y25" s="8">
        <f t="shared" si="2"/>
        <v>0</v>
      </c>
      <c r="Z25" s="8">
        <f t="shared" si="2"/>
        <v>0</v>
      </c>
      <c r="AA25" s="8">
        <f t="shared" si="2"/>
        <v>0</v>
      </c>
      <c r="AB25" s="8">
        <f t="shared" si="2"/>
        <v>0</v>
      </c>
      <c r="AC25" s="8">
        <f t="shared" si="2"/>
        <v>0</v>
      </c>
      <c r="AD25" s="8">
        <f t="shared" si="2"/>
        <v>0</v>
      </c>
      <c r="AE25" s="8">
        <f t="shared" si="2"/>
        <v>0</v>
      </c>
      <c r="AF25" s="8">
        <f t="shared" si="2"/>
        <v>0</v>
      </c>
      <c r="AG25" s="8">
        <f t="shared" si="2"/>
        <v>0</v>
      </c>
      <c r="AH25" s="8">
        <f t="shared" si="2"/>
        <v>0</v>
      </c>
      <c r="AI25" s="8">
        <f t="shared" si="2"/>
        <v>0</v>
      </c>
      <c r="AJ25" s="8">
        <f t="shared" si="2"/>
        <v>0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1:60" ht="15" hidden="1" customHeight="1" outlineLevel="1" x14ac:dyDescent="0.25">
      <c r="A26" s="135"/>
      <c r="C26" s="132"/>
      <c r="D26" s="13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</row>
    <row r="27" spans="1:60" ht="15" hidden="1" customHeight="1" outlineLevel="1" x14ac:dyDescent="0.25">
      <c r="A27" s="135">
        <f>C27*1000000/$C$16</f>
        <v>230.47656404143015</v>
      </c>
      <c r="B27" s="136" t="s">
        <v>432</v>
      </c>
      <c r="C27" s="137">
        <f>SUMIF($D$15:$BG$15,1,D27:BG27)</f>
        <v>275.10749376020374</v>
      </c>
      <c r="D27" s="138">
        <v>7.3102372201409604</v>
      </c>
      <c r="E27" s="8">
        <v>7.3445953350756215</v>
      </c>
      <c r="F27" s="8">
        <v>7.3791149331504773</v>
      </c>
      <c r="G27" s="8">
        <v>7.4137967733362853</v>
      </c>
      <c r="H27" s="8">
        <v>7.4486416181709654</v>
      </c>
      <c r="I27" s="8">
        <v>7.483650233776368</v>
      </c>
      <c r="J27" s="8">
        <v>7.5188233898751156</v>
      </c>
      <c r="K27" s="8">
        <v>7.5541618598075289</v>
      </c>
      <c r="L27" s="8">
        <v>7.5896664205486228</v>
      </c>
      <c r="M27" s="8">
        <v>7.6253378527252007</v>
      </c>
      <c r="N27" s="8">
        <v>7.6611769406330055</v>
      </c>
      <c r="O27" s="8">
        <v>7.6971844722539817</v>
      </c>
      <c r="P27" s="8">
        <v>7.7333612392735755</v>
      </c>
      <c r="Q27" s="8">
        <v>7.7697080370981588</v>
      </c>
      <c r="R27" s="8">
        <v>7.806225664872521</v>
      </c>
      <c r="S27" s="8">
        <v>7.7333612392735755</v>
      </c>
      <c r="T27" s="8">
        <v>7.7697080370981588</v>
      </c>
      <c r="U27" s="8">
        <v>7.806225664872521</v>
      </c>
      <c r="V27" s="8">
        <v>7.8429149254974195</v>
      </c>
      <c r="W27" s="8">
        <v>7.8797766256472581</v>
      </c>
      <c r="X27" s="8">
        <v>7.9168115757878006</v>
      </c>
      <c r="Y27" s="8">
        <v>7.9540205901940038</v>
      </c>
      <c r="Z27" s="8">
        <v>7.9914044869679106</v>
      </c>
      <c r="AA27" s="8">
        <v>8.0289640880566608</v>
      </c>
      <c r="AB27" s="8">
        <v>8.0667002192705262</v>
      </c>
      <c r="AC27" s="8">
        <v>8.1046137103010967</v>
      </c>
      <c r="AD27" s="8">
        <v>8.1427053947395116</v>
      </c>
      <c r="AE27" s="8">
        <v>8.1809761100947895</v>
      </c>
      <c r="AF27" s="8">
        <v>8.2194266978122332</v>
      </c>
      <c r="AG27" s="8">
        <v>8.2580580032919499</v>
      </c>
      <c r="AH27" s="8">
        <v>8.2968708759074214</v>
      </c>
      <c r="AI27" s="8">
        <v>8.335866169024186</v>
      </c>
      <c r="AJ27" s="8">
        <v>8.3750447400185983</v>
      </c>
      <c r="AK27" s="8">
        <v>8.4144074502966859</v>
      </c>
      <c r="AL27" s="8">
        <v>8.4539551653130793</v>
      </c>
      <c r="AM27" s="8">
        <v>8.4936887545900497</v>
      </c>
      <c r="AN27" s="8">
        <v>8.5336090917366221</v>
      </c>
      <c r="AO27" s="8">
        <v>8.573717054467787</v>
      </c>
      <c r="AP27" s="8">
        <v>8.6140135246237826</v>
      </c>
      <c r="AQ27" s="8">
        <v>8.6544993881895156</v>
      </c>
      <c r="AR27" s="8">
        <v>8.6951755353140054</v>
      </c>
      <c r="AS27" s="8">
        <v>8.7360428603299809</v>
      </c>
      <c r="AT27" s="8">
        <v>8.7771022617735301</v>
      </c>
      <c r="AU27" s="8">
        <v>8.8183546424038646</v>
      </c>
      <c r="AV27" s="8">
        <v>8.8598009092231642</v>
      </c>
      <c r="AW27" s="8">
        <v>8.9014419734965102</v>
      </c>
      <c r="AX27" s="8">
        <v>8.9432787507719418</v>
      </c>
      <c r="AY27" s="8">
        <v>8.9853121609005697</v>
      </c>
      <c r="AZ27" s="8">
        <v>9.0275431280568057</v>
      </c>
      <c r="BA27" s="8">
        <v>9.0699725807586677</v>
      </c>
      <c r="BB27" s="8">
        <v>9.1126014518882315</v>
      </c>
      <c r="BC27" s="8">
        <v>9.1554306787121096</v>
      </c>
      <c r="BD27" s="8">
        <v>9.198461202902056</v>
      </c>
      <c r="BE27" s="8">
        <v>9.2416939705556942</v>
      </c>
      <c r="BF27" s="8">
        <v>9.2851299322173055</v>
      </c>
      <c r="BG27" s="8">
        <v>9.328770042898725</v>
      </c>
      <c r="BH27" s="8">
        <v>0</v>
      </c>
    </row>
    <row r="28" spans="1:60" ht="15" hidden="1" customHeight="1" outlineLevel="1" x14ac:dyDescent="0.25">
      <c r="A28" s="135">
        <f>C28*1000000/$C$16</f>
        <v>197.37451400573264</v>
      </c>
      <c r="B28" s="139" t="s">
        <v>41</v>
      </c>
      <c r="C28" s="132">
        <f>SUMIF($D$15:$BG$15,1,D28:BG28)</f>
        <v>235.59535480793863</v>
      </c>
      <c r="D28" s="138">
        <f t="shared" ref="D28:AJ28" si="3">NPV($C$8,D27:D27)</f>
        <v>6.6692368580073049</v>
      </c>
      <c r="E28" s="8">
        <f t="shared" si="3"/>
        <v>6.7005822712399379</v>
      </c>
      <c r="F28" s="8">
        <f t="shared" si="3"/>
        <v>6.7320750079147658</v>
      </c>
      <c r="G28" s="8">
        <f t="shared" si="3"/>
        <v>6.7637157604519658</v>
      </c>
      <c r="H28" s="8">
        <f t="shared" si="3"/>
        <v>6.7955052245260896</v>
      </c>
      <c r="I28" s="8">
        <f t="shared" si="3"/>
        <v>6.8274440990813616</v>
      </c>
      <c r="J28" s="8">
        <f t="shared" si="3"/>
        <v>6.8595330863470432</v>
      </c>
      <c r="K28" s="8">
        <f t="shared" si="3"/>
        <v>6.8917728918528747</v>
      </c>
      <c r="L28" s="8">
        <f t="shared" si="3"/>
        <v>6.9241642244445814</v>
      </c>
      <c r="M28" s="8">
        <f t="shared" si="3"/>
        <v>6.9567077962994706</v>
      </c>
      <c r="N28" s="8">
        <f t="shared" si="3"/>
        <v>6.9894043229420744</v>
      </c>
      <c r="O28" s="8">
        <f t="shared" si="3"/>
        <v>7.0222545232599032</v>
      </c>
      <c r="P28" s="8">
        <f t="shared" si="3"/>
        <v>7.0552591195192251</v>
      </c>
      <c r="Q28" s="8">
        <f t="shared" si="3"/>
        <v>7.0884188373809627</v>
      </c>
      <c r="R28" s="8">
        <f t="shared" si="3"/>
        <v>7.1217344059166541</v>
      </c>
      <c r="S28" s="8">
        <f t="shared" si="3"/>
        <v>7.0552591195192251</v>
      </c>
      <c r="T28" s="8">
        <f t="shared" si="3"/>
        <v>7.0884188373809627</v>
      </c>
      <c r="U28" s="8">
        <f t="shared" si="3"/>
        <v>7.1217344059166541</v>
      </c>
      <c r="V28" s="8">
        <f t="shared" si="3"/>
        <v>7.1552065576244601</v>
      </c>
      <c r="W28" s="8">
        <f t="shared" si="3"/>
        <v>7.1888360284452961</v>
      </c>
      <c r="X28" s="8">
        <f t="shared" si="3"/>
        <v>7.2226235577789897</v>
      </c>
      <c r="Y28" s="8">
        <f t="shared" si="3"/>
        <v>7.2565698885005512</v>
      </c>
      <c r="Z28" s="8">
        <f t="shared" si="3"/>
        <v>7.2906757669764994</v>
      </c>
      <c r="AA28" s="8">
        <f t="shared" si="3"/>
        <v>7.3249419430812894</v>
      </c>
      <c r="AB28" s="8">
        <f t="shared" si="3"/>
        <v>7.3593691702137711</v>
      </c>
      <c r="AC28" s="8">
        <f t="shared" si="3"/>
        <v>7.3939582053137745</v>
      </c>
      <c r="AD28" s="8">
        <f t="shared" si="3"/>
        <v>7.4287098088787493</v>
      </c>
      <c r="AE28" s="8">
        <f t="shared" si="3"/>
        <v>7.4636247449804811</v>
      </c>
      <c r="AF28" s="8">
        <f t="shared" si="3"/>
        <v>7.498703781281888</v>
      </c>
      <c r="AG28" s="8">
        <f t="shared" si="3"/>
        <v>7.5339476890539121</v>
      </c>
      <c r="AH28" s="8">
        <f t="shared" si="3"/>
        <v>7.5693572431924645</v>
      </c>
      <c r="AI28" s="8">
        <f t="shared" si="3"/>
        <v>7.6049332222354691</v>
      </c>
      <c r="AJ28" s="8">
        <f t="shared" si="3"/>
        <v>7.6406764083799743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</row>
    <row r="29" spans="1:60" ht="15" hidden="1" customHeight="1" outlineLevel="1" x14ac:dyDescent="0.25">
      <c r="A29" s="135"/>
      <c r="B29" s="1"/>
      <c r="C29" s="132"/>
      <c r="D29" s="13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1:60" ht="15" hidden="1" customHeight="1" outlineLevel="1" x14ac:dyDescent="0.25">
      <c r="A30" s="135">
        <f>C30*1000000/$C$16</f>
        <v>64.72914456600617</v>
      </c>
      <c r="B30" s="136" t="s">
        <v>433</v>
      </c>
      <c r="C30" s="137">
        <f>SUMIF($D$15:$BG$15,1,D30:BG30)</f>
        <v>77.263702749381579</v>
      </c>
      <c r="D30" s="138">
        <v>2.0530738290130173</v>
      </c>
      <c r="E30" s="8">
        <v>2.0627232760093781</v>
      </c>
      <c r="F30" s="8">
        <v>2.0724180754066222</v>
      </c>
      <c r="G30" s="8">
        <v>2.0821584403610331</v>
      </c>
      <c r="H30" s="8">
        <v>2.0919445850307299</v>
      </c>
      <c r="I30" s="8">
        <v>2.101776724580374</v>
      </c>
      <c r="J30" s="8">
        <v>2.1116550751859018</v>
      </c>
      <c r="K30" s="8">
        <v>2.1215798540392754</v>
      </c>
      <c r="L30" s="8">
        <v>2.1315512793532601</v>
      </c>
      <c r="M30" s="8">
        <v>2.1415695703662201</v>
      </c>
      <c r="N30" s="8">
        <v>2.1516349473469414</v>
      </c>
      <c r="O30" s="8">
        <v>2.1617476315994719</v>
      </c>
      <c r="P30" s="8">
        <v>2.1719078454679894</v>
      </c>
      <c r="Q30" s="8">
        <v>2.1821158123416886</v>
      </c>
      <c r="R30" s="8">
        <v>2.1923717566596945</v>
      </c>
      <c r="S30" s="8">
        <v>2.1719078454679894</v>
      </c>
      <c r="T30" s="8">
        <v>2.1821158123416886</v>
      </c>
      <c r="U30" s="8">
        <v>2.1923717566596945</v>
      </c>
      <c r="V30" s="8">
        <v>2.2026759039159951</v>
      </c>
      <c r="W30" s="8">
        <v>2.2130284806644003</v>
      </c>
      <c r="X30" s="8">
        <v>2.2234297145235229</v>
      </c>
      <c r="Y30" s="8">
        <v>2.2338798341817832</v>
      </c>
      <c r="Z30" s="8">
        <v>2.2443790694024375</v>
      </c>
      <c r="AA30" s="8">
        <v>2.2549276510286287</v>
      </c>
      <c r="AB30" s="8">
        <v>2.2655258109884633</v>
      </c>
      <c r="AC30" s="8">
        <v>2.2761737823001087</v>
      </c>
      <c r="AD30" s="8">
        <v>2.286871799076919</v>
      </c>
      <c r="AE30" s="8">
        <v>2.2976200965325804</v>
      </c>
      <c r="AF30" s="8">
        <v>2.3084189109862834</v>
      </c>
      <c r="AG30" s="8">
        <v>2.3192684798679188</v>
      </c>
      <c r="AH30" s="8">
        <v>2.3301690417232979</v>
      </c>
      <c r="AI30" s="8">
        <v>2.3411208362193974</v>
      </c>
      <c r="AJ30" s="8">
        <v>2.3521241041496284</v>
      </c>
      <c r="AK30" s="8">
        <v>2.3631790874391316</v>
      </c>
      <c r="AL30" s="8">
        <v>2.3742860291500953</v>
      </c>
      <c r="AM30" s="8">
        <v>2.3854451734871005</v>
      </c>
      <c r="AN30" s="8">
        <v>2.3966567658024895</v>
      </c>
      <c r="AO30" s="8">
        <v>2.4079210526017611</v>
      </c>
      <c r="AP30" s="8">
        <v>2.4192382815489895</v>
      </c>
      <c r="AQ30" s="8">
        <v>2.4306087014722695</v>
      </c>
      <c r="AR30" s="8">
        <v>2.4420325623691888</v>
      </c>
      <c r="AS30" s="8">
        <v>2.4535101154123238</v>
      </c>
      <c r="AT30" s="8">
        <v>2.4650416129547614</v>
      </c>
      <c r="AU30" s="8">
        <v>2.4766273085356487</v>
      </c>
      <c r="AV30" s="8">
        <v>2.4882674568857661</v>
      </c>
      <c r="AW30" s="8">
        <v>2.4999623139331288</v>
      </c>
      <c r="AX30" s="8">
        <v>2.5117121368086144</v>
      </c>
      <c r="AY30" s="8">
        <v>2.5235171838516148</v>
      </c>
      <c r="AZ30" s="8">
        <v>2.5353777146157173</v>
      </c>
      <c r="BA30" s="8">
        <v>2.5472939898744111</v>
      </c>
      <c r="BB30" s="8">
        <v>2.5592662716268206</v>
      </c>
      <c r="BC30" s="8">
        <v>2.5712948231034667</v>
      </c>
      <c r="BD30" s="8">
        <v>2.5833799087720526</v>
      </c>
      <c r="BE30" s="8">
        <v>2.5955217943432811</v>
      </c>
      <c r="BF30" s="8">
        <v>2.6077207467766943</v>
      </c>
      <c r="BG30" s="8">
        <v>2.6199770342865447</v>
      </c>
      <c r="BH30" s="8">
        <v>0</v>
      </c>
    </row>
    <row r="31" spans="1:60" ht="15" hidden="1" customHeight="1" outlineLevel="1" x14ac:dyDescent="0.25">
      <c r="A31" s="135">
        <f>C31*1000000/$C$16</f>
        <v>55.432462315021723</v>
      </c>
      <c r="B31" s="139" t="s">
        <v>42</v>
      </c>
      <c r="C31" s="132">
        <f>SUMIF($D$15:$BG$15,1,D31:BG31)</f>
        <v>66.166752545396619</v>
      </c>
      <c r="D31" s="138">
        <f t="shared" ref="D31:AJ31" si="4">NPV($C$8,D30:D30)</f>
        <v>1.8730494292221855</v>
      </c>
      <c r="E31" s="8">
        <f t="shared" si="4"/>
        <v>1.8818527615395295</v>
      </c>
      <c r="F31" s="8">
        <f t="shared" si="4"/>
        <v>1.8906974695187653</v>
      </c>
      <c r="G31" s="8">
        <f t="shared" si="4"/>
        <v>1.8995837476255033</v>
      </c>
      <c r="H31" s="8">
        <f t="shared" si="4"/>
        <v>1.908511791239343</v>
      </c>
      <c r="I31" s="8">
        <f t="shared" si="4"/>
        <v>1.9174817966581676</v>
      </c>
      <c r="J31" s="8">
        <f t="shared" si="4"/>
        <v>1.9264939611024612</v>
      </c>
      <c r="K31" s="8">
        <f t="shared" si="4"/>
        <v>1.9355484827196425</v>
      </c>
      <c r="L31" s="8">
        <f t="shared" si="4"/>
        <v>1.944645560588425</v>
      </c>
      <c r="M31" s="8">
        <f t="shared" si="4"/>
        <v>1.9537853947231902</v>
      </c>
      <c r="N31" s="8">
        <f t="shared" si="4"/>
        <v>1.9629681860783894</v>
      </c>
      <c r="O31" s="8">
        <f t="shared" si="4"/>
        <v>1.9721941365529576</v>
      </c>
      <c r="P31" s="8">
        <f t="shared" si="4"/>
        <v>1.9814634489947567</v>
      </c>
      <c r="Q31" s="8">
        <f t="shared" si="4"/>
        <v>1.9907763272050316</v>
      </c>
      <c r="R31" s="8">
        <f t="shared" si="4"/>
        <v>2.0001329759428952</v>
      </c>
      <c r="S31" s="8">
        <f t="shared" si="4"/>
        <v>1.9814634489947567</v>
      </c>
      <c r="T31" s="8">
        <f t="shared" si="4"/>
        <v>1.9907763272050316</v>
      </c>
      <c r="U31" s="8">
        <f t="shared" si="4"/>
        <v>2.0001329759428952</v>
      </c>
      <c r="V31" s="8">
        <f t="shared" si="4"/>
        <v>2.009533600929827</v>
      </c>
      <c r="W31" s="8">
        <f t="shared" si="4"/>
        <v>2.0189784088541969</v>
      </c>
      <c r="X31" s="8">
        <f t="shared" si="4"/>
        <v>2.0284676073758119</v>
      </c>
      <c r="Y31" s="8">
        <f t="shared" si="4"/>
        <v>2.0380014051304776</v>
      </c>
      <c r="Z31" s="8">
        <f t="shared" si="4"/>
        <v>2.047580011734591</v>
      </c>
      <c r="AA31" s="8">
        <f t="shared" si="4"/>
        <v>2.0572036377897431</v>
      </c>
      <c r="AB31" s="8">
        <f t="shared" si="4"/>
        <v>2.0668724948873551</v>
      </c>
      <c r="AC31" s="8">
        <f t="shared" si="4"/>
        <v>2.0765867956133253</v>
      </c>
      <c r="AD31" s="8">
        <f t="shared" si="4"/>
        <v>2.0863467535527076</v>
      </c>
      <c r="AE31" s="8">
        <f t="shared" si="4"/>
        <v>2.0961525832944052</v>
      </c>
      <c r="AF31" s="8">
        <f t="shared" si="4"/>
        <v>2.1060045004358892</v>
      </c>
      <c r="AG31" s="8">
        <f t="shared" si="4"/>
        <v>2.1159027215879376</v>
      </c>
      <c r="AH31" s="8">
        <f t="shared" si="4"/>
        <v>2.1258474643794005</v>
      </c>
      <c r="AI31" s="8">
        <f t="shared" si="4"/>
        <v>2.1358389474619841</v>
      </c>
      <c r="AJ31" s="8">
        <f t="shared" si="4"/>
        <v>2.145877390515055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</row>
    <row r="32" spans="1:60" ht="15" hidden="1" customHeight="1" outlineLevel="1" x14ac:dyDescent="0.25">
      <c r="A32" s="135"/>
      <c r="B32" s="1"/>
      <c r="C32" s="132"/>
      <c r="D32" s="13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</row>
    <row r="33" spans="1:60" ht="15" hidden="1" customHeight="1" outlineLevel="1" x14ac:dyDescent="0.25">
      <c r="A33" s="135">
        <f>C33*1000000/$C$16</f>
        <v>-303.59817101984714</v>
      </c>
      <c r="B33" s="136" t="s">
        <v>43</v>
      </c>
      <c r="C33" s="137">
        <f>SUMIF($D$15:$BG$15,1,D33:BG33)</f>
        <v>-362.38882806513044</v>
      </c>
      <c r="D33" s="138">
        <v>-26.047891415606649</v>
      </c>
      <c r="E33" s="8">
        <v>-26.31342688192138</v>
      </c>
      <c r="F33" s="8">
        <v>-36.181421024805317</v>
      </c>
      <c r="G33" s="8">
        <v>-9.1913923670397537</v>
      </c>
      <c r="H33" s="8">
        <v>-9.1467613775353769</v>
      </c>
      <c r="I33" s="8">
        <v>-9.1019206223803302</v>
      </c>
      <c r="J33" s="8">
        <v>-9.0568691156760543</v>
      </c>
      <c r="K33" s="8">
        <v>-9.0116058668902674</v>
      </c>
      <c r="L33" s="8">
        <v>-8.9661298808351884</v>
      </c>
      <c r="M33" s="8">
        <v>-8.9204401576456505</v>
      </c>
      <c r="N33" s="8">
        <v>-8.8745356927571244</v>
      </c>
      <c r="O33" s="8">
        <v>-8.8284154768836185</v>
      </c>
      <c r="P33" s="8">
        <v>-8.7820784959955063</v>
      </c>
      <c r="Q33" s="8">
        <v>-8.7355237312972243</v>
      </c>
      <c r="R33" s="8">
        <v>-8.6887501592048562</v>
      </c>
      <c r="S33" s="8">
        <v>-8.7820784959955063</v>
      </c>
      <c r="T33" s="8">
        <v>-8.7355237312972243</v>
      </c>
      <c r="U33" s="8">
        <v>-8.6887501592048562</v>
      </c>
      <c r="V33" s="8">
        <v>-8.6417567513236566</v>
      </c>
      <c r="W33" s="8">
        <v>-8.5945424744254133</v>
      </c>
      <c r="X33" s="8">
        <v>-8.5471062904257487</v>
      </c>
      <c r="Y33" s="8">
        <v>-8.4994471563612848</v>
      </c>
      <c r="Z33" s="8">
        <v>-8.4515640243667232</v>
      </c>
      <c r="AA33" s="8">
        <v>-8.4034558416517822</v>
      </c>
      <c r="AB33" s="8">
        <v>-8.3551215504780814</v>
      </c>
      <c r="AC33" s="8">
        <v>-8.3065600881358659</v>
      </c>
      <c r="AD33" s="8">
        <v>-8.2577703869206402</v>
      </c>
      <c r="AE33" s="8">
        <v>-8.2087513741097027</v>
      </c>
      <c r="AF33" s="8">
        <v>-8.1595019719385551</v>
      </c>
      <c r="AG33" s="8">
        <v>-8.1100210975772029</v>
      </c>
      <c r="AH33" s="8">
        <v>-8.0603076631063519</v>
      </c>
      <c r="AI33" s="8">
        <v>-8.0103605754934879</v>
      </c>
      <c r="AJ33" s="8">
        <v>-7.9601787365688459</v>
      </c>
      <c r="AK33" s="8">
        <v>-7.9097610430012537</v>
      </c>
      <c r="AL33" s="8">
        <v>-7.859106386273897</v>
      </c>
      <c r="AM33" s="8">
        <v>-7.8082136526599211</v>
      </c>
      <c r="AN33" s="8">
        <v>-7.7570817231979596</v>
      </c>
      <c r="AO33" s="8">
        <v>-7.7057094736675236</v>
      </c>
      <c r="AP33" s="8">
        <v>-7.6540957745643006</v>
      </c>
      <c r="AQ33" s="8">
        <v>-7.6022394910752862</v>
      </c>
      <c r="AR33" s="8">
        <v>-7.5501394830538775</v>
      </c>
      <c r="AS33" s="8">
        <v>-7.4977946049947661</v>
      </c>
      <c r="AT33" s="8">
        <v>-7.4452037060087797</v>
      </c>
      <c r="AU33" s="8">
        <v>-7.392365629797558</v>
      </c>
      <c r="AV33" s="8">
        <v>-7.3392792146281423</v>
      </c>
      <c r="AW33" s="8">
        <v>-7.2859432933074331</v>
      </c>
      <c r="AX33" s="8">
        <v>-7.2323566931565146</v>
      </c>
      <c r="AY33" s="8">
        <v>-7.1785182359848871</v>
      </c>
      <c r="AZ33" s="8">
        <v>-7.1244267380645496</v>
      </c>
      <c r="BA33" s="8">
        <v>-7.0700810101039924</v>
      </c>
      <c r="BB33" s="8">
        <v>-7.0154798572220187</v>
      </c>
      <c r="BC33" s="8">
        <v>-6.9606220789214959</v>
      </c>
      <c r="BD33" s="8">
        <v>-6.9055064690629635</v>
      </c>
      <c r="BE33" s="8">
        <v>-6.8501318158380968</v>
      </c>
      <c r="BF33" s="8">
        <v>-6.7944969017430719</v>
      </c>
      <c r="BG33" s="8">
        <v>-6.7386005035518011</v>
      </c>
      <c r="BH33" s="8">
        <v>0</v>
      </c>
    </row>
    <row r="34" spans="1:60" ht="15" hidden="1" customHeight="1" outlineLevel="1" x14ac:dyDescent="0.25">
      <c r="A34" s="135">
        <f>C34*1000000/$C$16</f>
        <v>-264.92478491527118</v>
      </c>
      <c r="B34" s="139" t="s">
        <v>44</v>
      </c>
      <c r="C34" s="132">
        <f>SUMIF($D$15:$BG$15,1,D34:BG34)</f>
        <v>-316.2264845283791</v>
      </c>
      <c r="D34" s="138">
        <f t="shared" ref="D34:AJ34" si="5">NPV($C$8,D33:D33)</f>
        <v>-23.763874176847324</v>
      </c>
      <c r="E34" s="8">
        <f t="shared" si="5"/>
        <v>-24.006126085468726</v>
      </c>
      <c r="F34" s="8">
        <f t="shared" si="5"/>
        <v>-33.008842176678243</v>
      </c>
      <c r="G34" s="8">
        <f t="shared" si="5"/>
        <v>-8.3854423467651191</v>
      </c>
      <c r="H34" s="8">
        <f t="shared" si="5"/>
        <v>-8.3447248390771556</v>
      </c>
      <c r="I34" s="8">
        <f t="shared" si="5"/>
        <v>-8.3038159591030585</v>
      </c>
      <c r="J34" s="8">
        <f t="shared" si="5"/>
        <v>-8.2627148073930829</v>
      </c>
      <c r="K34" s="8">
        <f t="shared" si="5"/>
        <v>-8.221420480270071</v>
      </c>
      <c r="L34" s="8">
        <f t="shared" si="5"/>
        <v>-8.1799320698095812</v>
      </c>
      <c r="M34" s="8">
        <f t="shared" si="5"/>
        <v>-8.1382486638199261</v>
      </c>
      <c r="N34" s="8">
        <f t="shared" si="5"/>
        <v>-8.096369345822124</v>
      </c>
      <c r="O34" s="8">
        <f t="shared" si="5"/>
        <v>-8.054293195029727</v>
      </c>
      <c r="P34" s="8">
        <f t="shared" si="5"/>
        <v>-8.0120192863286057</v>
      </c>
      <c r="Q34" s="8">
        <f t="shared" si="5"/>
        <v>-7.9695466902565935</v>
      </c>
      <c r="R34" s="8">
        <f t="shared" si="5"/>
        <v>-7.9268744729830383</v>
      </c>
      <c r="S34" s="8">
        <f t="shared" si="5"/>
        <v>-8.0120192863286057</v>
      </c>
      <c r="T34" s="8">
        <f t="shared" si="5"/>
        <v>-7.9695466902565935</v>
      </c>
      <c r="U34" s="8">
        <f t="shared" si="5"/>
        <v>-7.9268744729830383</v>
      </c>
      <c r="V34" s="8">
        <f t="shared" si="5"/>
        <v>-7.8840016962883004</v>
      </c>
      <c r="W34" s="8">
        <f t="shared" si="5"/>
        <v>-7.840927417543095</v>
      </c>
      <c r="X34" s="8">
        <f t="shared" si="5"/>
        <v>-7.7976506896877869</v>
      </c>
      <c r="Y34" s="8">
        <f t="shared" si="5"/>
        <v>-7.7541705612115592</v>
      </c>
      <c r="Z34" s="8">
        <f t="shared" si="5"/>
        <v>-7.7104860761314971</v>
      </c>
      <c r="AA34" s="8">
        <f t="shared" si="5"/>
        <v>-7.666596273971555</v>
      </c>
      <c r="AB34" s="8">
        <f t="shared" si="5"/>
        <v>-7.6225001897414613</v>
      </c>
      <c r="AC34" s="8">
        <f t="shared" si="5"/>
        <v>-7.5781968539154878</v>
      </c>
      <c r="AD34" s="8">
        <f t="shared" si="5"/>
        <v>-7.5336852924111302</v>
      </c>
      <c r="AE34" s="8">
        <f t="shared" si="5"/>
        <v>-7.4889645265677016</v>
      </c>
      <c r="AF34" s="8">
        <f t="shared" si="5"/>
        <v>-7.4440335731248108</v>
      </c>
      <c r="AG34" s="8">
        <f t="shared" si="5"/>
        <v>-7.3988914442007383</v>
      </c>
      <c r="AH34" s="8">
        <f t="shared" si="5"/>
        <v>-7.3535371472707221</v>
      </c>
      <c r="AI34" s="8">
        <f t="shared" si="5"/>
        <v>-7.3079696851451343</v>
      </c>
      <c r="AJ34" s="8">
        <f t="shared" si="5"/>
        <v>-7.2621880559475587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</row>
    <row r="35" spans="1:60" ht="15" hidden="1" customHeight="1" outlineLevel="1" x14ac:dyDescent="0.25">
      <c r="A35" s="135"/>
      <c r="B35" s="1"/>
      <c r="C35" s="140"/>
      <c r="D35" s="13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</row>
    <row r="36" spans="1:60" ht="15" hidden="1" customHeight="1" outlineLevel="1" x14ac:dyDescent="0.25">
      <c r="A36" s="135">
        <f>C36*1000000/$C$16</f>
        <v>0</v>
      </c>
      <c r="B36" s="141" t="s">
        <v>45</v>
      </c>
      <c r="C36" s="137">
        <f>SUMIF($D$15:$BG$15,1,D36:BG36)</f>
        <v>0</v>
      </c>
      <c r="D36" s="138">
        <f>IF(D33&gt;0,D33*0.34,0)</f>
        <v>0</v>
      </c>
      <c r="E36" s="8">
        <f t="shared" ref="E36:BG36" si="6">IF(E33&gt;0,E33*0.34,0)</f>
        <v>0</v>
      </c>
      <c r="F36" s="8">
        <f t="shared" si="6"/>
        <v>0</v>
      </c>
      <c r="G36" s="8">
        <f t="shared" si="6"/>
        <v>0</v>
      </c>
      <c r="H36" s="8">
        <f t="shared" si="6"/>
        <v>0</v>
      </c>
      <c r="I36" s="8">
        <f t="shared" si="6"/>
        <v>0</v>
      </c>
      <c r="J36" s="8">
        <f t="shared" si="6"/>
        <v>0</v>
      </c>
      <c r="K36" s="8">
        <f t="shared" si="6"/>
        <v>0</v>
      </c>
      <c r="L36" s="8">
        <f t="shared" si="6"/>
        <v>0</v>
      </c>
      <c r="M36" s="8">
        <f t="shared" si="6"/>
        <v>0</v>
      </c>
      <c r="N36" s="8">
        <f t="shared" si="6"/>
        <v>0</v>
      </c>
      <c r="O36" s="8">
        <f t="shared" si="6"/>
        <v>0</v>
      </c>
      <c r="P36" s="8">
        <f>IF(P33&gt;0,P33*0.34,0)</f>
        <v>0</v>
      </c>
      <c r="Q36" s="8">
        <f>IF(Q33&gt;0,Q33*0.34,0)</f>
        <v>0</v>
      </c>
      <c r="R36" s="8">
        <f>IF(R33&gt;0,R33*0.34,0)</f>
        <v>0</v>
      </c>
      <c r="S36" s="8">
        <f t="shared" si="6"/>
        <v>0</v>
      </c>
      <c r="T36" s="8">
        <f t="shared" si="6"/>
        <v>0</v>
      </c>
      <c r="U36" s="8">
        <f t="shared" si="6"/>
        <v>0</v>
      </c>
      <c r="V36" s="8">
        <f t="shared" si="6"/>
        <v>0</v>
      </c>
      <c r="W36" s="8">
        <f t="shared" si="6"/>
        <v>0</v>
      </c>
      <c r="X36" s="8">
        <f t="shared" si="6"/>
        <v>0</v>
      </c>
      <c r="Y36" s="8">
        <f t="shared" si="6"/>
        <v>0</v>
      </c>
      <c r="Z36" s="8">
        <f t="shared" si="6"/>
        <v>0</v>
      </c>
      <c r="AA36" s="8">
        <f t="shared" si="6"/>
        <v>0</v>
      </c>
      <c r="AB36" s="8">
        <f t="shared" si="6"/>
        <v>0</v>
      </c>
      <c r="AC36" s="8">
        <f t="shared" si="6"/>
        <v>0</v>
      </c>
      <c r="AD36" s="8">
        <f t="shared" si="6"/>
        <v>0</v>
      </c>
      <c r="AE36" s="8">
        <f t="shared" si="6"/>
        <v>0</v>
      </c>
      <c r="AF36" s="8">
        <f t="shared" si="6"/>
        <v>0</v>
      </c>
      <c r="AG36" s="8">
        <f t="shared" si="6"/>
        <v>0</v>
      </c>
      <c r="AH36" s="8">
        <f t="shared" si="6"/>
        <v>0</v>
      </c>
      <c r="AI36" s="8">
        <f t="shared" si="6"/>
        <v>0</v>
      </c>
      <c r="AJ36" s="8">
        <f t="shared" si="6"/>
        <v>0</v>
      </c>
      <c r="AK36" s="8">
        <f t="shared" si="6"/>
        <v>0</v>
      </c>
      <c r="AL36" s="8">
        <f t="shared" si="6"/>
        <v>0</v>
      </c>
      <c r="AM36" s="8">
        <f t="shared" si="6"/>
        <v>0</v>
      </c>
      <c r="AN36" s="8">
        <f t="shared" si="6"/>
        <v>0</v>
      </c>
      <c r="AO36" s="8">
        <f t="shared" si="6"/>
        <v>0</v>
      </c>
      <c r="AP36" s="8">
        <f t="shared" si="6"/>
        <v>0</v>
      </c>
      <c r="AQ36" s="8">
        <f t="shared" si="6"/>
        <v>0</v>
      </c>
      <c r="AR36" s="8">
        <f t="shared" si="6"/>
        <v>0</v>
      </c>
      <c r="AS36" s="8">
        <f t="shared" si="6"/>
        <v>0</v>
      </c>
      <c r="AT36" s="8">
        <f t="shared" si="6"/>
        <v>0</v>
      </c>
      <c r="AU36" s="8">
        <f t="shared" si="6"/>
        <v>0</v>
      </c>
      <c r="AV36" s="8">
        <f t="shared" si="6"/>
        <v>0</v>
      </c>
      <c r="AW36" s="8">
        <f t="shared" si="6"/>
        <v>0</v>
      </c>
      <c r="AX36" s="8">
        <f t="shared" si="6"/>
        <v>0</v>
      </c>
      <c r="AY36" s="8">
        <f t="shared" si="6"/>
        <v>0</v>
      </c>
      <c r="AZ36" s="8">
        <f t="shared" si="6"/>
        <v>0</v>
      </c>
      <c r="BA36" s="8">
        <f t="shared" si="6"/>
        <v>0</v>
      </c>
      <c r="BB36" s="8">
        <f t="shared" si="6"/>
        <v>0</v>
      </c>
      <c r="BC36" s="8">
        <f t="shared" si="6"/>
        <v>0</v>
      </c>
      <c r="BD36" s="8">
        <f t="shared" si="6"/>
        <v>0</v>
      </c>
      <c r="BE36" s="8">
        <f t="shared" si="6"/>
        <v>0</v>
      </c>
      <c r="BF36" s="8">
        <f t="shared" si="6"/>
        <v>0</v>
      </c>
      <c r="BG36" s="8">
        <f t="shared" si="6"/>
        <v>0</v>
      </c>
      <c r="BH36" s="8">
        <f>BH33*0.34</f>
        <v>0</v>
      </c>
    </row>
    <row r="37" spans="1:60" ht="15" hidden="1" customHeight="1" outlineLevel="1" x14ac:dyDescent="0.25">
      <c r="A37" s="135">
        <f>C37*1000000/$C$16</f>
        <v>0</v>
      </c>
      <c r="B37" s="139" t="s">
        <v>46</v>
      </c>
      <c r="C37" s="132">
        <f>SUMIF($D$15:$BG$15,1,D37:BG37)</f>
        <v>0</v>
      </c>
      <c r="D37" s="138">
        <f t="shared" ref="D37:AJ37" si="7">NPV($C$8,D36:D36)</f>
        <v>0</v>
      </c>
      <c r="E37" s="8">
        <f t="shared" si="7"/>
        <v>0</v>
      </c>
      <c r="F37" s="8">
        <f t="shared" si="7"/>
        <v>0</v>
      </c>
      <c r="G37" s="8">
        <f t="shared" si="7"/>
        <v>0</v>
      </c>
      <c r="H37" s="8">
        <f t="shared" si="7"/>
        <v>0</v>
      </c>
      <c r="I37" s="8">
        <f t="shared" si="7"/>
        <v>0</v>
      </c>
      <c r="J37" s="8">
        <f t="shared" si="7"/>
        <v>0</v>
      </c>
      <c r="K37" s="8">
        <f t="shared" si="7"/>
        <v>0</v>
      </c>
      <c r="L37" s="8">
        <f t="shared" si="7"/>
        <v>0</v>
      </c>
      <c r="M37" s="8">
        <f t="shared" si="7"/>
        <v>0</v>
      </c>
      <c r="N37" s="8">
        <f t="shared" si="7"/>
        <v>0</v>
      </c>
      <c r="O37" s="8">
        <f t="shared" si="7"/>
        <v>0</v>
      </c>
      <c r="P37" s="8">
        <f t="shared" si="7"/>
        <v>0</v>
      </c>
      <c r="Q37" s="8">
        <f t="shared" si="7"/>
        <v>0</v>
      </c>
      <c r="R37" s="8">
        <f t="shared" si="7"/>
        <v>0</v>
      </c>
      <c r="S37" s="8">
        <f t="shared" si="7"/>
        <v>0</v>
      </c>
      <c r="T37" s="8">
        <f t="shared" si="7"/>
        <v>0</v>
      </c>
      <c r="U37" s="8">
        <f t="shared" si="7"/>
        <v>0</v>
      </c>
      <c r="V37" s="8">
        <f t="shared" si="7"/>
        <v>0</v>
      </c>
      <c r="W37" s="8">
        <f t="shared" si="7"/>
        <v>0</v>
      </c>
      <c r="X37" s="8">
        <f t="shared" si="7"/>
        <v>0</v>
      </c>
      <c r="Y37" s="8">
        <f t="shared" si="7"/>
        <v>0</v>
      </c>
      <c r="Z37" s="8">
        <f t="shared" si="7"/>
        <v>0</v>
      </c>
      <c r="AA37" s="8">
        <f t="shared" si="7"/>
        <v>0</v>
      </c>
      <c r="AB37" s="8">
        <f t="shared" si="7"/>
        <v>0</v>
      </c>
      <c r="AC37" s="8">
        <f t="shared" si="7"/>
        <v>0</v>
      </c>
      <c r="AD37" s="8">
        <f t="shared" si="7"/>
        <v>0</v>
      </c>
      <c r="AE37" s="8">
        <f t="shared" si="7"/>
        <v>0</v>
      </c>
      <c r="AF37" s="8">
        <f t="shared" si="7"/>
        <v>0</v>
      </c>
      <c r="AG37" s="8">
        <f t="shared" si="7"/>
        <v>0</v>
      </c>
      <c r="AH37" s="8">
        <f t="shared" si="7"/>
        <v>0</v>
      </c>
      <c r="AI37" s="8">
        <f t="shared" si="7"/>
        <v>0</v>
      </c>
      <c r="AJ37" s="8">
        <f t="shared" si="7"/>
        <v>0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</row>
    <row r="38" spans="1:60" ht="15" hidden="1" customHeight="1" outlineLevel="1" x14ac:dyDescent="0.25">
      <c r="A38" s="135"/>
      <c r="B38" s="1"/>
      <c r="C38" s="132"/>
      <c r="D38" s="13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</row>
    <row r="39" spans="1:60" ht="15" hidden="1" customHeight="1" outlineLevel="1" x14ac:dyDescent="0.25">
      <c r="A39" s="135">
        <f>C39*1000000/$C$16</f>
        <v>-303.59817101984714</v>
      </c>
      <c r="B39" s="136" t="s">
        <v>47</v>
      </c>
      <c r="C39" s="137">
        <f>SUMIF($D$15:$BG$15,1,D39:BG39)</f>
        <v>-362.38882806513044</v>
      </c>
      <c r="D39" s="138">
        <v>-26.047891415606649</v>
      </c>
      <c r="E39" s="8">
        <v>-26.31342688192138</v>
      </c>
      <c r="F39" s="8">
        <v>-36.181421024805317</v>
      </c>
      <c r="G39" s="8">
        <v>-9.1913923670397537</v>
      </c>
      <c r="H39" s="8">
        <v>-9.1467613775353769</v>
      </c>
      <c r="I39" s="8">
        <v>-9.1019206223803302</v>
      </c>
      <c r="J39" s="8">
        <v>-9.0568691156760543</v>
      </c>
      <c r="K39" s="8">
        <v>-9.0116058668902674</v>
      </c>
      <c r="L39" s="8">
        <v>-8.9661298808351884</v>
      </c>
      <c r="M39" s="8">
        <v>-8.9204401576456505</v>
      </c>
      <c r="N39" s="8">
        <v>-8.8745356927571244</v>
      </c>
      <c r="O39" s="8">
        <v>-8.8284154768836185</v>
      </c>
      <c r="P39" s="8">
        <v>-8.7820784959955063</v>
      </c>
      <c r="Q39" s="8">
        <v>-8.7355237312972243</v>
      </c>
      <c r="R39" s="8">
        <v>-8.6887501592048562</v>
      </c>
      <c r="S39" s="8">
        <v>-8.7820784959955063</v>
      </c>
      <c r="T39" s="8">
        <v>-8.7355237312972243</v>
      </c>
      <c r="U39" s="8">
        <v>-8.6887501592048562</v>
      </c>
      <c r="V39" s="8">
        <v>-8.6417567513236566</v>
      </c>
      <c r="W39" s="8">
        <v>-8.5945424744254133</v>
      </c>
      <c r="X39" s="8">
        <v>-8.5471062904257487</v>
      </c>
      <c r="Y39" s="8">
        <v>-8.4994471563612848</v>
      </c>
      <c r="Z39" s="8">
        <v>-8.4515640243667232</v>
      </c>
      <c r="AA39" s="8">
        <v>-8.4034558416517822</v>
      </c>
      <c r="AB39" s="8">
        <v>-8.3551215504780814</v>
      </c>
      <c r="AC39" s="8">
        <v>-8.3065600881358659</v>
      </c>
      <c r="AD39" s="8">
        <v>-8.2577703869206402</v>
      </c>
      <c r="AE39" s="8">
        <v>-8.2087513741097027</v>
      </c>
      <c r="AF39" s="8">
        <v>-8.1595019719385551</v>
      </c>
      <c r="AG39" s="8">
        <v>-8.1100210975772029</v>
      </c>
      <c r="AH39" s="8">
        <v>-8.0603076631063519</v>
      </c>
      <c r="AI39" s="8">
        <v>-8.0103605754934879</v>
      </c>
      <c r="AJ39" s="8">
        <v>-7.9601787365688459</v>
      </c>
      <c r="AK39" s="8">
        <v>-7.9097610430012537</v>
      </c>
      <c r="AL39" s="8">
        <v>-7.859106386273897</v>
      </c>
      <c r="AM39" s="8">
        <v>-7.8082136526599211</v>
      </c>
      <c r="AN39" s="8">
        <v>-7.7570817231979596</v>
      </c>
      <c r="AO39" s="8">
        <v>-7.7057094736675236</v>
      </c>
      <c r="AP39" s="8">
        <v>-7.6540957745643006</v>
      </c>
      <c r="AQ39" s="8">
        <v>-7.6022394910752862</v>
      </c>
      <c r="AR39" s="8">
        <v>-7.5501394830538775</v>
      </c>
      <c r="AS39" s="8">
        <v>-7.4977946049947661</v>
      </c>
      <c r="AT39" s="8">
        <v>-7.4452037060087797</v>
      </c>
      <c r="AU39" s="8">
        <v>-7.392365629797558</v>
      </c>
      <c r="AV39" s="8">
        <v>-7.3392792146281423</v>
      </c>
      <c r="AW39" s="8">
        <v>-7.2859432933074331</v>
      </c>
      <c r="AX39" s="8">
        <v>-7.2323566931565146</v>
      </c>
      <c r="AY39" s="8">
        <v>-7.1785182359848871</v>
      </c>
      <c r="AZ39" s="8">
        <v>-7.1244267380645496</v>
      </c>
      <c r="BA39" s="8">
        <v>-7.0700810101039924</v>
      </c>
      <c r="BB39" s="8">
        <v>-7.0154798572220187</v>
      </c>
      <c r="BC39" s="8">
        <v>-6.9606220789214959</v>
      </c>
      <c r="BD39" s="8">
        <v>-6.9055064690629635</v>
      </c>
      <c r="BE39" s="8">
        <v>-6.8501318158380968</v>
      </c>
      <c r="BF39" s="8">
        <v>-6.7944969017430719</v>
      </c>
      <c r="BG39" s="8">
        <v>-6.7386005035518011</v>
      </c>
      <c r="BH39" s="8">
        <v>0</v>
      </c>
    </row>
    <row r="40" spans="1:60" ht="15" hidden="1" customHeight="1" outlineLevel="1" x14ac:dyDescent="0.25">
      <c r="A40" s="135">
        <f>C40*1000000/$C$16</f>
        <v>-270.97028713967927</v>
      </c>
      <c r="B40" s="139" t="s">
        <v>48</v>
      </c>
      <c r="C40" s="132">
        <f>SUMIF($D$15:$BG$15,1,D40:BG40)</f>
        <v>-323.44267578147185</v>
      </c>
      <c r="D40" s="138">
        <f t="shared" ref="D40:AK40" si="8">NPV($C$8,D39:D39)</f>
        <v>-23.763874176847324</v>
      </c>
      <c r="E40" s="8">
        <f t="shared" si="8"/>
        <v>-24.006126085468726</v>
      </c>
      <c r="F40" s="8">
        <f t="shared" si="8"/>
        <v>-33.008842176678243</v>
      </c>
      <c r="G40" s="8">
        <f t="shared" si="8"/>
        <v>-8.3854423467651191</v>
      </c>
      <c r="H40" s="8">
        <f t="shared" si="8"/>
        <v>-8.3447248390771556</v>
      </c>
      <c r="I40" s="8">
        <f t="shared" si="8"/>
        <v>-8.3038159591030585</v>
      </c>
      <c r="J40" s="8">
        <f t="shared" si="8"/>
        <v>-8.2627148073930829</v>
      </c>
      <c r="K40" s="8">
        <f t="shared" si="8"/>
        <v>-8.221420480270071</v>
      </c>
      <c r="L40" s="8">
        <f t="shared" si="8"/>
        <v>-8.1799320698095812</v>
      </c>
      <c r="M40" s="8">
        <f t="shared" si="8"/>
        <v>-8.1382486638199261</v>
      </c>
      <c r="N40" s="8">
        <f t="shared" si="8"/>
        <v>-8.096369345822124</v>
      </c>
      <c r="O40" s="8">
        <f t="shared" si="8"/>
        <v>-8.054293195029727</v>
      </c>
      <c r="P40" s="8">
        <f t="shared" si="8"/>
        <v>-8.0120192863286057</v>
      </c>
      <c r="Q40" s="8">
        <f t="shared" si="8"/>
        <v>-7.9695466902565935</v>
      </c>
      <c r="R40" s="8">
        <f t="shared" si="8"/>
        <v>-7.9268744729830383</v>
      </c>
      <c r="S40" s="8">
        <f t="shared" si="8"/>
        <v>-8.0120192863286057</v>
      </c>
      <c r="T40" s="8">
        <f t="shared" si="8"/>
        <v>-7.9695466902565935</v>
      </c>
      <c r="U40" s="8">
        <f t="shared" si="8"/>
        <v>-7.9268744729830383</v>
      </c>
      <c r="V40" s="8">
        <f t="shared" si="8"/>
        <v>-7.8840016962883004</v>
      </c>
      <c r="W40" s="8">
        <f t="shared" si="8"/>
        <v>-7.840927417543095</v>
      </c>
      <c r="X40" s="8">
        <f t="shared" si="8"/>
        <v>-7.7976506896877869</v>
      </c>
      <c r="Y40" s="8">
        <f t="shared" si="8"/>
        <v>-7.7541705612115592</v>
      </c>
      <c r="Z40" s="8">
        <f t="shared" si="8"/>
        <v>-7.7104860761314971</v>
      </c>
      <c r="AA40" s="8">
        <f t="shared" si="8"/>
        <v>-7.666596273971555</v>
      </c>
      <c r="AB40" s="8">
        <f t="shared" si="8"/>
        <v>-7.6225001897414613</v>
      </c>
      <c r="AC40" s="8">
        <f t="shared" si="8"/>
        <v>-7.5781968539154878</v>
      </c>
      <c r="AD40" s="8">
        <f t="shared" si="8"/>
        <v>-7.5336852924111302</v>
      </c>
      <c r="AE40" s="8">
        <f t="shared" si="8"/>
        <v>-7.4889645265677016</v>
      </c>
      <c r="AF40" s="8">
        <f t="shared" si="8"/>
        <v>-7.4440335731248108</v>
      </c>
      <c r="AG40" s="8">
        <f t="shared" si="8"/>
        <v>-7.3988914442007383</v>
      </c>
      <c r="AH40" s="8">
        <f t="shared" si="8"/>
        <v>-7.3535371472707221</v>
      </c>
      <c r="AI40" s="8">
        <f t="shared" si="8"/>
        <v>-7.3079696851451343</v>
      </c>
      <c r="AJ40" s="8">
        <f t="shared" si="8"/>
        <v>-7.2621880559475587</v>
      </c>
      <c r="AK40" s="8">
        <f t="shared" si="8"/>
        <v>-7.2161912530927506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</row>
    <row r="41" spans="1:60" ht="15" hidden="1" customHeight="1" outlineLevel="1" x14ac:dyDescent="0.25">
      <c r="A41" s="105"/>
      <c r="B41" s="1"/>
      <c r="C41" s="132"/>
      <c r="D41" s="13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</row>
    <row r="42" spans="1:60" ht="15" hidden="1" customHeight="1" outlineLevel="1" x14ac:dyDescent="0.25">
      <c r="A42" s="135">
        <f>A24+A27+A30</f>
        <v>295.20570860743635</v>
      </c>
      <c r="B42" s="104" t="s">
        <v>49</v>
      </c>
      <c r="C42" s="132"/>
      <c r="D42" s="138">
        <v>-26.047891415606649</v>
      </c>
      <c r="E42" s="8">
        <v>-52.36131829752803</v>
      </c>
      <c r="F42" s="8">
        <v>-88.542739322333347</v>
      </c>
      <c r="G42" s="8">
        <v>-97.7341316893731</v>
      </c>
      <c r="H42" s="8">
        <v>-106.88089306690847</v>
      </c>
      <c r="I42" s="8">
        <v>-115.9828136892888</v>
      </c>
      <c r="J42" s="8">
        <v>-125.03968280496485</v>
      </c>
      <c r="K42" s="8">
        <v>-134.05128867185513</v>
      </c>
      <c r="L42" s="8">
        <v>-143.01741855269032</v>
      </c>
      <c r="M42" s="8">
        <v>-151.93785871033597</v>
      </c>
      <c r="N42" s="8">
        <v>-160.81239440309309</v>
      </c>
      <c r="O42" s="8">
        <v>-169.6408098799767</v>
      </c>
      <c r="P42" s="8">
        <v>-178.42288837597221</v>
      </c>
      <c r="Q42" s="8">
        <v>-187.15841210726944</v>
      </c>
      <c r="R42" s="8">
        <v>-195.8471622664743</v>
      </c>
      <c r="S42" s="8">
        <v>-178.42288837597221</v>
      </c>
      <c r="T42" s="8">
        <v>-187.15841210726944</v>
      </c>
      <c r="U42" s="8">
        <v>-195.8471622664743</v>
      </c>
      <c r="V42" s="8">
        <v>-204.48891901779797</v>
      </c>
      <c r="W42" s="8">
        <v>-213.08346149222339</v>
      </c>
      <c r="X42" s="8">
        <v>-221.63056778264914</v>
      </c>
      <c r="Y42" s="8">
        <v>-230.13001493901044</v>
      </c>
      <c r="Z42" s="8">
        <v>-238.58157896337715</v>
      </c>
      <c r="AA42" s="8">
        <v>-246.98503480502893</v>
      </c>
      <c r="AB42" s="8">
        <v>-255.34015635550702</v>
      </c>
      <c r="AC42" s="8">
        <v>-263.6467164436429</v>
      </c>
      <c r="AD42" s="8">
        <v>-271.90448683056354</v>
      </c>
      <c r="AE42" s="8">
        <v>-280.11323820467322</v>
      </c>
      <c r="AF42" s="8">
        <v>-288.27274017661176</v>
      </c>
      <c r="AG42" s="8">
        <v>-296.38276127418897</v>
      </c>
      <c r="AH42" s="8">
        <v>-304.44306893729532</v>
      </c>
      <c r="AI42" s="8">
        <v>-312.45342951278883</v>
      </c>
      <c r="AJ42" s="8">
        <v>-320.41360824935765</v>
      </c>
      <c r="AK42" s="8">
        <v>-328.3233692923589</v>
      </c>
      <c r="AL42" s="8">
        <v>-336.18247567863278</v>
      </c>
      <c r="AM42" s="8">
        <v>-343.99068933129269</v>
      </c>
      <c r="AN42" s="8">
        <v>-351.74777105449067</v>
      </c>
      <c r="AO42" s="8">
        <v>-359.4534805281582</v>
      </c>
      <c r="AP42" s="8">
        <v>-367.10757630272252</v>
      </c>
      <c r="AQ42" s="8">
        <v>-374.70981579379782</v>
      </c>
      <c r="AR42" s="8">
        <v>-382.25995527685171</v>
      </c>
      <c r="AS42" s="8">
        <v>-389.75774988184651</v>
      </c>
      <c r="AT42" s="8">
        <v>-397.20295358785529</v>
      </c>
      <c r="AU42" s="8">
        <v>-404.59531921765284</v>
      </c>
      <c r="AV42" s="8">
        <v>-411.93459843228101</v>
      </c>
      <c r="AW42" s="8">
        <v>-419.22054172558842</v>
      </c>
      <c r="AX42" s="8">
        <v>-426.45289841874495</v>
      </c>
      <c r="AY42" s="8">
        <v>-433.63141665472983</v>
      </c>
      <c r="AZ42" s="8">
        <v>-440.75584339279436</v>
      </c>
      <c r="BA42" s="8">
        <v>-447.82592440289835</v>
      </c>
      <c r="BB42" s="8">
        <v>-454.84140426012038</v>
      </c>
      <c r="BC42" s="8">
        <v>-461.8020263390419</v>
      </c>
      <c r="BD42" s="8">
        <v>-468.70753280810487</v>
      </c>
      <c r="BE42" s="8">
        <v>-475.55766462394297</v>
      </c>
      <c r="BF42" s="8">
        <v>-482.35216152568603</v>
      </c>
      <c r="BG42" s="8">
        <v>-489.09076202923785</v>
      </c>
      <c r="BH42" s="8">
        <v>0</v>
      </c>
    </row>
    <row r="43" spans="1:60" ht="15" hidden="1" customHeight="1" outlineLevel="1" x14ac:dyDescent="0.25">
      <c r="A43" s="135">
        <f>A18+A21+A36</f>
        <v>598.80387962728366</v>
      </c>
      <c r="B43" s="104" t="s">
        <v>50</v>
      </c>
      <c r="C43" s="140">
        <v>35</v>
      </c>
      <c r="D43" s="127" t="s">
        <v>3</v>
      </c>
    </row>
    <row r="44" spans="1:60" ht="15" hidden="1" customHeight="1" outlineLevel="1" x14ac:dyDescent="0.25">
      <c r="A44" s="135">
        <f>A42-A43</f>
        <v>-303.59817101984731</v>
      </c>
      <c r="B44" s="104" t="s">
        <v>30</v>
      </c>
      <c r="C44" s="1"/>
      <c r="F44" s="142"/>
      <c r="G44" s="142"/>
    </row>
    <row r="45" spans="1:60" ht="15" hidden="1" customHeight="1" outlineLevel="1" x14ac:dyDescent="0.25">
      <c r="A45" s="135"/>
      <c r="B45" s="104" t="s">
        <v>397</v>
      </c>
      <c r="C45" s="17">
        <v>160</v>
      </c>
      <c r="D45" s="1" t="s">
        <v>8</v>
      </c>
      <c r="F45" s="142"/>
      <c r="G45" s="142"/>
    </row>
    <row r="46" spans="1:60" ht="15" hidden="1" customHeight="1" outlineLevel="1" x14ac:dyDescent="0.25">
      <c r="B46" s="143" t="s">
        <v>51</v>
      </c>
      <c r="C46" s="137">
        <f>F46*$C$16/1000000</f>
        <v>275.10749376020374</v>
      </c>
      <c r="D46" s="144" t="s">
        <v>52</v>
      </c>
      <c r="E46" s="144"/>
      <c r="F46" s="145">
        <f>A27</f>
        <v>230.47656404143015</v>
      </c>
      <c r="G46" s="144" t="s">
        <v>8</v>
      </c>
      <c r="H46" s="144"/>
    </row>
    <row r="47" spans="1:60" ht="15" hidden="1" customHeight="1" outlineLevel="1" x14ac:dyDescent="0.25">
      <c r="B47" s="146" t="s">
        <v>53</v>
      </c>
      <c r="C47" s="147">
        <f>F47*$C$16/1000000</f>
        <v>0</v>
      </c>
      <c r="D47" s="148" t="s">
        <v>52</v>
      </c>
      <c r="E47" s="148"/>
      <c r="F47" s="149">
        <f>A24</f>
        <v>0</v>
      </c>
      <c r="G47" s="148" t="s">
        <v>8</v>
      </c>
      <c r="H47" s="148"/>
    </row>
    <row r="48" spans="1:60" ht="15" hidden="1" customHeight="1" outlineLevel="1" thickBot="1" x14ac:dyDescent="0.3">
      <c r="B48" s="143" t="s">
        <v>54</v>
      </c>
      <c r="C48" s="137">
        <f>F48*$C$16/1000000</f>
        <v>77.263702749381565</v>
      </c>
      <c r="D48" s="144" t="s">
        <v>52</v>
      </c>
      <c r="E48" s="144"/>
      <c r="F48" s="145">
        <f>A30</f>
        <v>64.72914456600617</v>
      </c>
      <c r="G48" s="144" t="s">
        <v>8</v>
      </c>
      <c r="H48" s="144"/>
    </row>
    <row r="49" spans="1:8" s="118" customFormat="1" ht="15" hidden="1" customHeight="1" outlineLevel="1" thickTop="1" x14ac:dyDescent="0.25">
      <c r="B49" s="150" t="s">
        <v>55</v>
      </c>
      <c r="C49" s="151">
        <f>C46+C47+C48</f>
        <v>352.37119650958527</v>
      </c>
      <c r="D49" s="152" t="s">
        <v>52</v>
      </c>
      <c r="E49" s="152"/>
      <c r="F49" s="153">
        <f>F46+F47+F48</f>
        <v>295.20570860743635</v>
      </c>
      <c r="G49" s="152" t="s">
        <v>8</v>
      </c>
      <c r="H49" s="152"/>
    </row>
    <row r="50" spans="1:8" ht="15" hidden="1" customHeight="1" outlineLevel="1" x14ac:dyDescent="0.25">
      <c r="B50" s="146" t="s">
        <v>56</v>
      </c>
      <c r="C50" s="147">
        <f>F50*$C$16/1000000</f>
        <v>714.760024574716</v>
      </c>
      <c r="D50" s="148" t="s">
        <v>52</v>
      </c>
      <c r="E50" s="148"/>
      <c r="F50" s="149">
        <f>A18+A21</f>
        <v>598.80387962728366</v>
      </c>
      <c r="G50" s="148" t="s">
        <v>8</v>
      </c>
      <c r="H50" s="148"/>
    </row>
    <row r="51" spans="1:8" ht="15" hidden="1" customHeight="1" outlineLevel="1" x14ac:dyDescent="0.25">
      <c r="B51" s="143" t="s">
        <v>57</v>
      </c>
      <c r="C51" s="154">
        <f>F51*$C$16/1000000</f>
        <v>0</v>
      </c>
      <c r="D51" s="144" t="s">
        <v>52</v>
      </c>
      <c r="E51" s="144"/>
      <c r="F51" s="155">
        <f>A36</f>
        <v>0</v>
      </c>
      <c r="G51" s="144" t="s">
        <v>8</v>
      </c>
      <c r="H51" s="144"/>
    </row>
    <row r="52" spans="1:8" s="127" customFormat="1" ht="15" hidden="1" customHeight="1" outlineLevel="1" thickBot="1" x14ac:dyDescent="0.3">
      <c r="B52" s="156"/>
      <c r="C52" s="157"/>
      <c r="D52" s="158"/>
      <c r="E52" s="158"/>
      <c r="F52" s="158"/>
      <c r="G52" s="158"/>
      <c r="H52" s="158"/>
    </row>
    <row r="53" spans="1:8" s="131" customFormat="1" ht="15" hidden="1" customHeight="1" outlineLevel="1" thickTop="1" x14ac:dyDescent="0.25">
      <c r="B53" s="159" t="s">
        <v>58</v>
      </c>
      <c r="C53" s="160">
        <f>C49-C50-C51</f>
        <v>-362.38882806513072</v>
      </c>
      <c r="D53" s="161" t="s">
        <v>52</v>
      </c>
      <c r="E53" s="161"/>
      <c r="F53" s="162">
        <f>F49-F50-F51</f>
        <v>-303.59817101984731</v>
      </c>
      <c r="G53" s="161" t="s">
        <v>8</v>
      </c>
      <c r="H53" s="161"/>
    </row>
    <row r="54" spans="1:8" ht="15" customHeight="1" thickTop="1" thickBot="1" x14ac:dyDescent="0.3">
      <c r="A54" s="135"/>
      <c r="C54" s="17"/>
      <c r="F54" s="142"/>
      <c r="G54" s="142"/>
    </row>
    <row r="55" spans="1:8" s="163" customFormat="1" ht="25.15" customHeight="1" collapsed="1" thickTop="1" thickBot="1" x14ac:dyDescent="0.3">
      <c r="B55" s="789" t="s">
        <v>59</v>
      </c>
      <c r="C55" s="790"/>
      <c r="D55" s="790"/>
      <c r="E55" s="790"/>
      <c r="F55" s="790"/>
      <c r="G55" s="790"/>
      <c r="H55" s="791"/>
    </row>
    <row r="56" spans="1:8" s="127" customFormat="1" ht="15" hidden="1" customHeight="1" outlineLevel="1" thickTop="1" x14ac:dyDescent="0.25">
      <c r="B56" s="164"/>
      <c r="C56" s="165"/>
      <c r="D56" s="166"/>
      <c r="E56" s="166"/>
      <c r="F56" s="167"/>
      <c r="G56" s="166"/>
      <c r="H56" s="18"/>
    </row>
    <row r="57" spans="1:8" s="131" customFormat="1" ht="15" hidden="1" customHeight="1" outlineLevel="1" x14ac:dyDescent="0.25">
      <c r="B57" s="168" t="s">
        <v>60</v>
      </c>
      <c r="C57" s="169">
        <f>C58*C59</f>
        <v>3175350.1750524198</v>
      </c>
      <c r="D57" s="170" t="s">
        <v>9</v>
      </c>
      <c r="E57" s="170"/>
      <c r="F57" s="171">
        <v>100.11218185342608</v>
      </c>
      <c r="G57" s="170" t="s">
        <v>8</v>
      </c>
      <c r="H57" s="19">
        <f>F57/$F$99</f>
        <v>0.26351627017367485</v>
      </c>
    </row>
    <row r="58" spans="1:8" s="127" customFormat="1" ht="15" hidden="1" customHeight="1" outlineLevel="1" x14ac:dyDescent="0.25">
      <c r="B58" s="172" t="s">
        <v>61</v>
      </c>
      <c r="C58" s="173">
        <v>19437.018907799997</v>
      </c>
      <c r="D58" s="166" t="s">
        <v>5</v>
      </c>
      <c r="E58" s="166"/>
      <c r="F58" s="167"/>
      <c r="G58" s="166"/>
      <c r="H58" s="18"/>
    </row>
    <row r="59" spans="1:8" s="127" customFormat="1" ht="15" hidden="1" customHeight="1" outlineLevel="1" x14ac:dyDescent="0.25">
      <c r="B59" s="174" t="s">
        <v>62</v>
      </c>
      <c r="C59" s="175">
        <v>163.36611031325202</v>
      </c>
      <c r="D59" s="176" t="s">
        <v>8</v>
      </c>
      <c r="E59" s="176"/>
      <c r="F59" s="177"/>
      <c r="G59" s="176"/>
      <c r="H59" s="20"/>
    </row>
    <row r="60" spans="1:8" s="127" customFormat="1" ht="15" hidden="1" customHeight="1" outlineLevel="1" x14ac:dyDescent="0.25">
      <c r="B60" s="178"/>
      <c r="C60" s="179"/>
      <c r="D60" s="180"/>
      <c r="E60" s="180"/>
      <c r="F60" s="181"/>
      <c r="G60" s="180"/>
      <c r="H60" s="21"/>
    </row>
    <row r="61" spans="1:8" s="131" customFormat="1" ht="15" hidden="1" customHeight="1" outlineLevel="1" x14ac:dyDescent="0.25">
      <c r="B61" s="143" t="s">
        <v>63</v>
      </c>
      <c r="C61" s="182">
        <f>IF(C68="Sim",(C62*C71+C63*C72+C64*C73+C65*C74+C66*C76+C67*C75)*C69*((1-C93)+(1-C70)*(1-C89)),0)</f>
        <v>2469594.509672855</v>
      </c>
      <c r="D61" s="183" t="s">
        <v>9</v>
      </c>
      <c r="E61" s="183"/>
      <c r="F61" s="184">
        <v>77.861174682099431</v>
      </c>
      <c r="G61" s="183" t="s">
        <v>8</v>
      </c>
      <c r="H61" s="22">
        <f>F61/$F$99</f>
        <v>0.20494695014846132</v>
      </c>
    </row>
    <row r="62" spans="1:8" s="127" customFormat="1" ht="15" hidden="1" customHeight="1" outlineLevel="1" x14ac:dyDescent="0.25">
      <c r="B62" s="185" t="s">
        <v>414</v>
      </c>
      <c r="C62" s="186">
        <v>1126.2160567302833</v>
      </c>
      <c r="D62" s="180" t="s">
        <v>5</v>
      </c>
      <c r="E62" s="180"/>
      <c r="F62" s="181"/>
      <c r="G62" s="180"/>
      <c r="H62" s="21"/>
    </row>
    <row r="63" spans="1:8" s="127" customFormat="1" ht="15" hidden="1" customHeight="1" outlineLevel="1" x14ac:dyDescent="0.25">
      <c r="B63" s="172" t="s">
        <v>415</v>
      </c>
      <c r="C63" s="173">
        <v>765.13915304576494</v>
      </c>
      <c r="D63" s="166" t="s">
        <v>5</v>
      </c>
      <c r="E63" s="166"/>
      <c r="F63" s="167"/>
      <c r="G63" s="166"/>
      <c r="H63" s="18"/>
    </row>
    <row r="64" spans="1:8" s="127" customFormat="1" ht="15" hidden="1" customHeight="1" outlineLevel="1" x14ac:dyDescent="0.25">
      <c r="B64" s="172" t="s">
        <v>416</v>
      </c>
      <c r="C64" s="173">
        <v>395.46518022590095</v>
      </c>
      <c r="D64" s="166" t="s">
        <v>5</v>
      </c>
      <c r="E64" s="166"/>
      <c r="F64" s="167"/>
      <c r="G64" s="166"/>
      <c r="H64" s="18"/>
    </row>
    <row r="65" spans="2:8" s="127" customFormat="1" ht="15" hidden="1" customHeight="1" outlineLevel="1" x14ac:dyDescent="0.25">
      <c r="B65" s="172" t="s">
        <v>417</v>
      </c>
      <c r="C65" s="173">
        <v>206.32965924829614</v>
      </c>
      <c r="D65" s="166" t="s">
        <v>5</v>
      </c>
      <c r="E65" s="166"/>
      <c r="F65" s="167"/>
      <c r="G65" s="166"/>
      <c r="H65" s="18"/>
    </row>
    <row r="66" spans="2:8" s="127" customFormat="1" ht="15" hidden="1" customHeight="1" outlineLevel="1" x14ac:dyDescent="0.25">
      <c r="B66" s="172" t="s">
        <v>418</v>
      </c>
      <c r="C66" s="173">
        <v>51.582414812074035</v>
      </c>
      <c r="D66" s="166" t="s">
        <v>5</v>
      </c>
      <c r="E66" s="166"/>
      <c r="F66" s="167"/>
      <c r="G66" s="166"/>
      <c r="H66" s="18"/>
    </row>
    <row r="67" spans="2:8" s="127" customFormat="1" ht="15" hidden="1" customHeight="1" outlineLevel="1" x14ac:dyDescent="0.25">
      <c r="B67" s="172" t="s">
        <v>419</v>
      </c>
      <c r="C67" s="173">
        <v>197.73259011295048</v>
      </c>
      <c r="D67" s="166" t="s">
        <v>5</v>
      </c>
      <c r="E67" s="166"/>
      <c r="F67" s="167"/>
      <c r="G67" s="166"/>
      <c r="H67" s="18"/>
    </row>
    <row r="68" spans="2:8" s="127" customFormat="1" ht="15" hidden="1" customHeight="1" outlineLevel="1" x14ac:dyDescent="0.25">
      <c r="B68" s="172" t="s">
        <v>420</v>
      </c>
      <c r="C68" s="173" t="s">
        <v>122</v>
      </c>
      <c r="D68" s="166" t="s">
        <v>64</v>
      </c>
      <c r="E68" s="166"/>
      <c r="F68" s="167"/>
      <c r="G68" s="166"/>
      <c r="H68" s="18"/>
    </row>
    <row r="69" spans="2:8" s="127" customFormat="1" ht="15" hidden="1" customHeight="1" outlineLevel="1" x14ac:dyDescent="0.25">
      <c r="B69" s="172" t="s">
        <v>203</v>
      </c>
      <c r="C69" s="23">
        <v>1</v>
      </c>
      <c r="D69" s="166" t="s">
        <v>1</v>
      </c>
      <c r="E69" s="166"/>
      <c r="F69" s="167"/>
      <c r="G69" s="166"/>
      <c r="H69" s="18"/>
    </row>
    <row r="70" spans="2:8" s="127" customFormat="1" ht="15" hidden="1" customHeight="1" outlineLevel="1" x14ac:dyDescent="0.25">
      <c r="B70" s="172" t="s">
        <v>421</v>
      </c>
      <c r="C70" s="23">
        <v>0.25</v>
      </c>
      <c r="D70" s="166" t="s">
        <v>1</v>
      </c>
      <c r="E70" s="166"/>
      <c r="F70" s="167"/>
      <c r="G70" s="166"/>
      <c r="H70" s="18"/>
    </row>
    <row r="71" spans="2:8" s="127" customFormat="1" ht="15" hidden="1" customHeight="1" outlineLevel="1" x14ac:dyDescent="0.25">
      <c r="B71" s="172" t="s">
        <v>422</v>
      </c>
      <c r="C71" s="173">
        <v>300</v>
      </c>
      <c r="D71" s="166" t="s">
        <v>8</v>
      </c>
      <c r="E71" s="166"/>
      <c r="F71" s="167"/>
      <c r="G71" s="166"/>
      <c r="H71" s="18"/>
    </row>
    <row r="72" spans="2:8" s="127" customFormat="1" ht="15" hidden="1" customHeight="1" outlineLevel="1" x14ac:dyDescent="0.25">
      <c r="B72" s="172" t="s">
        <v>423</v>
      </c>
      <c r="C72" s="173">
        <v>750</v>
      </c>
      <c r="D72" s="166" t="s">
        <v>8</v>
      </c>
      <c r="E72" s="166"/>
      <c r="F72" s="167"/>
      <c r="G72" s="166"/>
      <c r="H72" s="18"/>
    </row>
    <row r="73" spans="2:8" s="127" customFormat="1" ht="15" hidden="1" customHeight="1" outlineLevel="1" x14ac:dyDescent="0.25">
      <c r="B73" s="172" t="s">
        <v>424</v>
      </c>
      <c r="C73" s="173">
        <v>1250</v>
      </c>
      <c r="D73" s="166" t="s">
        <v>8</v>
      </c>
      <c r="E73" s="166"/>
      <c r="F73" s="167"/>
      <c r="G73" s="166"/>
      <c r="H73" s="18"/>
    </row>
    <row r="74" spans="2:8" s="127" customFormat="1" ht="15" hidden="1" customHeight="1" outlineLevel="1" x14ac:dyDescent="0.25">
      <c r="B74" s="172" t="s">
        <v>425</v>
      </c>
      <c r="C74" s="173">
        <v>50</v>
      </c>
      <c r="D74" s="166" t="s">
        <v>8</v>
      </c>
      <c r="E74" s="166"/>
      <c r="F74" s="167"/>
      <c r="G74" s="166"/>
      <c r="H74" s="18"/>
    </row>
    <row r="75" spans="2:8" s="127" customFormat="1" ht="15" hidden="1" customHeight="1" outlineLevel="1" x14ac:dyDescent="0.25">
      <c r="B75" s="172" t="s">
        <v>426</v>
      </c>
      <c r="C75" s="173">
        <v>570</v>
      </c>
      <c r="D75" s="166" t="s">
        <v>8</v>
      </c>
      <c r="E75" s="166"/>
      <c r="F75" s="167"/>
      <c r="G75" s="166"/>
      <c r="H75" s="18"/>
    </row>
    <row r="76" spans="2:8" s="127" customFormat="1" ht="15" hidden="1" customHeight="1" outlineLevel="1" x14ac:dyDescent="0.25">
      <c r="B76" s="172" t="s">
        <v>427</v>
      </c>
      <c r="C76" s="173">
        <v>900</v>
      </c>
      <c r="D76" s="166" t="s">
        <v>8</v>
      </c>
      <c r="E76" s="166"/>
      <c r="F76" s="167"/>
      <c r="G76" s="166"/>
      <c r="H76" s="18"/>
    </row>
    <row r="77" spans="2:8" s="127" customFormat="1" ht="15" hidden="1" customHeight="1" outlineLevel="1" x14ac:dyDescent="0.25">
      <c r="B77" s="164"/>
      <c r="C77" s="165"/>
      <c r="D77" s="166"/>
      <c r="E77" s="166"/>
      <c r="F77" s="167"/>
      <c r="G77" s="166"/>
      <c r="H77" s="18"/>
    </row>
    <row r="78" spans="2:8" ht="15" hidden="1" customHeight="1" outlineLevel="1" x14ac:dyDescent="0.25">
      <c r="B78" s="143" t="s">
        <v>65</v>
      </c>
      <c r="C78" s="182">
        <v>2092990.6617490561</v>
      </c>
      <c r="D78" s="144" t="s">
        <v>9</v>
      </c>
      <c r="E78" s="144"/>
      <c r="F78" s="155">
        <v>65.987639219376817</v>
      </c>
      <c r="G78" s="144" t="s">
        <v>8</v>
      </c>
      <c r="H78" s="24">
        <f>F78/$F$99</f>
        <v>0.17369331326846113</v>
      </c>
    </row>
    <row r="79" spans="2:8" ht="15" hidden="1" customHeight="1" outlineLevel="1" x14ac:dyDescent="0.25">
      <c r="B79" s="143" t="s">
        <v>66</v>
      </c>
      <c r="C79" s="182">
        <v>2930186.9264486781</v>
      </c>
      <c r="D79" s="144" t="s">
        <v>9</v>
      </c>
      <c r="E79" s="144"/>
      <c r="F79" s="155">
        <v>92.382694907127529</v>
      </c>
      <c r="G79" s="144" t="s">
        <v>8</v>
      </c>
      <c r="H79" s="24">
        <f>F79/$F$99</f>
        <v>0.24317063857584553</v>
      </c>
    </row>
    <row r="80" spans="2:8" s="127" customFormat="1" ht="15" hidden="1" customHeight="1" outlineLevel="1" x14ac:dyDescent="0.25">
      <c r="B80" s="164"/>
      <c r="C80" s="165"/>
      <c r="D80" s="166"/>
      <c r="E80" s="166"/>
      <c r="F80" s="167"/>
      <c r="G80" s="166"/>
      <c r="H80" s="18"/>
    </row>
    <row r="81" spans="2:8" ht="15" hidden="1" customHeight="1" outlineLevel="1" x14ac:dyDescent="0.25">
      <c r="B81" s="187" t="s">
        <v>67</v>
      </c>
      <c r="C81" s="188">
        <f>(C82*C83+C84*C85)*C86</f>
        <v>545965.65884279762</v>
      </c>
      <c r="D81" s="189" t="s">
        <v>9</v>
      </c>
      <c r="E81" s="189"/>
      <c r="F81" s="190">
        <v>17.213160851745563</v>
      </c>
      <c r="G81" s="189" t="s">
        <v>8</v>
      </c>
      <c r="H81" s="25">
        <f>F81/$F$99</f>
        <v>4.5308651370645124E-2</v>
      </c>
    </row>
    <row r="82" spans="2:8" ht="15" hidden="1" customHeight="1" outlineLevel="1" x14ac:dyDescent="0.25">
      <c r="B82" s="191" t="s">
        <v>68</v>
      </c>
      <c r="C82" s="192">
        <v>31717.919999999998</v>
      </c>
      <c r="D82" s="127" t="s">
        <v>5</v>
      </c>
      <c r="E82" s="127"/>
      <c r="F82" s="193"/>
      <c r="G82" s="127"/>
      <c r="H82" s="26"/>
    </row>
    <row r="83" spans="2:8" ht="15" hidden="1" customHeight="1" outlineLevel="1" x14ac:dyDescent="0.25">
      <c r="B83" s="191" t="s">
        <v>69</v>
      </c>
      <c r="C83" s="192">
        <v>268.77733415910234</v>
      </c>
      <c r="D83" s="127" t="s">
        <v>8</v>
      </c>
      <c r="E83" s="127"/>
      <c r="F83" s="193"/>
      <c r="G83" s="127"/>
      <c r="H83" s="26"/>
    </row>
    <row r="84" spans="2:8" ht="15" hidden="1" customHeight="1" outlineLevel="1" x14ac:dyDescent="0.25">
      <c r="B84" s="191" t="s">
        <v>70</v>
      </c>
      <c r="C84" s="192">
        <v>15756</v>
      </c>
      <c r="D84" s="127" t="s">
        <v>5</v>
      </c>
      <c r="E84" s="127"/>
      <c r="F84" s="193"/>
      <c r="G84" s="127"/>
      <c r="H84" s="26"/>
    </row>
    <row r="85" spans="2:8" ht="15" hidden="1" customHeight="1" outlineLevel="1" x14ac:dyDescent="0.25">
      <c r="B85" s="191" t="s">
        <v>71</v>
      </c>
      <c r="C85" s="192">
        <v>151.95831392385614</v>
      </c>
      <c r="D85" s="127" t="s">
        <v>8</v>
      </c>
      <c r="E85" s="127"/>
      <c r="F85" s="193"/>
      <c r="G85" s="127"/>
      <c r="H85" s="26"/>
    </row>
    <row r="86" spans="2:8" ht="15" hidden="1" customHeight="1" outlineLevel="1" x14ac:dyDescent="0.25">
      <c r="B86" s="194" t="s">
        <v>72</v>
      </c>
      <c r="C86" s="27">
        <v>0.05</v>
      </c>
      <c r="D86" s="195" t="s">
        <v>1</v>
      </c>
      <c r="E86" s="195"/>
      <c r="F86" s="196"/>
      <c r="G86" s="195"/>
      <c r="H86" s="28"/>
    </row>
    <row r="87" spans="2:8" s="127" customFormat="1" ht="15" hidden="1" customHeight="1" outlineLevel="1" x14ac:dyDescent="0.25">
      <c r="B87" s="164"/>
      <c r="C87" s="165"/>
      <c r="D87" s="166"/>
      <c r="E87" s="166"/>
      <c r="F87" s="167"/>
      <c r="G87" s="166"/>
      <c r="H87" s="18"/>
    </row>
    <row r="88" spans="2:8" ht="15" hidden="1" customHeight="1" outlineLevel="1" x14ac:dyDescent="0.25">
      <c r="B88" s="187" t="s">
        <v>73</v>
      </c>
      <c r="C88" s="188">
        <f>(C62*C71+C63*C72+C64*C73+C65*C74+C66*C76+C67*C75)*C89*C90</f>
        <v>47264.966692303446</v>
      </c>
      <c r="D88" s="189" t="s">
        <v>9</v>
      </c>
      <c r="E88" s="189"/>
      <c r="F88" s="190">
        <v>1.4901660226239126</v>
      </c>
      <c r="G88" s="189" t="s">
        <v>8</v>
      </c>
      <c r="H88" s="25">
        <f>F88/$F$99</f>
        <v>3.9224296679131352E-3</v>
      </c>
    </row>
    <row r="89" spans="2:8" ht="15" hidden="1" customHeight="1" outlineLevel="1" x14ac:dyDescent="0.25">
      <c r="B89" s="194" t="s">
        <v>74</v>
      </c>
      <c r="C89" s="27">
        <v>0.12</v>
      </c>
      <c r="D89" s="195" t="s">
        <v>1</v>
      </c>
      <c r="E89" s="195"/>
      <c r="F89" s="196"/>
      <c r="G89" s="195"/>
      <c r="H89" s="28"/>
    </row>
    <row r="90" spans="2:8" ht="15" hidden="1" customHeight="1" outlineLevel="1" x14ac:dyDescent="0.25">
      <c r="B90" s="194" t="s">
        <v>421</v>
      </c>
      <c r="C90" s="27">
        <v>0.25</v>
      </c>
      <c r="D90" s="195" t="s">
        <v>1</v>
      </c>
      <c r="E90" s="195"/>
      <c r="F90" s="196"/>
      <c r="G90" s="195"/>
      <c r="H90" s="28"/>
    </row>
    <row r="91" spans="2:8" s="127" customFormat="1" ht="15" hidden="1" customHeight="1" outlineLevel="1" x14ac:dyDescent="0.25">
      <c r="B91" s="164"/>
      <c r="C91" s="165"/>
      <c r="D91" s="166"/>
      <c r="E91" s="166"/>
      <c r="F91" s="167"/>
      <c r="G91" s="166"/>
      <c r="H91" s="18"/>
    </row>
    <row r="92" spans="2:8" ht="15" hidden="1" customHeight="1" outlineLevel="1" x14ac:dyDescent="0.25">
      <c r="B92" s="187" t="s">
        <v>75</v>
      </c>
      <c r="C92" s="188">
        <v>788567.86339712981</v>
      </c>
      <c r="D92" s="189" t="s">
        <v>9</v>
      </c>
      <c r="E92" s="197"/>
      <c r="F92" s="198">
        <v>24.861903409716962</v>
      </c>
      <c r="G92" s="197" t="s">
        <v>8</v>
      </c>
      <c r="H92" s="29">
        <f>F92/$F$99</f>
        <v>6.5441746794998812E-2</v>
      </c>
    </row>
    <row r="93" spans="2:8" ht="15" hidden="1" customHeight="1" outlineLevel="1" x14ac:dyDescent="0.25">
      <c r="B93" s="194" t="s">
        <v>76</v>
      </c>
      <c r="C93" s="30">
        <v>9.2499999999999999E-2</v>
      </c>
      <c r="D93" s="195" t="s">
        <v>1</v>
      </c>
      <c r="E93" s="195"/>
      <c r="F93" s="196"/>
      <c r="G93" s="195"/>
      <c r="H93" s="28"/>
    </row>
    <row r="94" spans="2:8" ht="15" hidden="1" customHeight="1" outlineLevel="1" x14ac:dyDescent="0.25">
      <c r="B94" s="191" t="s">
        <v>68</v>
      </c>
      <c r="C94" s="192">
        <f>C82</f>
        <v>31717.919999999998</v>
      </c>
      <c r="D94" s="127" t="s">
        <v>5</v>
      </c>
      <c r="E94" s="127"/>
      <c r="F94" s="193"/>
      <c r="G94" s="127"/>
      <c r="H94" s="26"/>
    </row>
    <row r="95" spans="2:8" ht="15" hidden="1" customHeight="1" outlineLevel="1" x14ac:dyDescent="0.25">
      <c r="B95" s="191" t="s">
        <v>69</v>
      </c>
      <c r="C95" s="192">
        <f>C83</f>
        <v>268.77733415910234</v>
      </c>
      <c r="D95" s="127" t="s">
        <v>8</v>
      </c>
      <c r="E95" s="127"/>
      <c r="F95" s="193"/>
      <c r="G95" s="127"/>
      <c r="H95" s="26"/>
    </row>
    <row r="96" spans="2:8" ht="15" hidden="1" customHeight="1" outlineLevel="1" x14ac:dyDescent="0.25">
      <c r="B96" s="191" t="s">
        <v>70</v>
      </c>
      <c r="C96" s="192">
        <f>C84</f>
        <v>15756</v>
      </c>
      <c r="D96" s="127" t="s">
        <v>5</v>
      </c>
      <c r="E96" s="127"/>
      <c r="F96" s="193"/>
      <c r="G96" s="127"/>
      <c r="H96" s="26"/>
    </row>
    <row r="97" spans="2:8" ht="15" hidden="1" customHeight="1" outlineLevel="1" x14ac:dyDescent="0.25">
      <c r="B97" s="191" t="s">
        <v>71</v>
      </c>
      <c r="C97" s="192">
        <f>C85</f>
        <v>151.95831392385614</v>
      </c>
      <c r="D97" s="127" t="s">
        <v>8</v>
      </c>
      <c r="E97" s="127"/>
      <c r="F97" s="193"/>
      <c r="G97" s="127"/>
      <c r="H97" s="26"/>
    </row>
    <row r="98" spans="2:8" s="127" customFormat="1" ht="15" hidden="1" customHeight="1" outlineLevel="1" thickBot="1" x14ac:dyDescent="0.3">
      <c r="B98" s="156"/>
      <c r="C98" s="157"/>
      <c r="D98" s="158"/>
      <c r="E98" s="158"/>
      <c r="F98" s="158"/>
      <c r="G98" s="158"/>
      <c r="H98" s="158"/>
    </row>
    <row r="99" spans="2:8" s="118" customFormat="1" ht="15" hidden="1" customHeight="1" outlineLevel="1" thickTop="1" x14ac:dyDescent="0.25">
      <c r="B99" s="199" t="s">
        <v>77</v>
      </c>
      <c r="C99" s="200">
        <f>C57+C61+C78+C79+C81+C88+C92</f>
        <v>12049920.761855241</v>
      </c>
      <c r="D99" s="201" t="s">
        <v>9</v>
      </c>
      <c r="E99" s="202"/>
      <c r="F99" s="203">
        <v>379.90892094611633</v>
      </c>
      <c r="G99" s="202" t="s">
        <v>8</v>
      </c>
      <c r="H99" s="31">
        <f>F99/$F$99</f>
        <v>1</v>
      </c>
    </row>
    <row r="100" spans="2:8" ht="15" customHeight="1" thickTop="1" thickBot="1" x14ac:dyDescent="0.3">
      <c r="D100" s="127"/>
      <c r="E100" s="127"/>
      <c r="F100" s="127"/>
      <c r="G100" s="127"/>
      <c r="H100" s="127"/>
    </row>
    <row r="101" spans="2:8" ht="25.15" customHeight="1" collapsed="1" thickTop="1" thickBot="1" x14ac:dyDescent="0.3">
      <c r="B101" s="789" t="s">
        <v>78</v>
      </c>
      <c r="C101" s="790"/>
      <c r="D101" s="790"/>
      <c r="E101" s="790"/>
      <c r="F101" s="790"/>
      <c r="G101" s="790"/>
      <c r="H101" s="791"/>
    </row>
    <row r="102" spans="2:8" ht="15" hidden="1" customHeight="1" outlineLevel="1" thickTop="1" x14ac:dyDescent="0.25">
      <c r="B102" s="122" t="s">
        <v>349</v>
      </c>
      <c r="C102" s="33">
        <v>96866</v>
      </c>
      <c r="D102" s="127" t="s">
        <v>350</v>
      </c>
      <c r="F102" s="5"/>
      <c r="G102" s="204"/>
    </row>
    <row r="103" spans="2:8" ht="15" hidden="1" customHeight="1" outlineLevel="1" x14ac:dyDescent="0.25">
      <c r="B103" s="32" t="s">
        <v>79</v>
      </c>
      <c r="C103" s="33">
        <v>31717.919999999998</v>
      </c>
      <c r="D103" s="34" t="s">
        <v>5</v>
      </c>
      <c r="E103" s="205"/>
      <c r="F103" s="205"/>
      <c r="G103" s="205"/>
      <c r="H103" s="205"/>
    </row>
    <row r="104" spans="2:8" ht="15" hidden="1" customHeight="1" outlineLevel="1" x14ac:dyDescent="0.25">
      <c r="B104" s="32" t="s">
        <v>79</v>
      </c>
      <c r="C104" s="33">
        <f>C103/312</f>
        <v>101.66</v>
      </c>
      <c r="D104" s="34" t="s">
        <v>29</v>
      </c>
      <c r="E104" s="205"/>
      <c r="F104" s="205"/>
      <c r="G104" s="205"/>
      <c r="H104" s="205"/>
    </row>
    <row r="105" spans="2:8" ht="15" hidden="1" customHeight="1" outlineLevel="1" x14ac:dyDescent="0.25">
      <c r="B105" s="35" t="s">
        <v>80</v>
      </c>
      <c r="C105" s="33">
        <v>34388.276541382686</v>
      </c>
      <c r="D105" s="34" t="s">
        <v>5</v>
      </c>
      <c r="E105" s="205"/>
      <c r="F105" s="205"/>
      <c r="G105" s="205"/>
      <c r="H105" s="205"/>
    </row>
    <row r="106" spans="2:8" ht="15" hidden="1" customHeight="1" outlineLevel="1" x14ac:dyDescent="0.25">
      <c r="B106" s="35" t="s">
        <v>81</v>
      </c>
      <c r="C106" s="33">
        <f>C105/312</f>
        <v>110.21883506853425</v>
      </c>
      <c r="D106" s="34" t="s">
        <v>29</v>
      </c>
      <c r="E106" s="205"/>
      <c r="F106" s="205"/>
      <c r="G106" s="205"/>
      <c r="H106" s="205"/>
    </row>
    <row r="107" spans="2:8" ht="15" hidden="1" customHeight="1" outlineLevel="1" x14ac:dyDescent="0.25">
      <c r="B107" s="35" t="s">
        <v>137</v>
      </c>
      <c r="C107" s="658">
        <v>0.48399999999999999</v>
      </c>
      <c r="D107" s="34" t="s">
        <v>1</v>
      </c>
      <c r="E107" s="205"/>
      <c r="F107" s="205"/>
      <c r="G107" s="205"/>
      <c r="H107" s="205"/>
    </row>
    <row r="108" spans="2:8" ht="15" hidden="1" customHeight="1" outlineLevel="1" x14ac:dyDescent="0.25">
      <c r="B108" s="36" t="s">
        <v>82</v>
      </c>
      <c r="C108" s="206">
        <v>1127.7427429811567</v>
      </c>
      <c r="D108" s="37" t="s">
        <v>20</v>
      </c>
      <c r="E108" s="205"/>
      <c r="F108" s="205"/>
      <c r="G108" s="205"/>
      <c r="H108" s="205"/>
    </row>
    <row r="109" spans="2:8" ht="15" hidden="1" customHeight="1" outlineLevel="1" x14ac:dyDescent="0.25">
      <c r="B109" s="36" t="s">
        <v>83</v>
      </c>
      <c r="C109" s="38">
        <v>450</v>
      </c>
      <c r="D109" s="39" t="s">
        <v>0</v>
      </c>
      <c r="E109" s="205"/>
      <c r="F109" s="205"/>
      <c r="G109" s="205"/>
      <c r="H109" s="205"/>
    </row>
    <row r="110" spans="2:8" ht="15" hidden="1" customHeight="1" outlineLevel="1" thickBot="1" x14ac:dyDescent="0.3">
      <c r="B110" s="104" t="s">
        <v>398</v>
      </c>
      <c r="C110" s="105">
        <f>C103*1000/C102/365</f>
        <v>0.8970991984690615</v>
      </c>
      <c r="D110" s="1" t="s">
        <v>399</v>
      </c>
    </row>
    <row r="111" spans="2:8" ht="15" hidden="1" customHeight="1" outlineLevel="1" thickTop="1" x14ac:dyDescent="0.25">
      <c r="B111" s="40" t="s">
        <v>84</v>
      </c>
      <c r="C111" s="207"/>
      <c r="D111" s="6"/>
      <c r="E111" s="6"/>
      <c r="F111" s="6"/>
      <c r="G111" s="6"/>
      <c r="H111" s="6"/>
    </row>
    <row r="112" spans="2:8" s="127" customFormat="1" ht="15" hidden="1" customHeight="1" outlineLevel="1" x14ac:dyDescent="0.25">
      <c r="B112" s="208"/>
      <c r="C112" s="209">
        <v>18.948864869999998</v>
      </c>
      <c r="D112" s="37" t="s">
        <v>22</v>
      </c>
      <c r="E112" s="210"/>
      <c r="F112" s="210"/>
      <c r="G112" s="210"/>
      <c r="H112" s="210"/>
    </row>
    <row r="113" spans="2:8" ht="15" hidden="1" customHeight="1" outlineLevel="1" x14ac:dyDescent="0.25">
      <c r="C113" s="137">
        <f>C112*312*$C$106/$C$104/1000</f>
        <v>6.4097856117927545</v>
      </c>
      <c r="D113" s="41" t="s">
        <v>19</v>
      </c>
    </row>
    <row r="114" spans="2:8" ht="15" hidden="1" customHeight="1" outlineLevel="1" x14ac:dyDescent="0.25">
      <c r="B114" s="42" t="s">
        <v>85</v>
      </c>
      <c r="C114" s="211"/>
      <c r="D114" s="212"/>
      <c r="E114" s="212"/>
      <c r="F114" s="212"/>
      <c r="G114" s="212"/>
      <c r="H114" s="212"/>
    </row>
    <row r="115" spans="2:8" s="127" customFormat="1" ht="15" hidden="1" customHeight="1" outlineLevel="1" x14ac:dyDescent="0.25">
      <c r="B115" s="208"/>
      <c r="C115" s="209">
        <v>39.361862475000009</v>
      </c>
      <c r="D115" s="37" t="s">
        <v>22</v>
      </c>
      <c r="E115" s="210"/>
      <c r="F115" s="210"/>
      <c r="G115" s="210"/>
      <c r="H115" s="210"/>
    </row>
    <row r="116" spans="2:8" ht="15" hidden="1" customHeight="1" outlineLevel="1" x14ac:dyDescent="0.25">
      <c r="B116" s="213"/>
      <c r="C116" s="137">
        <f>C115*312*$C$106/$C$104/1000</f>
        <v>13.314839779403641</v>
      </c>
      <c r="D116" s="43" t="s">
        <v>19</v>
      </c>
      <c r="E116" s="215"/>
      <c r="F116" s="215"/>
      <c r="G116" s="215"/>
      <c r="H116" s="215"/>
    </row>
    <row r="117" spans="2:8" ht="15" hidden="1" customHeight="1" outlineLevel="1" x14ac:dyDescent="0.25">
      <c r="B117" s="44" t="s">
        <v>86</v>
      </c>
      <c r="C117" s="192"/>
    </row>
    <row r="118" spans="2:8" s="127" customFormat="1" ht="15" hidden="1" customHeight="1" outlineLevel="1" x14ac:dyDescent="0.25">
      <c r="B118" s="208"/>
      <c r="C118" s="209">
        <v>43.349272655000007</v>
      </c>
      <c r="D118" s="37" t="s">
        <v>22</v>
      </c>
      <c r="E118" s="210"/>
      <c r="F118" s="210"/>
      <c r="G118" s="210"/>
      <c r="H118" s="210"/>
    </row>
    <row r="119" spans="2:8" ht="15" hidden="1" customHeight="1" outlineLevel="1" thickBot="1" x14ac:dyDescent="0.3">
      <c r="B119" s="216"/>
      <c r="C119" s="659">
        <f>C118*312*$C$106/$C$104/1000</f>
        <v>14.663651150186295</v>
      </c>
      <c r="D119" s="45" t="s">
        <v>19</v>
      </c>
      <c r="E119" s="218"/>
      <c r="F119" s="218"/>
      <c r="G119" s="218"/>
      <c r="H119" s="218"/>
    </row>
    <row r="120" spans="2:8" ht="15" hidden="1" customHeight="1" outlineLevel="1" thickTop="1" thickBot="1" x14ac:dyDescent="0.3">
      <c r="B120" s="104" t="s">
        <v>403</v>
      </c>
      <c r="C120" s="130"/>
    </row>
    <row r="121" spans="2:8" ht="15" hidden="1" customHeight="1" outlineLevel="1" thickTop="1" x14ac:dyDescent="0.25">
      <c r="B121" s="810" t="s">
        <v>87</v>
      </c>
      <c r="C121" s="219"/>
      <c r="D121" s="6"/>
      <c r="E121" s="6"/>
      <c r="F121" s="6"/>
      <c r="G121" s="6"/>
      <c r="H121" s="6"/>
    </row>
    <row r="122" spans="2:8" ht="15" hidden="1" customHeight="1" outlineLevel="1" x14ac:dyDescent="0.25">
      <c r="B122" s="793"/>
      <c r="C122" s="220">
        <v>8.1073850000000007</v>
      </c>
      <c r="D122" s="37" t="s">
        <v>22</v>
      </c>
      <c r="E122" s="205"/>
      <c r="F122" s="205"/>
      <c r="G122" s="205"/>
      <c r="H122" s="205"/>
    </row>
    <row r="123" spans="2:8" ht="15" hidden="1" customHeight="1" outlineLevel="1" x14ac:dyDescent="0.25">
      <c r="B123" s="811"/>
      <c r="C123" s="137">
        <f>C122*312*$C$106/$C$104/1000</f>
        <v>2.7424650541752689</v>
      </c>
      <c r="D123" s="41" t="s">
        <v>19</v>
      </c>
    </row>
    <row r="124" spans="2:8" ht="15" hidden="1" customHeight="1" outlineLevel="1" x14ac:dyDescent="0.25">
      <c r="B124" s="792" t="s">
        <v>88</v>
      </c>
      <c r="C124" s="211"/>
      <c r="D124" s="212"/>
      <c r="E124" s="212"/>
      <c r="F124" s="212"/>
      <c r="G124" s="212"/>
      <c r="H124" s="212"/>
    </row>
    <row r="125" spans="2:8" ht="15" hidden="1" customHeight="1" outlineLevel="1" x14ac:dyDescent="0.25">
      <c r="B125" s="793"/>
      <c r="C125" s="220">
        <v>18.253052999999998</v>
      </c>
      <c r="D125" s="37" t="s">
        <v>22</v>
      </c>
      <c r="E125" s="205"/>
      <c r="F125" s="205"/>
      <c r="G125" s="205"/>
      <c r="H125" s="205"/>
    </row>
    <row r="126" spans="2:8" ht="15" hidden="1" customHeight="1" outlineLevel="1" x14ac:dyDescent="0.25">
      <c r="B126" s="811"/>
      <c r="C126" s="137">
        <f>C125*312*$C$106/$C$104/1000</f>
        <v>6.1744150530052604</v>
      </c>
      <c r="D126" s="41" t="s">
        <v>19</v>
      </c>
    </row>
    <row r="127" spans="2:8" ht="15" hidden="1" customHeight="1" outlineLevel="1" x14ac:dyDescent="0.25">
      <c r="B127" s="792" t="s">
        <v>11</v>
      </c>
      <c r="C127" s="211"/>
      <c r="D127" s="212"/>
      <c r="E127" s="212"/>
      <c r="F127" s="212"/>
      <c r="G127" s="212"/>
      <c r="H127" s="212"/>
    </row>
    <row r="128" spans="2:8" ht="15" hidden="1" customHeight="1" outlineLevel="1" x14ac:dyDescent="0.25">
      <c r="B128" s="793"/>
      <c r="C128" s="220">
        <v>16.988834655000009</v>
      </c>
      <c r="D128" s="37" t="s">
        <v>22</v>
      </c>
      <c r="E128" s="205"/>
      <c r="F128" s="205"/>
      <c r="G128" s="205"/>
      <c r="H128" s="205"/>
    </row>
    <row r="129" spans="2:8" ht="15" hidden="1" customHeight="1" outlineLevel="1" x14ac:dyDescent="0.25">
      <c r="B129" s="811"/>
      <c r="C129" s="137">
        <f>C128*312*$C$106/$C$104/1000</f>
        <v>5.7467710430057641</v>
      </c>
      <c r="D129" s="43" t="s">
        <v>19</v>
      </c>
      <c r="E129" s="215"/>
      <c r="F129" s="215"/>
      <c r="G129" s="215"/>
      <c r="H129" s="215"/>
    </row>
    <row r="130" spans="2:8" ht="15" hidden="1" customHeight="1" outlineLevel="1" x14ac:dyDescent="0.25">
      <c r="B130" s="792" t="s">
        <v>366</v>
      </c>
      <c r="C130" s="730">
        <v>0</v>
      </c>
      <c r="D130" s="127" t="s">
        <v>365</v>
      </c>
    </row>
    <row r="131" spans="2:8" ht="15" hidden="1" customHeight="1" outlineLevel="1" x14ac:dyDescent="0.25">
      <c r="B131" s="793"/>
      <c r="C131" s="731">
        <f>C130*C106</f>
        <v>0</v>
      </c>
      <c r="D131" s="37" t="s">
        <v>23</v>
      </c>
      <c r="E131" s="205"/>
      <c r="F131" s="205"/>
      <c r="G131" s="205"/>
      <c r="H131" s="205"/>
    </row>
    <row r="132" spans="2:8" ht="15" hidden="1" customHeight="1" outlineLevel="1" x14ac:dyDescent="0.25">
      <c r="B132" s="811"/>
      <c r="C132" s="214">
        <f>C130*C105/1000</f>
        <v>0</v>
      </c>
      <c r="D132" s="43" t="s">
        <v>20</v>
      </c>
      <c r="E132" s="215"/>
      <c r="F132" s="215"/>
      <c r="G132" s="215"/>
      <c r="H132" s="215"/>
    </row>
    <row r="133" spans="2:8" ht="15" hidden="1" customHeight="1" outlineLevel="1" x14ac:dyDescent="0.25">
      <c r="B133" s="792" t="s">
        <v>367</v>
      </c>
      <c r="C133" s="192">
        <v>250.89999999999998</v>
      </c>
      <c r="D133" s="127" t="s">
        <v>140</v>
      </c>
    </row>
    <row r="134" spans="2:8" ht="15" hidden="1" customHeight="1" outlineLevel="1" x14ac:dyDescent="0.25">
      <c r="B134" s="793"/>
      <c r="C134" s="660">
        <f>C133*C106*C107</f>
        <v>13384.490367848497</v>
      </c>
      <c r="D134" s="37" t="s">
        <v>23</v>
      </c>
      <c r="E134" s="205"/>
      <c r="F134" s="205"/>
      <c r="G134" s="205"/>
      <c r="H134" s="205"/>
    </row>
    <row r="135" spans="2:8" ht="15" hidden="1" customHeight="1" outlineLevel="1" x14ac:dyDescent="0.25">
      <c r="B135" s="811"/>
      <c r="C135" s="214">
        <f>C133*C105*C107/1000</f>
        <v>4175.9609947687304</v>
      </c>
      <c r="D135" s="43" t="s">
        <v>20</v>
      </c>
      <c r="E135" s="215"/>
      <c r="F135" s="215"/>
      <c r="G135" s="215"/>
      <c r="H135" s="215"/>
    </row>
    <row r="136" spans="2:8" ht="15" hidden="1" customHeight="1" outlineLevel="1" x14ac:dyDescent="0.25">
      <c r="B136" s="792" t="s">
        <v>7</v>
      </c>
      <c r="C136" s="192">
        <v>62.724999999999994</v>
      </c>
      <c r="D136" s="37" t="s">
        <v>400</v>
      </c>
    </row>
    <row r="137" spans="2:8" ht="15" hidden="1" customHeight="1" outlineLevel="1" x14ac:dyDescent="0.25">
      <c r="B137" s="793"/>
      <c r="C137" s="660">
        <f>C136*C106*C107</f>
        <v>3346.1225919621243</v>
      </c>
      <c r="D137" s="37" t="s">
        <v>401</v>
      </c>
      <c r="E137" s="205"/>
      <c r="F137" s="205"/>
      <c r="G137" s="205"/>
      <c r="H137" s="205"/>
    </row>
    <row r="138" spans="2:8" ht="15" hidden="1" customHeight="1" outlineLevel="1" x14ac:dyDescent="0.25">
      <c r="B138" s="793"/>
      <c r="C138" s="214">
        <f>C136*C105*C107</f>
        <v>1043990.2486921827</v>
      </c>
      <c r="D138" s="37" t="s">
        <v>181</v>
      </c>
      <c r="E138" s="205"/>
      <c r="F138" s="205"/>
      <c r="G138" s="205"/>
      <c r="H138" s="205"/>
    </row>
    <row r="139" spans="2:8" ht="15" hidden="1" customHeight="1" outlineLevel="1" thickBot="1" x14ac:dyDescent="0.3">
      <c r="B139" s="46" t="s">
        <v>89</v>
      </c>
      <c r="C139" s="217">
        <f>(C138*90%)/1000</f>
        <v>939.59122382296448</v>
      </c>
      <c r="D139" s="45" t="s">
        <v>90</v>
      </c>
      <c r="E139" s="218"/>
      <c r="F139" s="218"/>
      <c r="G139" s="218"/>
      <c r="H139" s="218"/>
    </row>
    <row r="140" spans="2:8" ht="15" customHeight="1" thickTop="1" x14ac:dyDescent="0.25">
      <c r="B140" s="747" t="s">
        <v>403</v>
      </c>
      <c r="C140" s="748">
        <v>106.96269480000001</v>
      </c>
    </row>
    <row r="141" spans="2:8" x14ac:dyDescent="0.25">
      <c r="B141" s="747" t="s">
        <v>406</v>
      </c>
      <c r="C141" s="749">
        <v>211754.2931469132</v>
      </c>
    </row>
    <row r="142" spans="2:8" x14ac:dyDescent="0.25">
      <c r="B142" s="747" t="s">
        <v>407</v>
      </c>
      <c r="C142" s="749">
        <v>8841.1310233941622</v>
      </c>
    </row>
    <row r="143" spans="2:8" x14ac:dyDescent="0.25">
      <c r="B143" s="747" t="s">
        <v>408</v>
      </c>
      <c r="C143" s="749">
        <v>639.67884431692073</v>
      </c>
    </row>
    <row r="144" spans="2:8" x14ac:dyDescent="0.25">
      <c r="B144" s="747" t="s">
        <v>409</v>
      </c>
      <c r="C144" s="749">
        <v>8969.990360764903</v>
      </c>
    </row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12.7109375" style="61" bestFit="1" customWidth="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13" t="s">
        <v>13</v>
      </c>
      <c r="C3" s="813"/>
      <c r="D3" s="813"/>
      <c r="E3" s="813"/>
      <c r="F3" s="813"/>
      <c r="G3" s="813"/>
      <c r="H3" s="813"/>
      <c r="L3" s="814" t="s">
        <v>144</v>
      </c>
      <c r="M3" s="815"/>
      <c r="N3" s="263"/>
      <c r="O3" s="816" t="s">
        <v>154</v>
      </c>
      <c r="P3" s="816"/>
      <c r="Q3" s="816"/>
      <c r="R3" s="816"/>
      <c r="S3" s="816"/>
      <c r="T3" s="816"/>
      <c r="U3" s="816"/>
      <c r="V3" s="816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17" t="s">
        <v>91</v>
      </c>
      <c r="C5" s="817"/>
      <c r="D5" s="49"/>
      <c r="E5" s="49"/>
      <c r="F5" s="303"/>
      <c r="G5" s="49"/>
      <c r="H5" s="303"/>
      <c r="L5" s="818" t="s">
        <v>156</v>
      </c>
      <c r="M5" s="819"/>
      <c r="N5"/>
      <c r="O5" s="822" t="s">
        <v>143</v>
      </c>
      <c r="P5" s="823"/>
      <c r="Q5" s="823"/>
      <c r="R5" s="823"/>
      <c r="S5" s="823"/>
      <c r="T5" s="823"/>
      <c r="U5" s="823"/>
      <c r="V5" s="824"/>
    </row>
    <row r="6" spans="2:22" s="53" customFormat="1" ht="15" hidden="1" customHeight="1" outlineLevel="1" thickTop="1" thickBot="1" x14ac:dyDescent="0.3">
      <c r="B6" s="817"/>
      <c r="C6" s="817"/>
      <c r="D6" s="50"/>
      <c r="E6" s="52"/>
      <c r="F6" s="51" t="s">
        <v>10</v>
      </c>
      <c r="G6" s="52"/>
      <c r="H6" s="51" t="s">
        <v>10</v>
      </c>
      <c r="L6" s="820"/>
      <c r="M6" s="821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288.27317615198319</v>
      </c>
      <c r="N7" s="234"/>
      <c r="O7" s="237">
        <f>M7</f>
        <v>288.27317615198319</v>
      </c>
      <c r="P7" s="238"/>
      <c r="Q7" s="239">
        <f>M7</f>
        <v>288.27317615198319</v>
      </c>
      <c r="R7" s="239"/>
      <c r="S7" s="239"/>
      <c r="T7" s="239"/>
      <c r="U7" s="239"/>
      <c r="V7" s="240">
        <f>Q7</f>
        <v>288.27317615198319</v>
      </c>
    </row>
    <row r="8" spans="2:22" s="47" customFormat="1" ht="15" hidden="1" customHeight="1" outlineLevel="1" x14ac:dyDescent="0.25">
      <c r="C8" s="54"/>
      <c r="D8" s="41"/>
      <c r="E8" s="56"/>
      <c r="F8" s="269"/>
      <c r="G8" s="271"/>
      <c r="H8" s="269"/>
      <c r="I8" s="54"/>
      <c r="L8" s="686" t="s">
        <v>353</v>
      </c>
      <c r="M8" s="256">
        <f>'RESUMO GERAL Valoriz. RT´s'!C29+'RESUMO GERAL Valoriz. RT´s'!C30</f>
        <v>432.58</v>
      </c>
      <c r="N8" s="236"/>
      <c r="O8" s="241"/>
      <c r="P8" s="242"/>
      <c r="Q8" s="243">
        <f>Q7+M8</f>
        <v>720.85317615198323</v>
      </c>
      <c r="R8" s="243">
        <f>M7</f>
        <v>288.27317615198319</v>
      </c>
      <c r="S8" s="243">
        <f>IF(R8&gt;=0,IF(M8&gt;=0,Q7,Q8),IF(M8&gt;=0,S7,Q8))</f>
        <v>288.27317615198319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25" t="s">
        <v>92</v>
      </c>
      <c r="C9" s="47" t="s">
        <v>4</v>
      </c>
      <c r="D9" s="41" t="s">
        <v>20</v>
      </c>
      <c r="E9" s="60"/>
      <c r="F9" s="58">
        <f>'C-Dados RT1 Simplif.'!C108</f>
        <v>1127.7427429811567</v>
      </c>
      <c r="G9" s="272"/>
      <c r="H9" s="57">
        <f>'Demanda Preço &amp; Quantidade'!C42</f>
        <v>500</v>
      </c>
      <c r="L9" s="686" t="s">
        <v>354</v>
      </c>
      <c r="M9" s="256">
        <f>'RESUMO GERAL Valoriz. RT´s'!C31</f>
        <v>0.71</v>
      </c>
      <c r="N9" s="236"/>
      <c r="O9" s="241"/>
      <c r="P9" s="242"/>
      <c r="Q9" s="243">
        <f>Q8+M9</f>
        <v>721.56317615198327</v>
      </c>
      <c r="R9" s="243">
        <f>M8</f>
        <v>432.58</v>
      </c>
      <c r="S9" s="243">
        <f>IF(R9&gt;=0,IF(M9&gt;=0,Q8,Q9),IF(M9&gt;=0,S8,Q9))</f>
        <v>720.85317615198323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25"/>
      <c r="C10" s="61" t="s">
        <v>27</v>
      </c>
      <c r="D10" s="41" t="s">
        <v>28</v>
      </c>
      <c r="E10" s="60"/>
      <c r="F10" s="319">
        <v>0</v>
      </c>
      <c r="G10" s="272"/>
      <c r="H10" s="63">
        <f>'Demanda Preço &amp; Quantidade'!C48</f>
        <v>5.21</v>
      </c>
      <c r="L10" s="249" t="s">
        <v>352</v>
      </c>
      <c r="M10" s="257">
        <f>SUM(M7:M9)</f>
        <v>721.56317615198327</v>
      </c>
      <c r="N10" s="234"/>
      <c r="O10" s="245">
        <f>M10</f>
        <v>721.56317615198327</v>
      </c>
      <c r="P10" s="246"/>
      <c r="Q10" s="243">
        <f>Q9</f>
        <v>721.56317615198327</v>
      </c>
      <c r="R10" s="247">
        <f>M9</f>
        <v>0.71</v>
      </c>
      <c r="S10" s="247">
        <v>0</v>
      </c>
      <c r="T10" s="247">
        <v>0</v>
      </c>
      <c r="U10" s="247">
        <f t="shared" ref="U10:U22" si="0">IF(M10&lt;0,M10*-1,0)</f>
        <v>0</v>
      </c>
      <c r="V10" s="248">
        <f>Q10</f>
        <v>721.56317615198327</v>
      </c>
    </row>
    <row r="11" spans="2:22" s="47" customFormat="1" ht="15" hidden="1" customHeight="1" outlineLevel="1" x14ac:dyDescent="0.25">
      <c r="B11" s="44"/>
      <c r="D11" s="41"/>
      <c r="E11" s="60"/>
      <c r="F11" s="270"/>
      <c r="G11" s="60"/>
      <c r="H11" s="270"/>
      <c r="L11" s="235" t="s">
        <v>157</v>
      </c>
      <c r="M11" s="256">
        <f>J33</f>
        <v>-10.485505219974332</v>
      </c>
      <c r="N11" s="236"/>
      <c r="O11" s="241"/>
      <c r="P11" s="242"/>
      <c r="Q11" s="243">
        <f>Q10+M11</f>
        <v>711.07767093200891</v>
      </c>
      <c r="R11" s="243">
        <f>M10</f>
        <v>721.56317615198327</v>
      </c>
      <c r="S11" s="243">
        <f>IF(R11&gt;=0,IF(M11&gt;=0,Q10,Q11),IF(M11&gt;=0,S10,Q11))</f>
        <v>711.07767093200891</v>
      </c>
      <c r="T11" s="243">
        <f>IF(M11&gt;=0,M11,0)</f>
        <v>0</v>
      </c>
      <c r="U11" s="243">
        <f t="shared" si="0"/>
        <v>10.485505219974332</v>
      </c>
      <c r="V11" s="244">
        <f>SUM(T11:U11)</f>
        <v>10.485505219974332</v>
      </c>
    </row>
    <row r="12" spans="2:22" s="47" customFormat="1" ht="15" hidden="1" customHeight="1" outlineLevel="1" x14ac:dyDescent="0.25">
      <c r="B12" s="825" t="s">
        <v>93</v>
      </c>
      <c r="C12" s="47" t="s">
        <v>4</v>
      </c>
      <c r="D12" s="41" t="s">
        <v>20</v>
      </c>
      <c r="E12" s="60"/>
      <c r="F12" s="267">
        <f>IF('Demanda Preço &amp; Quantidade'!C81+F9&gt;F21,F21-F9,'Demanda Preço &amp; Quantidade'!C81)</f>
        <v>3048.2182517875735</v>
      </c>
      <c r="G12" s="272"/>
      <c r="H12" s="57">
        <f>'Demanda Preço &amp; Quantidade'!J52</f>
        <v>520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711.07767093200891</v>
      </c>
      <c r="R12" s="243">
        <f>M11</f>
        <v>-10.485505219974332</v>
      </c>
      <c r="S12" s="243">
        <f>IF(R12&gt;=0,IF(M12&gt;=0,Q11,Q12),IF(M12&gt;=0,S11,Q12))</f>
        <v>711.07767093200891</v>
      </c>
      <c r="T12" s="243">
        <f>IF(M12&gt;=0,M12,0)</f>
        <v>0</v>
      </c>
      <c r="U12" s="243">
        <f t="shared" si="0"/>
        <v>0</v>
      </c>
      <c r="V12" s="244">
        <f>SUM(T12:U12)</f>
        <v>0</v>
      </c>
    </row>
    <row r="13" spans="2:22" s="47" customFormat="1" ht="15" hidden="1" customHeight="1" outlineLevel="1" x14ac:dyDescent="0.25">
      <c r="B13" s="825"/>
      <c r="C13" s="61" t="s">
        <v>27</v>
      </c>
      <c r="D13" s="41" t="s">
        <v>28</v>
      </c>
      <c r="E13" s="60"/>
      <c r="F13" s="319">
        <v>0</v>
      </c>
      <c r="G13" s="272"/>
      <c r="H13" s="63">
        <f>'Demanda Preço &amp; Quantidade'!C58</f>
        <v>5.21</v>
      </c>
      <c r="L13" s="250" t="s">
        <v>155</v>
      </c>
      <c r="M13" s="257">
        <f>SUM(M10:M12)</f>
        <v>711.07767093200891</v>
      </c>
      <c r="N13" s="234"/>
      <c r="O13" s="245">
        <f>M13</f>
        <v>711.07767093200891</v>
      </c>
      <c r="P13" s="246"/>
      <c r="Q13" s="243">
        <f>Q12</f>
        <v>711.07767093200891</v>
      </c>
      <c r="R13" s="247">
        <f>M9</f>
        <v>0.71</v>
      </c>
      <c r="S13" s="247">
        <v>0</v>
      </c>
      <c r="T13" s="247">
        <v>0</v>
      </c>
      <c r="U13" s="247">
        <f t="shared" si="0"/>
        <v>0</v>
      </c>
      <c r="V13" s="248">
        <f>Q13</f>
        <v>711.07767093200891</v>
      </c>
    </row>
    <row r="14" spans="2:22" s="47" customFormat="1" ht="15" hidden="1" customHeight="1" outlineLevel="1" x14ac:dyDescent="0.25">
      <c r="B14" s="44"/>
      <c r="D14" s="41"/>
      <c r="E14" s="66"/>
      <c r="F14" s="270"/>
      <c r="G14" s="60"/>
      <c r="H14" s="270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711.07767093200891</v>
      </c>
      <c r="R14" s="243">
        <f t="shared" ref="R14:R22" si="1">M13</f>
        <v>711.07767093200891</v>
      </c>
      <c r="S14" s="243">
        <f>IF(R14&gt;=0,IF(M14&gt;=0,Q13,Q14),IF(M14&gt;=0,S13,Q14))</f>
        <v>711.07767093200891</v>
      </c>
      <c r="T14" s="243">
        <f>IF(M14&gt;=0,M14,0)</f>
        <v>0</v>
      </c>
      <c r="U14" s="243">
        <f t="shared" si="0"/>
        <v>0</v>
      </c>
      <c r="V14" s="244">
        <f>SUM(T14:U14)</f>
        <v>0</v>
      </c>
    </row>
    <row r="15" spans="2:22" s="47" customFormat="1" ht="15" hidden="1" customHeight="1" outlineLevel="1" x14ac:dyDescent="0.25">
      <c r="B15" s="825" t="s">
        <v>94</v>
      </c>
      <c r="C15" s="47" t="s">
        <v>4</v>
      </c>
      <c r="D15" s="41" t="s">
        <v>20</v>
      </c>
      <c r="E15" s="66"/>
      <c r="F15" s="57">
        <f>F21-F12-F9</f>
        <v>0</v>
      </c>
      <c r="G15" s="272"/>
      <c r="H15" s="57">
        <f>'Demanda Preço &amp; Quantidade'!C18</f>
        <v>549.4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711.07767093200891</v>
      </c>
      <c r="R15" s="243">
        <f t="shared" si="1"/>
        <v>0</v>
      </c>
      <c r="S15" s="243">
        <f>IF(R15&gt;=0,IF(M15&gt;=0,Q14,Q15),IF(M15&gt;=0,S14,Q15))</f>
        <v>711.07767093200891</v>
      </c>
      <c r="T15" s="243">
        <f>IF(M15&gt;=0,M15,0)</f>
        <v>0</v>
      </c>
      <c r="U15" s="243">
        <f t="shared" si="0"/>
        <v>0</v>
      </c>
      <c r="V15" s="244">
        <f>SUM(T15:U15)</f>
        <v>0</v>
      </c>
    </row>
    <row r="16" spans="2:22" s="47" customFormat="1" ht="15" hidden="1" customHeight="1" outlineLevel="1" x14ac:dyDescent="0.25">
      <c r="B16" s="825"/>
      <c r="C16" s="61" t="s">
        <v>27</v>
      </c>
      <c r="D16" s="41" t="s">
        <v>28</v>
      </c>
      <c r="E16" s="66"/>
      <c r="F16" s="319">
        <v>0</v>
      </c>
      <c r="G16" s="272"/>
      <c r="H16" s="63">
        <f>'Demanda Preço &amp; Quantidade'!C26</f>
        <v>3.6</v>
      </c>
      <c r="L16" s="250" t="s">
        <v>152</v>
      </c>
      <c r="M16" s="258">
        <f>M13</f>
        <v>711.07767093200891</v>
      </c>
      <c r="N16" s="234"/>
      <c r="O16" s="245">
        <f>M16</f>
        <v>711.07767093200891</v>
      </c>
      <c r="P16" s="246"/>
      <c r="Q16" s="247">
        <f>Q15+M16-O16</f>
        <v>711.07767093200891</v>
      </c>
      <c r="R16" s="247">
        <f t="shared" si="1"/>
        <v>0</v>
      </c>
      <c r="S16" s="247">
        <v>0</v>
      </c>
      <c r="T16" s="247">
        <v>0</v>
      </c>
      <c r="U16" s="247">
        <f t="shared" si="0"/>
        <v>0</v>
      </c>
      <c r="V16" s="248">
        <f>Q16</f>
        <v>711.07767093200891</v>
      </c>
    </row>
    <row r="17" spans="2:22" s="47" customFormat="1" ht="15" hidden="1" customHeight="1" outlineLevel="1" x14ac:dyDescent="0.25">
      <c r="B17" s="825"/>
      <c r="C17" s="47" t="s">
        <v>12</v>
      </c>
      <c r="D17" s="41" t="s">
        <v>19</v>
      </c>
      <c r="E17" s="66"/>
      <c r="F17" s="62">
        <f>F23</f>
        <v>6.1744150530052604</v>
      </c>
      <c r="G17" s="272"/>
      <c r="H17" s="57">
        <f>'Demanda Preço &amp; Quantidade'!C27</f>
        <v>150</v>
      </c>
      <c r="L17" s="235" t="s">
        <v>161</v>
      </c>
      <c r="M17" s="256">
        <f>J39*C53</f>
        <v>-30.11449029771325</v>
      </c>
      <c r="N17" s="236"/>
      <c r="O17" s="241"/>
      <c r="P17" s="242"/>
      <c r="Q17" s="243">
        <f>Q16+M17</f>
        <v>680.96318063429567</v>
      </c>
      <c r="R17" s="243">
        <f t="shared" si="1"/>
        <v>711.07767093200891</v>
      </c>
      <c r="S17" s="243">
        <f>IF(R17&gt;=0,IF(M17&gt;=0,Q16,Q17),IF(M17&gt;=0,S16,Q17))</f>
        <v>680.96318063429567</v>
      </c>
      <c r="T17" s="243">
        <f>IF(M17&gt;=0,M17,0)</f>
        <v>0</v>
      </c>
      <c r="U17" s="243">
        <f t="shared" si="0"/>
        <v>30.11449029771325</v>
      </c>
      <c r="V17" s="244">
        <f>SUM(T17:U17)</f>
        <v>30.11449029771325</v>
      </c>
    </row>
    <row r="18" spans="2:22" s="47" customFormat="1" ht="15" hidden="1" customHeight="1" outlineLevel="1" x14ac:dyDescent="0.25">
      <c r="B18" s="825"/>
      <c r="C18" s="47" t="s">
        <v>11</v>
      </c>
      <c r="D18" s="41" t="s">
        <v>19</v>
      </c>
      <c r="E18" s="66"/>
      <c r="F18" s="62">
        <f>F24</f>
        <v>5.7467710430057641</v>
      </c>
      <c r="G18" s="272"/>
      <c r="H18" s="57">
        <f>'Demanda Preço &amp; Quantidade'!C28</f>
        <v>0</v>
      </c>
      <c r="L18" s="235" t="s">
        <v>162</v>
      </c>
      <c r="M18" s="256">
        <f>J40*C53</f>
        <v>0</v>
      </c>
      <c r="N18" s="236"/>
      <c r="O18" s="241"/>
      <c r="P18" s="242"/>
      <c r="Q18" s="243">
        <f>Q17+M18</f>
        <v>680.96318063429567</v>
      </c>
      <c r="R18" s="243">
        <f t="shared" si="1"/>
        <v>-30.11449029771325</v>
      </c>
      <c r="S18" s="243">
        <f>IF(R18&gt;=0,IF(M18&gt;=0,Q17,Q18),IF(M18&gt;=0,S17,Q18))</f>
        <v>680.96318063429567</v>
      </c>
      <c r="T18" s="243">
        <f>IF(M18&gt;=0,M18,0)</f>
        <v>0</v>
      </c>
      <c r="U18" s="243">
        <f t="shared" si="0"/>
        <v>0</v>
      </c>
      <c r="V18" s="244">
        <f>SUM(T18:U18)</f>
        <v>0</v>
      </c>
    </row>
    <row r="19" spans="2:22" s="47" customFormat="1" ht="15" hidden="1" customHeight="1" outlineLevel="1" x14ac:dyDescent="0.25">
      <c r="B19" s="298"/>
      <c r="C19" s="47" t="s">
        <v>87</v>
      </c>
      <c r="D19" s="41" t="s">
        <v>19</v>
      </c>
      <c r="E19" s="66"/>
      <c r="F19" s="62">
        <f>F25</f>
        <v>2.7424650541752702</v>
      </c>
      <c r="G19" s="272"/>
      <c r="H19" s="57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5" t="s">
        <v>163</v>
      </c>
      <c r="M19" s="256">
        <f>J41*C53</f>
        <v>-21.508294499999998</v>
      </c>
      <c r="N19" s="236"/>
      <c r="O19" s="241"/>
      <c r="P19" s="242"/>
      <c r="Q19" s="243">
        <f>Q18+M19</f>
        <v>659.45488613429563</v>
      </c>
      <c r="R19" s="243">
        <f t="shared" si="1"/>
        <v>0</v>
      </c>
      <c r="S19" s="243">
        <f>IF(R19&gt;=0,IF(M19&gt;=0,Q18,Q19),IF(M19&gt;=0,S18,Q19))</f>
        <v>659.45488613429563</v>
      </c>
      <c r="T19" s="243">
        <f>IF(M19&gt;=0,M19,0)</f>
        <v>0</v>
      </c>
      <c r="U19" s="243">
        <f t="shared" si="0"/>
        <v>21.508294499999998</v>
      </c>
      <c r="V19" s="244">
        <f>SUM(T19:U19)</f>
        <v>21.508294499999998</v>
      </c>
    </row>
    <row r="20" spans="2:22" s="47" customFormat="1" ht="15" hidden="1" customHeight="1" outlineLevel="1" x14ac:dyDescent="0.25">
      <c r="D20" s="41"/>
      <c r="F20" s="270"/>
      <c r="G20" s="60"/>
      <c r="H20" s="273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659.45488613429563</v>
      </c>
      <c r="R20" s="243">
        <f t="shared" si="1"/>
        <v>-21.508294499999998</v>
      </c>
      <c r="S20" s="243">
        <f>IF(R20&gt;=0,IF(M20&gt;=0,Q19,Q20),IF(M20&gt;=0,S19,Q20))</f>
        <v>659.45488613429563</v>
      </c>
      <c r="T20" s="243">
        <f>IF(M20&gt;=0,M20,0)</f>
        <v>0</v>
      </c>
      <c r="U20" s="243">
        <f t="shared" si="0"/>
        <v>0</v>
      </c>
      <c r="V20" s="244">
        <f>SUM(T20:U20)</f>
        <v>0</v>
      </c>
    </row>
    <row r="21" spans="2:22" ht="15" hidden="1" customHeight="1" outlineLevel="1" x14ac:dyDescent="0.25">
      <c r="B21" s="825" t="s">
        <v>95</v>
      </c>
      <c r="C21" s="54" t="s">
        <v>233</v>
      </c>
      <c r="D21" s="41" t="s">
        <v>20</v>
      </c>
      <c r="F21" s="57">
        <f>'C-Dados RT1 Simplif.'!C105*'C-Dados RT1 Simplif.'!C107*'C-Dados RT1 Simplif.'!C133/1000</f>
        <v>4175.9609947687304</v>
      </c>
      <c r="G21" s="60"/>
      <c r="H21" s="60"/>
      <c r="L21" s="235" t="s">
        <v>165</v>
      </c>
      <c r="M21" s="256">
        <f>J43*C53</f>
        <v>-112.45235203125</v>
      </c>
      <c r="N21" s="236"/>
      <c r="O21" s="241"/>
      <c r="P21" s="242"/>
      <c r="Q21" s="243">
        <f>Q20+M21</f>
        <v>547.0025341030456</v>
      </c>
      <c r="R21" s="243">
        <f t="shared" si="1"/>
        <v>0</v>
      </c>
      <c r="S21" s="243">
        <f>IF(R21&gt;=0,IF(M21&gt;=0,Q20,Q21),IF(M21&gt;=0,S20,Q21))</f>
        <v>547.0025341030456</v>
      </c>
      <c r="T21" s="243">
        <f>IF(M21&gt;=0,M21,0)</f>
        <v>0</v>
      </c>
      <c r="U21" s="243">
        <f t="shared" si="0"/>
        <v>112.45235203125</v>
      </c>
      <c r="V21" s="244">
        <f>SUM(T21:U21)</f>
        <v>112.45235203125</v>
      </c>
    </row>
    <row r="22" spans="2:22" ht="15" hidden="1" customHeight="1" outlineLevel="1" thickBot="1" x14ac:dyDescent="0.3">
      <c r="B22" s="825"/>
      <c r="C22" s="54" t="s">
        <v>234</v>
      </c>
      <c r="D22" s="41" t="s">
        <v>28</v>
      </c>
      <c r="F22" s="319">
        <v>0</v>
      </c>
      <c r="G22" s="60"/>
      <c r="H22" s="60"/>
      <c r="L22" s="250" t="s">
        <v>153</v>
      </c>
      <c r="M22" s="259">
        <f>M16+M17+M18+M19+M20+M21</f>
        <v>547.0025341030456</v>
      </c>
      <c r="N22" s="234"/>
      <c r="O22" s="251">
        <f>M22</f>
        <v>547.0025341030456</v>
      </c>
      <c r="P22" s="252"/>
      <c r="Q22" s="253">
        <f>Q21+M22-O22</f>
        <v>547.0025341030456</v>
      </c>
      <c r="R22" s="253">
        <f t="shared" si="1"/>
        <v>-112.45235203125</v>
      </c>
      <c r="S22" s="253">
        <v>0</v>
      </c>
      <c r="T22" s="253">
        <v>0</v>
      </c>
      <c r="U22" s="253">
        <f t="shared" si="0"/>
        <v>0</v>
      </c>
      <c r="V22" s="254">
        <f>Q22</f>
        <v>547.0025341030456</v>
      </c>
    </row>
    <row r="23" spans="2:22" ht="15" hidden="1" customHeight="1" outlineLevel="1" thickTop="1" x14ac:dyDescent="0.25">
      <c r="B23" s="825"/>
      <c r="C23" s="54" t="s">
        <v>235</v>
      </c>
      <c r="D23" s="41" t="s">
        <v>19</v>
      </c>
      <c r="F23" s="274">
        <f>'C-Dados RT1 Simplif.'!C126</f>
        <v>6.1744150530052604</v>
      </c>
      <c r="G23" s="60"/>
      <c r="H23" s="60"/>
    </row>
    <row r="24" spans="2:22" ht="15" hidden="1" customHeight="1" outlineLevel="1" x14ac:dyDescent="0.25">
      <c r="B24" s="825"/>
      <c r="C24" s="54" t="s">
        <v>236</v>
      </c>
      <c r="D24" s="41" t="s">
        <v>19</v>
      </c>
      <c r="F24" s="274">
        <f>'C-Dados RT1 Simplif.'!C129</f>
        <v>5.7467710430057641</v>
      </c>
      <c r="G24" s="60"/>
      <c r="H24" s="60"/>
    </row>
    <row r="25" spans="2:22" hidden="1" outlineLevel="1" x14ac:dyDescent="0.25">
      <c r="B25" s="825"/>
      <c r="C25" s="54" t="s">
        <v>237</v>
      </c>
      <c r="D25" s="41" t="s">
        <v>19</v>
      </c>
      <c r="F25" s="62">
        <f>('C-Dados RT1 Simplif.'!C62+'C-Dados RT1 Simplif.'!C63+'C-Dados RT1 Simplif.'!C64+'C-Dados RT1 Simplif.'!C65+'C-Dados RT1 Simplif.'!C66+'C-Dados RT1 Simplif.'!C67)/1000</f>
        <v>2.7424650541752702</v>
      </c>
    </row>
    <row r="26" spans="2:22" s="47" customFormat="1" ht="15.75" thickTop="1" x14ac:dyDescent="0.25">
      <c r="B26" s="53"/>
      <c r="C26" s="53"/>
      <c r="D26" s="41"/>
      <c r="F26" s="55"/>
      <c r="I26" s="54"/>
      <c r="L26" s="61"/>
      <c r="M26" s="61"/>
      <c r="N26" s="61"/>
    </row>
    <row r="27" spans="2:22" x14ac:dyDescent="0.25">
      <c r="F27" s="72"/>
    </row>
    <row r="28" spans="2:22" s="47" customFormat="1" ht="40.15" customHeight="1" collapsed="1" x14ac:dyDescent="0.25">
      <c r="B28" s="826" t="s">
        <v>97</v>
      </c>
      <c r="C28" s="826"/>
      <c r="D28" s="826"/>
      <c r="E28" s="826"/>
      <c r="F28" s="826"/>
      <c r="G28" s="826"/>
      <c r="H28" s="826"/>
      <c r="I28" s="826"/>
      <c r="J28" s="826"/>
      <c r="K28" s="826"/>
      <c r="L28" s="61"/>
      <c r="M28" s="61"/>
    </row>
    <row r="29" spans="2:22" s="47" customFormat="1" ht="4.9000000000000004" hidden="1" customHeight="1" outlineLevel="1" x14ac:dyDescent="0.25">
      <c r="D29" s="41"/>
      <c r="L29" s="61"/>
      <c r="M29" s="61"/>
    </row>
    <row r="30" spans="2:22" s="74" customFormat="1" ht="18.75" hidden="1" outlineLevel="1" x14ac:dyDescent="0.3">
      <c r="B30" s="812" t="s">
        <v>17</v>
      </c>
      <c r="C30" s="812"/>
      <c r="D30" s="73"/>
      <c r="F30" s="302"/>
      <c r="H30" s="302"/>
      <c r="J30" s="302"/>
      <c r="L30" s="61"/>
      <c r="M30" s="61"/>
    </row>
    <row r="31" spans="2:22" s="73" customFormat="1" ht="15.75" hidden="1" outlineLevel="1" x14ac:dyDescent="0.25">
      <c r="B31" s="812"/>
      <c r="C31" s="812"/>
      <c r="F31" s="75" t="s">
        <v>10</v>
      </c>
      <c r="H31" s="75" t="s">
        <v>10</v>
      </c>
      <c r="J31" s="75" t="s">
        <v>10</v>
      </c>
      <c r="L31" s="61"/>
      <c r="M31" s="61"/>
    </row>
    <row r="32" spans="2:22" ht="4.9000000000000004" hidden="1" customHeight="1" outlineLevel="1" x14ac:dyDescent="0.25"/>
    <row r="33" spans="2:11" hidden="1" outlineLevel="1" x14ac:dyDescent="0.25">
      <c r="B33" s="828" t="s">
        <v>14</v>
      </c>
      <c r="C33" s="61" t="s">
        <v>4</v>
      </c>
      <c r="D33" s="76" t="s">
        <v>20</v>
      </c>
      <c r="E33" s="66"/>
      <c r="F33" s="68">
        <f>F9</f>
        <v>1127.7427429811567</v>
      </c>
      <c r="G33" s="66"/>
      <c r="H33" s="67">
        <f>H9</f>
        <v>500</v>
      </c>
      <c r="I33" s="78"/>
      <c r="J33" s="79">
        <f>-'RT1A) Custos Valoriz E.Elétrica'!C20</f>
        <v>-10.485505219974332</v>
      </c>
      <c r="K33" s="78"/>
    </row>
    <row r="34" spans="2:11" hidden="1" outlineLevel="1" x14ac:dyDescent="0.25">
      <c r="B34" s="828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5.21</v>
      </c>
      <c r="I34" s="78"/>
      <c r="J34" s="79">
        <v>0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28" t="s">
        <v>15</v>
      </c>
      <c r="C36" s="61" t="s">
        <v>4</v>
      </c>
      <c r="D36" s="76" t="s">
        <v>20</v>
      </c>
      <c r="E36" s="66"/>
      <c r="F36" s="68">
        <f t="shared" ref="F36:F43" si="2">F12</f>
        <v>3048.2182517875735</v>
      </c>
      <c r="G36" s="66"/>
      <c r="H36" s="67">
        <f>H12</f>
        <v>520</v>
      </c>
      <c r="I36" s="78"/>
      <c r="J36" s="79">
        <f>-'RT1A) Custos Valoriz E.Elétrica'!C26</f>
        <v>0</v>
      </c>
      <c r="K36" s="78"/>
    </row>
    <row r="37" spans="2:11" hidden="1" outlineLevel="1" x14ac:dyDescent="0.25">
      <c r="B37" s="828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5.21</v>
      </c>
      <c r="I37" s="78"/>
      <c r="J37" s="79">
        <v>0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28" t="s">
        <v>16</v>
      </c>
      <c r="C39" s="61" t="s">
        <v>4</v>
      </c>
      <c r="D39" s="76" t="s">
        <v>20</v>
      </c>
      <c r="E39" s="66"/>
      <c r="F39" s="68">
        <f t="shared" si="2"/>
        <v>0</v>
      </c>
      <c r="G39" s="66"/>
      <c r="H39" s="67">
        <f>H15</f>
        <v>549.4</v>
      </c>
      <c r="I39" s="78"/>
      <c r="J39" s="79">
        <f>-'RT1A) Custos Valoriz E.Elétrica'!C31</f>
        <v>-30.11449029771325</v>
      </c>
      <c r="K39" s="78"/>
    </row>
    <row r="40" spans="2:11" hidden="1" outlineLevel="1" x14ac:dyDescent="0.25">
      <c r="B40" s="828"/>
      <c r="C40" s="61" t="s">
        <v>27</v>
      </c>
      <c r="D40" s="80" t="s">
        <v>28</v>
      </c>
      <c r="E40" s="66"/>
      <c r="F40" s="81">
        <f>F16</f>
        <v>0</v>
      </c>
      <c r="G40" s="66"/>
      <c r="H40" s="82">
        <f>H16</f>
        <v>3.6</v>
      </c>
      <c r="I40" s="78"/>
      <c r="J40" s="79">
        <v>0</v>
      </c>
      <c r="K40" s="78"/>
    </row>
    <row r="41" spans="2:11" hidden="1" outlineLevel="1" x14ac:dyDescent="0.25">
      <c r="B41" s="828"/>
      <c r="C41" s="61" t="s">
        <v>12</v>
      </c>
      <c r="D41" s="88" t="s">
        <v>19</v>
      </c>
      <c r="E41" s="66"/>
      <c r="F41" s="81">
        <f>F17</f>
        <v>6.1744150530052604</v>
      </c>
      <c r="G41" s="66"/>
      <c r="H41" s="67">
        <f>H17</f>
        <v>150</v>
      </c>
      <c r="I41" s="78"/>
      <c r="J41" s="79">
        <f>-F41*$H$41*1000*(1-'C-Dados RT1 Simplif.'!$C$93)*(1-'C-Dados RT1 Simplif.'!$C$89)/'C-Dados RT1 Simplif.'!$C$105</f>
        <v>-21.508294499999998</v>
      </c>
      <c r="K41" s="78"/>
    </row>
    <row r="42" spans="2:11" hidden="1" outlineLevel="1" x14ac:dyDescent="0.25">
      <c r="B42" s="828"/>
      <c r="C42" s="61" t="s">
        <v>11</v>
      </c>
      <c r="D42" s="80" t="s">
        <v>19</v>
      </c>
      <c r="E42" s="66"/>
      <c r="F42" s="81">
        <f t="shared" si="2"/>
        <v>5.7467710430057641</v>
      </c>
      <c r="G42" s="66"/>
      <c r="H42" s="67">
        <f>H18</f>
        <v>0</v>
      </c>
      <c r="I42" s="78"/>
      <c r="J42" s="79">
        <f>-F42*$H$42*1000*(1-'C-Dados RT1 Simplif.'!$C$93)*(1-'C-Dados RT1 Simplif.'!$C$89)/'C-Dados RT1 Simplif.'!$C$105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2.7424650541752702</v>
      </c>
      <c r="G43" s="66"/>
      <c r="H43" s="67">
        <f>H19</f>
        <v>1557.6802507836985</v>
      </c>
      <c r="I43" s="78"/>
      <c r="J43" s="79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</f>
        <v>-112.45235203125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75" x14ac:dyDescent="0.25">
      <c r="B46" s="829" t="s">
        <v>98</v>
      </c>
      <c r="C46" s="830"/>
      <c r="D46" s="830"/>
      <c r="E46" s="830"/>
      <c r="F46" s="830"/>
      <c r="G46" s="830"/>
      <c r="H46" s="830"/>
      <c r="I46" s="89"/>
      <c r="J46" s="301"/>
      <c r="K46" s="89"/>
    </row>
    <row r="47" spans="2:11" s="73" customFormat="1" ht="15.75" x14ac:dyDescent="0.25">
      <c r="B47" s="831"/>
      <c r="C47" s="832"/>
      <c r="D47" s="832"/>
      <c r="E47" s="832"/>
      <c r="F47" s="832"/>
      <c r="G47" s="832"/>
      <c r="H47" s="832"/>
      <c r="I47" s="49"/>
      <c r="J47" s="51" t="s">
        <v>10</v>
      </c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22" ht="25.15" customHeight="1" x14ac:dyDescent="0.25">
      <c r="B49" s="356" t="s">
        <v>99</v>
      </c>
      <c r="C49" s="357"/>
      <c r="D49" s="357"/>
      <c r="E49" s="357"/>
      <c r="F49" s="48"/>
      <c r="I49" s="89"/>
      <c r="J49" s="91">
        <f>SUM(J33:J37)+SUM(J39:J43)*C53</f>
        <v>-174.56064204893758</v>
      </c>
      <c r="K49" s="91"/>
    </row>
    <row r="50" spans="2:22" ht="4.9000000000000004" customHeight="1" x14ac:dyDescent="0.25">
      <c r="B50" s="48"/>
      <c r="C50" s="48"/>
      <c r="D50" s="48"/>
      <c r="E50" s="48"/>
      <c r="F50" s="48"/>
      <c r="I50" s="89"/>
      <c r="J50" s="91"/>
      <c r="K50" s="49"/>
    </row>
    <row r="51" spans="2:22" ht="25.15" customHeight="1" x14ac:dyDescent="0.25">
      <c r="B51" s="358" t="s">
        <v>100</v>
      </c>
      <c r="C51" s="359"/>
      <c r="D51" s="359"/>
      <c r="E51" s="359"/>
      <c r="F51" s="48"/>
      <c r="I51" s="92"/>
      <c r="J51" s="300">
        <f>'C-Dados RT1 Simplif.'!C6</f>
        <v>288.27317615198319</v>
      </c>
      <c r="K51" s="355"/>
    </row>
    <row r="52" spans="2:22" ht="4.9000000000000004" customHeight="1" x14ac:dyDescent="0.25">
      <c r="B52" s="48"/>
      <c r="C52" s="48"/>
      <c r="D52" s="48"/>
      <c r="E52" s="48"/>
      <c r="F52" s="48"/>
      <c r="I52" s="89"/>
      <c r="J52" s="94"/>
      <c r="K52" s="95"/>
    </row>
    <row r="53" spans="2:22" ht="25.15" customHeight="1" x14ac:dyDescent="0.25">
      <c r="B53" s="360" t="s">
        <v>101</v>
      </c>
      <c r="C53" s="580">
        <f>'Demanda Preço &amp; Quantidade'!D10</f>
        <v>1</v>
      </c>
      <c r="D53" s="361"/>
      <c r="E53" s="362"/>
      <c r="F53" s="48"/>
      <c r="I53" s="89"/>
      <c r="J53" s="827"/>
      <c r="K53" s="827"/>
    </row>
    <row r="54" spans="2:22" ht="4.9000000000000004" customHeight="1" x14ac:dyDescent="0.25">
      <c r="B54" s="48"/>
      <c r="C54" s="48"/>
      <c r="D54" s="48"/>
      <c r="E54" s="93"/>
      <c r="F54" s="48"/>
      <c r="I54" s="96"/>
      <c r="J54" s="97"/>
      <c r="K54" s="98"/>
    </row>
    <row r="55" spans="2:22" ht="25.15" customHeight="1" x14ac:dyDescent="0.25">
      <c r="B55" s="363" t="s">
        <v>102</v>
      </c>
      <c r="C55" s="364"/>
      <c r="D55" s="364"/>
      <c r="E55" s="364"/>
      <c r="F55" s="48"/>
      <c r="I55" s="49"/>
      <c r="J55" s="99">
        <f>$J$51+J49+M8+M9</f>
        <v>547.0025341030456</v>
      </c>
      <c r="K55" s="100"/>
    </row>
    <row r="56" spans="2:22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22" ht="18.75" x14ac:dyDescent="0.3">
      <c r="E57" s="103"/>
      <c r="G57" s="103"/>
      <c r="H57" s="103"/>
      <c r="I57" s="103"/>
      <c r="J57" s="103"/>
      <c r="K57" s="103"/>
    </row>
    <row r="58" spans="2:22" customFormat="1" x14ac:dyDescent="0.25">
      <c r="B58" s="61"/>
      <c r="C58" s="61"/>
      <c r="D58" s="71"/>
      <c r="E58" s="61"/>
      <c r="F58" s="61"/>
      <c r="G58" s="61"/>
      <c r="H58" s="61"/>
      <c r="I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</row>
    <row r="59" spans="2:22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</row>
    <row r="60" spans="2:22" s="233" customFormat="1" ht="15.75" x14ac:dyDescent="0.25"/>
    <row r="61" spans="2:22" customFormat="1" x14ac:dyDescent="0.25">
      <c r="B61" s="61"/>
      <c r="C61" s="61"/>
      <c r="D61" s="71"/>
      <c r="E61" s="61"/>
      <c r="F61" s="61"/>
      <c r="G61" s="61"/>
      <c r="H61" s="61"/>
      <c r="I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</row>
    <row r="62" spans="2:22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22" s="233" customFormat="1" ht="15.75" x14ac:dyDescent="0.25"/>
    <row r="64" spans="2:22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mergeCells count="17">
    <mergeCell ref="J53:K53"/>
    <mergeCell ref="B33:B34"/>
    <mergeCell ref="B36:B37"/>
    <mergeCell ref="B39:B42"/>
    <mergeCell ref="B46:H47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</mergeCells>
  <conditionalFormatting sqref="F23">
    <cfRule type="cellIs" dxfId="3" priority="3" operator="greaterThan">
      <formula>#REF!</formula>
    </cfRule>
    <cfRule type="cellIs" dxfId="2" priority="4" operator="lessThanOrEqual">
      <formula>#REF!</formula>
    </cfRule>
  </conditionalFormatting>
  <conditionalFormatting sqref="F24">
    <cfRule type="cellIs" dxfId="1" priority="1" operator="greaterThan">
      <formula>#REF!</formula>
    </cfRule>
    <cfRule type="cellIs" dxfId="0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D37"/>
  <sheetViews>
    <sheetView zoomScale="75" zoomScaleNormal="75" workbookViewId="0">
      <selection activeCell="C5" sqref="C5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9" customWidth="1"/>
    <col min="4" max="4" width="16.7109375" style="221" customWidth="1"/>
    <col min="5" max="5" width="3.28515625" style="1" customWidth="1"/>
    <col min="6" max="16384" width="8.85546875" style="1"/>
  </cols>
  <sheetData>
    <row r="1" spans="2:4" ht="4.9000000000000004" customHeight="1" thickBot="1" x14ac:dyDescent="0.3">
      <c r="C1" s="1"/>
      <c r="D1" s="1"/>
    </row>
    <row r="2" spans="2:4" s="224" customFormat="1" ht="19.899999999999999" customHeight="1" thickTop="1" thickBot="1" x14ac:dyDescent="0.3">
      <c r="B2" s="437" t="s">
        <v>266</v>
      </c>
      <c r="C2" s="435"/>
      <c r="D2" s="436"/>
    </row>
    <row r="3" spans="2:4" ht="4.9000000000000004" customHeight="1" outlineLevel="1" thickTop="1" thickBot="1" x14ac:dyDescent="0.3"/>
    <row r="4" spans="2:4" ht="15" customHeight="1" outlineLevel="1" thickTop="1" x14ac:dyDescent="0.25">
      <c r="B4" s="836" t="s">
        <v>105</v>
      </c>
      <c r="C4" s="446">
        <f>'C-Dados RT1 Simplif.'!C106</f>
        <v>110.21883506853425</v>
      </c>
      <c r="D4" s="440" t="s">
        <v>29</v>
      </c>
    </row>
    <row r="5" spans="2:4" ht="15" customHeight="1" outlineLevel="1" x14ac:dyDescent="0.25">
      <c r="B5" s="837"/>
      <c r="C5" s="447">
        <f>'C-Dados RT1 Simplif.'!C105</f>
        <v>34388.276541382686</v>
      </c>
      <c r="D5" s="441" t="s">
        <v>5</v>
      </c>
    </row>
    <row r="6" spans="2:4" ht="15" customHeight="1" outlineLevel="1" x14ac:dyDescent="0.25">
      <c r="B6" s="431" t="s">
        <v>137</v>
      </c>
      <c r="C6" s="448">
        <f>'C-Dados RT1 Simplif.'!C107</f>
        <v>0.48399999999999999</v>
      </c>
      <c r="D6" s="429" t="s">
        <v>1</v>
      </c>
    </row>
    <row r="7" spans="2:4" ht="15" customHeight="1" outlineLevel="1" thickBot="1" x14ac:dyDescent="0.3">
      <c r="B7" s="432" t="s">
        <v>18</v>
      </c>
      <c r="C7" s="449">
        <f>'C-Dados RT1 Simplif.'!C7</f>
        <v>35</v>
      </c>
      <c r="D7" s="442" t="s">
        <v>106</v>
      </c>
    </row>
    <row r="8" spans="2:4" ht="4.9000000000000004" customHeight="1" outlineLevel="1" thickTop="1" thickBot="1" x14ac:dyDescent="0.3"/>
    <row r="9" spans="2:4" ht="15" customHeight="1" outlineLevel="1" thickTop="1" x14ac:dyDescent="0.25">
      <c r="B9" s="438" t="s">
        <v>107</v>
      </c>
      <c r="C9" s="450"/>
      <c r="D9" s="443"/>
    </row>
    <row r="10" spans="2:4" ht="15" customHeight="1" outlineLevel="1" x14ac:dyDescent="0.25">
      <c r="B10" s="433" t="s">
        <v>108</v>
      </c>
      <c r="C10" s="451">
        <v>183</v>
      </c>
      <c r="D10" s="444" t="s">
        <v>138</v>
      </c>
    </row>
    <row r="11" spans="2:4" ht="15" customHeight="1" outlineLevel="1" x14ac:dyDescent="0.25">
      <c r="B11" s="434" t="s">
        <v>110</v>
      </c>
      <c r="C11" s="451"/>
      <c r="D11" s="444"/>
    </row>
    <row r="12" spans="2:4" ht="15" customHeight="1" outlineLevel="1" x14ac:dyDescent="0.25">
      <c r="B12" s="433" t="s">
        <v>108</v>
      </c>
      <c r="C12" s="451">
        <v>40</v>
      </c>
      <c r="D12" s="444" t="s">
        <v>139</v>
      </c>
    </row>
    <row r="13" spans="2:4" ht="15" customHeight="1" outlineLevel="1" x14ac:dyDescent="0.25">
      <c r="B13" s="434" t="s">
        <v>111</v>
      </c>
      <c r="C13" s="451"/>
      <c r="D13" s="444"/>
    </row>
    <row r="14" spans="2:4" ht="15" customHeight="1" outlineLevel="1" thickBot="1" x14ac:dyDescent="0.3">
      <c r="B14" s="432" t="s">
        <v>112</v>
      </c>
      <c r="C14" s="668">
        <f>'C-Dados RT1 Simplif.'!C133</f>
        <v>250.89999999999998</v>
      </c>
      <c r="D14" s="442" t="s">
        <v>140</v>
      </c>
    </row>
    <row r="15" spans="2:4" s="2" customFormat="1" ht="15" customHeight="1" thickTop="1" x14ac:dyDescent="0.25">
      <c r="B15" s="526" t="s">
        <v>119</v>
      </c>
      <c r="C15" s="527">
        <f>(C10*C5*C6+C12*C5*C6*C7)*1000/(C14*C5*C6*C7)</f>
        <v>180.26533052439785</v>
      </c>
      <c r="D15" s="528" t="s">
        <v>0</v>
      </c>
    </row>
    <row r="16" spans="2:4" ht="4.9000000000000004" customHeight="1" x14ac:dyDescent="0.25"/>
    <row r="17" spans="2:4" s="2" customFormat="1" ht="15" customHeight="1" thickBot="1" x14ac:dyDescent="0.3">
      <c r="B17" s="439" t="s">
        <v>304</v>
      </c>
      <c r="C17" s="452">
        <f>'Demanda Preço &amp; Quantidade'!C42</f>
        <v>500</v>
      </c>
      <c r="D17" s="445" t="s">
        <v>0</v>
      </c>
    </row>
    <row r="18" spans="2:4" s="2" customFormat="1" ht="15.75" thickTop="1" x14ac:dyDescent="0.25">
      <c r="B18" s="833" t="s">
        <v>342</v>
      </c>
      <c r="C18" s="487">
        <f>'RT1A)BIODIG Energia Elétrica'!F9*(C17-C15)/1000000</f>
        <v>0.36057845318058901</v>
      </c>
      <c r="D18" s="387" t="s">
        <v>274</v>
      </c>
    </row>
    <row r="19" spans="2:4" s="2" customFormat="1" x14ac:dyDescent="0.25">
      <c r="B19" s="834"/>
      <c r="C19" s="487">
        <f>C18*C7</f>
        <v>12.620245861320615</v>
      </c>
      <c r="D19" s="387" t="s">
        <v>338</v>
      </c>
    </row>
    <row r="20" spans="2:4" s="2" customFormat="1" ht="15.75" thickBot="1" x14ac:dyDescent="0.3">
      <c r="B20" s="835"/>
      <c r="C20" s="524">
        <f>C18*1000000/C5</f>
        <v>10.485505219974332</v>
      </c>
      <c r="D20" s="519" t="s">
        <v>8</v>
      </c>
    </row>
    <row r="21" spans="2:4" ht="4.9000000000000004" customHeight="1" thickTop="1" x14ac:dyDescent="0.25"/>
    <row r="22" spans="2:4" s="2" customFormat="1" ht="15" customHeight="1" thickBot="1" x14ac:dyDescent="0.3">
      <c r="B22" s="439" t="str">
        <f>'Demanda Preço &amp; Quantidade'!B52</f>
        <v>Custo Público Referencial Energia Elétrica</v>
      </c>
      <c r="C22" s="452">
        <f>'Demanda Preço &amp; Quantidade'!C52</f>
        <v>520</v>
      </c>
      <c r="D22" s="445" t="s">
        <v>0</v>
      </c>
    </row>
    <row r="23" spans="2:4" s="2" customFormat="1" ht="15" customHeight="1" thickTop="1" thickBot="1" x14ac:dyDescent="0.3">
      <c r="B23" s="439" t="str">
        <f>'Demanda Preço &amp; Quantidade'!I52</f>
        <v>Preço Proposto p/ Energia Elétrica</v>
      </c>
      <c r="C23" s="452">
        <f>'Demanda Preço &amp; Quantidade'!J52</f>
        <v>520</v>
      </c>
      <c r="D23" s="445" t="s">
        <v>0</v>
      </c>
    </row>
    <row r="24" spans="2:4" s="2" customFormat="1" ht="15.75" thickTop="1" x14ac:dyDescent="0.25">
      <c r="B24" s="833" t="s">
        <v>303</v>
      </c>
      <c r="C24" s="737">
        <f>'RT1A)BIODIG Energia Elétrica'!F12*((C22-C23))/1000000</f>
        <v>0</v>
      </c>
      <c r="D24" s="387" t="s">
        <v>274</v>
      </c>
    </row>
    <row r="25" spans="2:4" s="2" customFormat="1" x14ac:dyDescent="0.25">
      <c r="B25" s="834"/>
      <c r="C25" s="487">
        <f>C24*C7</f>
        <v>0</v>
      </c>
      <c r="D25" s="387" t="s">
        <v>338</v>
      </c>
    </row>
    <row r="26" spans="2:4" s="2" customFormat="1" ht="15.75" thickBot="1" x14ac:dyDescent="0.3">
      <c r="B26" s="835"/>
      <c r="C26" s="524">
        <f>C24*1000000/C5</f>
        <v>0</v>
      </c>
      <c r="D26" s="519" t="s">
        <v>8</v>
      </c>
    </row>
    <row r="27" spans="2:4" ht="4.9000000000000004" customHeight="1" thickTop="1" x14ac:dyDescent="0.25"/>
    <row r="28" spans="2:4" s="2" customFormat="1" ht="15" customHeight="1" thickBot="1" x14ac:dyDescent="0.3">
      <c r="B28" s="439" t="s">
        <v>340</v>
      </c>
      <c r="C28" s="736">
        <f>'Demanda Preço &amp; Quantidade'!C17</f>
        <v>549.4</v>
      </c>
      <c r="D28" s="445" t="s">
        <v>0</v>
      </c>
    </row>
    <row r="29" spans="2:4" s="2" customFormat="1" ht="15.75" thickTop="1" x14ac:dyDescent="0.25">
      <c r="B29" s="833" t="s">
        <v>339</v>
      </c>
      <c r="C29" s="487">
        <f>('RT1A)BIODIG Energia Elétrica'!F15*(C28*(1-'C-Dados RT1 Simplif.'!$C$93)*(1-'C-Dados RT1 Simplif.'!$C$89)-C15)+'RT1A)BIODIG Energia Elétrica'!F12*(C23-C15))/1000000</f>
        <v>1.035585420260549</v>
      </c>
      <c r="D29" s="387" t="s">
        <v>274</v>
      </c>
    </row>
    <row r="30" spans="2:4" s="2" customFormat="1" x14ac:dyDescent="0.25">
      <c r="B30" s="834"/>
      <c r="C30" s="487">
        <f>C29*C7</f>
        <v>36.245489709119212</v>
      </c>
      <c r="D30" s="387" t="s">
        <v>338</v>
      </c>
    </row>
    <row r="31" spans="2:4" s="2" customFormat="1" ht="15.75" thickBot="1" x14ac:dyDescent="0.3">
      <c r="B31" s="835"/>
      <c r="C31" s="524">
        <f>C29*1000000/C5</f>
        <v>30.11449029771325</v>
      </c>
      <c r="D31" s="519" t="s">
        <v>8</v>
      </c>
    </row>
    <row r="32" spans="2:4" ht="15" customHeight="1" thickTop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</sheetData>
  <mergeCells count="4">
    <mergeCell ref="B24:B26"/>
    <mergeCell ref="B18:B20"/>
    <mergeCell ref="B4:B5"/>
    <mergeCell ref="B29:B3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12.7109375" style="61" bestFit="1" customWidth="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13" t="s">
        <v>13</v>
      </c>
      <c r="C3" s="813"/>
      <c r="D3" s="813"/>
      <c r="E3" s="813"/>
      <c r="F3" s="813"/>
      <c r="G3" s="813"/>
      <c r="H3" s="813"/>
      <c r="L3" s="814" t="s">
        <v>144</v>
      </c>
      <c r="M3" s="815"/>
      <c r="N3" s="263"/>
      <c r="O3" s="816" t="s">
        <v>154</v>
      </c>
      <c r="P3" s="816"/>
      <c r="Q3" s="816"/>
      <c r="R3" s="816"/>
      <c r="S3" s="816"/>
      <c r="T3" s="816"/>
      <c r="U3" s="816"/>
      <c r="V3" s="816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17" t="s">
        <v>91</v>
      </c>
      <c r="C5" s="817"/>
      <c r="D5" s="49"/>
      <c r="E5" s="49"/>
      <c r="F5" s="303"/>
      <c r="G5" s="49"/>
      <c r="H5" s="303"/>
      <c r="L5" s="818" t="s">
        <v>156</v>
      </c>
      <c r="M5" s="819"/>
      <c r="N5"/>
      <c r="O5" s="822" t="s">
        <v>143</v>
      </c>
      <c r="P5" s="823"/>
      <c r="Q5" s="823"/>
      <c r="R5" s="823"/>
      <c r="S5" s="823"/>
      <c r="T5" s="823"/>
      <c r="U5" s="823"/>
      <c r="V5" s="824"/>
    </row>
    <row r="6" spans="2:22" s="53" customFormat="1" ht="15" hidden="1" customHeight="1" outlineLevel="1" thickTop="1" thickBot="1" x14ac:dyDescent="0.3">
      <c r="B6" s="817"/>
      <c r="C6" s="817"/>
      <c r="D6" s="50"/>
      <c r="E6" s="52"/>
      <c r="F6" s="51" t="s">
        <v>10</v>
      </c>
      <c r="G6" s="52"/>
      <c r="H6" s="51" t="s">
        <v>10</v>
      </c>
      <c r="L6" s="820"/>
      <c r="M6" s="821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288.27317615198319</v>
      </c>
      <c r="N7" s="234"/>
      <c r="O7" s="237">
        <f>M7</f>
        <v>288.27317615198319</v>
      </c>
      <c r="P7" s="238"/>
      <c r="Q7" s="239">
        <f>M7</f>
        <v>288.27317615198319</v>
      </c>
      <c r="R7" s="239"/>
      <c r="S7" s="239"/>
      <c r="T7" s="239"/>
      <c r="U7" s="239"/>
      <c r="V7" s="240">
        <f>Q7</f>
        <v>288.27317615198319</v>
      </c>
    </row>
    <row r="8" spans="2:22" s="47" customFormat="1" ht="15" hidden="1" customHeight="1" outlineLevel="1" x14ac:dyDescent="0.25">
      <c r="C8" s="54"/>
      <c r="D8" s="41"/>
      <c r="E8" s="56"/>
      <c r="F8" s="269"/>
      <c r="G8" s="271"/>
      <c r="H8" s="269"/>
      <c r="I8" s="54"/>
      <c r="L8" s="686" t="s">
        <v>353</v>
      </c>
      <c r="M8" s="256">
        <f>'RESUMO GERAL Valoriz. RT´s'!D29+'RESUMO GERAL Valoriz. RT´s'!D30</f>
        <v>432.58</v>
      </c>
      <c r="N8" s="236"/>
      <c r="O8" s="241"/>
      <c r="P8" s="242"/>
      <c r="Q8" s="243">
        <f>Q7+M8</f>
        <v>720.85317615198323</v>
      </c>
      <c r="R8" s="243">
        <f>M7</f>
        <v>288.27317615198319</v>
      </c>
      <c r="S8" s="243">
        <f>IF(R8&gt;=0,IF(M8&gt;=0,Q7,Q8),IF(M8&gt;=0,S7,Q8))</f>
        <v>288.27317615198319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25" t="s">
        <v>92</v>
      </c>
      <c r="C9" s="47" t="s">
        <v>4</v>
      </c>
      <c r="D9" s="41" t="s">
        <v>20</v>
      </c>
      <c r="E9" s="60"/>
      <c r="F9" s="57">
        <f>'C-Dados RT1 Simplif.'!C108</f>
        <v>1127.7427429811567</v>
      </c>
      <c r="G9" s="272"/>
      <c r="H9" s="365">
        <v>0</v>
      </c>
      <c r="L9" s="686" t="s">
        <v>354</v>
      </c>
      <c r="M9" s="256">
        <f>'RESUMO GERAL Valoriz. RT´s'!D31</f>
        <v>0.71</v>
      </c>
      <c r="N9" s="236"/>
      <c r="O9" s="241"/>
      <c r="P9" s="242"/>
      <c r="Q9" s="243">
        <f>Q8+M9</f>
        <v>721.56317615198327</v>
      </c>
      <c r="R9" s="243">
        <f>M8</f>
        <v>432.58</v>
      </c>
      <c r="S9" s="243">
        <f>IF(R9&gt;=0,IF(M9&gt;=0,Q8,Q9),IF(M9&gt;=0,S8,Q9))</f>
        <v>720.85317615198323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25"/>
      <c r="C10" s="61" t="s">
        <v>27</v>
      </c>
      <c r="D10" s="41" t="s">
        <v>28</v>
      </c>
      <c r="E10" s="60"/>
      <c r="F10" s="57">
        <f>'Demanda Preço &amp; Quantidade'!C72</f>
        <v>150</v>
      </c>
      <c r="G10" s="272"/>
      <c r="H10" s="63">
        <f>'Demanda Preço &amp; Quantidade'!C48</f>
        <v>5.21</v>
      </c>
      <c r="L10" s="249" t="s">
        <v>352</v>
      </c>
      <c r="M10" s="257">
        <f>SUM(M7:M9)</f>
        <v>721.56317615198327</v>
      </c>
      <c r="N10" s="234"/>
      <c r="O10" s="237">
        <f>M10</f>
        <v>721.56317615198327</v>
      </c>
      <c r="P10" s="238"/>
      <c r="Q10" s="239">
        <f>M10</f>
        <v>721.56317615198327</v>
      </c>
      <c r="R10" s="239"/>
      <c r="S10" s="239"/>
      <c r="T10" s="239"/>
      <c r="U10" s="239"/>
      <c r="V10" s="240">
        <f>Q10</f>
        <v>721.56317615198327</v>
      </c>
    </row>
    <row r="11" spans="2:22" s="47" customFormat="1" ht="15" hidden="1" customHeight="1" outlineLevel="1" x14ac:dyDescent="0.25">
      <c r="B11" s="44"/>
      <c r="D11" s="41"/>
      <c r="E11" s="60"/>
      <c r="F11" s="270"/>
      <c r="G11" s="60"/>
      <c r="H11" s="270"/>
      <c r="L11" s="235" t="s">
        <v>157</v>
      </c>
      <c r="M11" s="256">
        <f>J33</f>
        <v>0</v>
      </c>
      <c r="N11" s="236"/>
      <c r="O11" s="241"/>
      <c r="P11" s="242"/>
      <c r="Q11" s="243">
        <f>Q10+M11</f>
        <v>721.56317615198327</v>
      </c>
      <c r="R11" s="243">
        <f t="shared" ref="R11:R22" si="0">M10</f>
        <v>721.56317615198327</v>
      </c>
      <c r="S11" s="243">
        <f>IF(R11&gt;=0,IF(M11&gt;=0,Q10,Q11),IF(M11&gt;=0,S10,Q11))</f>
        <v>721.56317615198327</v>
      </c>
      <c r="T11" s="243">
        <f>IF(M11&gt;=0,M11,0)</f>
        <v>0</v>
      </c>
      <c r="U11" s="243">
        <f t="shared" ref="U11:U22" si="1">IF(M11&lt;0,M11*-1,0)</f>
        <v>0</v>
      </c>
      <c r="V11" s="244">
        <f>SUM(T11:U11)</f>
        <v>0</v>
      </c>
    </row>
    <row r="12" spans="2:22" s="47" customFormat="1" ht="15" hidden="1" customHeight="1" outlineLevel="1" x14ac:dyDescent="0.25">
      <c r="B12" s="825" t="s">
        <v>93</v>
      </c>
      <c r="C12" s="47" t="s">
        <v>4</v>
      </c>
      <c r="D12" s="41" t="s">
        <v>20</v>
      </c>
      <c r="E12" s="60"/>
      <c r="F12" s="319">
        <v>0</v>
      </c>
      <c r="G12" s="272"/>
      <c r="H12" s="57">
        <f>'Demanda Preço &amp; Quantidade'!C52</f>
        <v>520</v>
      </c>
      <c r="L12" s="235" t="s">
        <v>158</v>
      </c>
      <c r="M12" s="669">
        <f>J34</f>
        <v>-14.473456677177278</v>
      </c>
      <c r="N12" s="236"/>
      <c r="O12" s="241"/>
      <c r="P12" s="242"/>
      <c r="Q12" s="243">
        <f>Q11+M12</f>
        <v>707.08971947480597</v>
      </c>
      <c r="R12" s="243">
        <f t="shared" si="0"/>
        <v>0</v>
      </c>
      <c r="S12" s="243">
        <f>IF(R12&gt;=0,IF(M12&gt;=0,Q11,Q12),IF(M12&gt;=0,S11,Q12))</f>
        <v>707.08971947480597</v>
      </c>
      <c r="T12" s="243">
        <f>IF(M12&gt;=0,M12,0)</f>
        <v>0</v>
      </c>
      <c r="U12" s="243">
        <f t="shared" si="1"/>
        <v>14.473456677177278</v>
      </c>
      <c r="V12" s="244">
        <f>SUM(T12:U12)</f>
        <v>14.473456677177278</v>
      </c>
    </row>
    <row r="13" spans="2:22" s="47" customFormat="1" ht="15" hidden="1" customHeight="1" outlineLevel="1" x14ac:dyDescent="0.25">
      <c r="B13" s="825"/>
      <c r="C13" s="61" t="s">
        <v>27</v>
      </c>
      <c r="D13" s="41" t="s">
        <v>28</v>
      </c>
      <c r="E13" s="60"/>
      <c r="F13" s="57">
        <f>'Demanda Preço &amp; Quantidade'!C88</f>
        <v>337.5</v>
      </c>
      <c r="G13" s="272"/>
      <c r="H13" s="63">
        <f>'Demanda Preço &amp; Quantidade'!C58</f>
        <v>5.21</v>
      </c>
      <c r="L13" s="250" t="s">
        <v>155</v>
      </c>
      <c r="M13" s="257">
        <f>SUM(M10:M12)</f>
        <v>707.08971947480597</v>
      </c>
      <c r="N13" s="234"/>
      <c r="O13" s="245">
        <f>M13</f>
        <v>707.08971947480597</v>
      </c>
      <c r="P13" s="246"/>
      <c r="Q13" s="247">
        <f>Q12+M13-O13</f>
        <v>707.08971947480597</v>
      </c>
      <c r="R13" s="247">
        <f t="shared" si="0"/>
        <v>-14.473456677177278</v>
      </c>
      <c r="S13" s="247">
        <v>0</v>
      </c>
      <c r="T13" s="247">
        <v>0</v>
      </c>
      <c r="U13" s="247">
        <f t="shared" si="1"/>
        <v>0</v>
      </c>
      <c r="V13" s="248">
        <f>Q13</f>
        <v>707.08971947480597</v>
      </c>
    </row>
    <row r="14" spans="2:22" s="47" customFormat="1" ht="15" hidden="1" customHeight="1" outlineLevel="1" x14ac:dyDescent="0.25">
      <c r="B14" s="44"/>
      <c r="D14" s="41"/>
      <c r="E14" s="66"/>
      <c r="F14" s="270"/>
      <c r="G14" s="60"/>
      <c r="H14" s="270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707.08971947480597</v>
      </c>
      <c r="R14" s="243">
        <f t="shared" si="0"/>
        <v>707.08971947480597</v>
      </c>
      <c r="S14" s="243">
        <f>IF(R14&gt;=0,IF(M14&gt;=0,Q13,Q14),IF(M14&gt;=0,S13,Q14))</f>
        <v>707.08971947480597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25" t="s">
        <v>94</v>
      </c>
      <c r="C15" s="47" t="s">
        <v>4</v>
      </c>
      <c r="D15" s="41" t="s">
        <v>20</v>
      </c>
      <c r="E15" s="66"/>
      <c r="F15" s="319">
        <v>0</v>
      </c>
      <c r="G15" s="272"/>
      <c r="H15" s="57">
        <f>'Demanda Preço &amp; Quantidade'!C18</f>
        <v>549.4</v>
      </c>
      <c r="L15" s="235" t="s">
        <v>160</v>
      </c>
      <c r="M15" s="669">
        <f>J37</f>
        <v>-10.973745300674368</v>
      </c>
      <c r="N15" s="236"/>
      <c r="O15" s="241"/>
      <c r="P15" s="242"/>
      <c r="Q15" s="243">
        <f>Q14+M15</f>
        <v>696.11597417413157</v>
      </c>
      <c r="R15" s="243">
        <f t="shared" si="0"/>
        <v>0</v>
      </c>
      <c r="S15" s="243">
        <f>IF(R15&gt;=0,IF(M15&gt;=0,Q14,Q15),IF(M15&gt;=0,S14,Q15))</f>
        <v>696.11597417413157</v>
      </c>
      <c r="T15" s="243">
        <f>IF(M15&gt;=0,M15,0)</f>
        <v>0</v>
      </c>
      <c r="U15" s="243">
        <f t="shared" si="1"/>
        <v>10.973745300674368</v>
      </c>
      <c r="V15" s="244">
        <f>SUM(T15:U15)</f>
        <v>10.973745300674368</v>
      </c>
    </row>
    <row r="16" spans="2:22" s="47" customFormat="1" ht="15" hidden="1" customHeight="1" outlineLevel="1" x14ac:dyDescent="0.25">
      <c r="B16" s="825"/>
      <c r="C16" s="61" t="s">
        <v>27</v>
      </c>
      <c r="D16" s="41" t="s">
        <v>28</v>
      </c>
      <c r="E16" s="66"/>
      <c r="F16" s="57">
        <f>IF((F22-F10-F13-'Demanda Preço &amp; Quantidade'!C103*'Demanda Preço &amp; Quantidade'!C101/1000)&gt;0,'Demanda Preço &amp; Quantidade'!C103*'Demanda Preço &amp; Quantidade'!C101/1000,F22-F10-F13)</f>
        <v>556.4902486921826</v>
      </c>
      <c r="G16" s="272"/>
      <c r="H16" s="63">
        <f>'Demanda Preço &amp; Quantidade'!C26</f>
        <v>3.6</v>
      </c>
      <c r="L16" s="250" t="s">
        <v>152</v>
      </c>
      <c r="M16" s="258">
        <f>M13</f>
        <v>707.08971947480597</v>
      </c>
      <c r="N16" s="234"/>
      <c r="O16" s="245">
        <f>M16</f>
        <v>707.08971947480597</v>
      </c>
      <c r="P16" s="246"/>
      <c r="Q16" s="247">
        <f>Q15+M16-O16</f>
        <v>696.11597417413157</v>
      </c>
      <c r="R16" s="247">
        <f t="shared" si="0"/>
        <v>-10.973745300674368</v>
      </c>
      <c r="S16" s="247">
        <v>0</v>
      </c>
      <c r="T16" s="247">
        <v>0</v>
      </c>
      <c r="U16" s="247">
        <f t="shared" si="1"/>
        <v>0</v>
      </c>
      <c r="V16" s="248">
        <f>Q16</f>
        <v>696.11597417413157</v>
      </c>
    </row>
    <row r="17" spans="2:22" s="47" customFormat="1" ht="15" hidden="1" customHeight="1" outlineLevel="1" x14ac:dyDescent="0.25">
      <c r="B17" s="825"/>
      <c r="C17" s="47" t="s">
        <v>12</v>
      </c>
      <c r="D17" s="41" t="s">
        <v>19</v>
      </c>
      <c r="E17" s="66"/>
      <c r="F17" s="62">
        <f>F23</f>
        <v>6.1744150530052604</v>
      </c>
      <c r="G17" s="272"/>
      <c r="H17" s="57">
        <f>'Demanda Preço &amp; Quantidade'!C27</f>
        <v>150</v>
      </c>
      <c r="L17" s="235" t="s">
        <v>161</v>
      </c>
      <c r="M17" s="256">
        <f>J39*C53</f>
        <v>0</v>
      </c>
      <c r="N17" s="236"/>
      <c r="O17" s="241"/>
      <c r="P17" s="242"/>
      <c r="Q17" s="243">
        <f>Q16+M17</f>
        <v>696.11597417413157</v>
      </c>
      <c r="R17" s="243">
        <f t="shared" si="0"/>
        <v>707.08971947480597</v>
      </c>
      <c r="S17" s="243">
        <f>IF(R17&gt;=0,IF(M17&gt;=0,Q16,Q17),IF(M17&gt;=0,S16,Q17))</f>
        <v>696.11597417413157</v>
      </c>
      <c r="T17" s="243">
        <f>IF(M17&gt;=0,M17,0)</f>
        <v>0</v>
      </c>
      <c r="U17" s="243">
        <f t="shared" si="1"/>
        <v>0</v>
      </c>
      <c r="V17" s="244">
        <f>SUM(T17:U17)</f>
        <v>0</v>
      </c>
    </row>
    <row r="18" spans="2:22" s="47" customFormat="1" ht="15" hidden="1" customHeight="1" outlineLevel="1" x14ac:dyDescent="0.25">
      <c r="B18" s="825"/>
      <c r="C18" s="47" t="s">
        <v>11</v>
      </c>
      <c r="D18" s="41" t="s">
        <v>19</v>
      </c>
      <c r="E18" s="66"/>
      <c r="F18" s="62">
        <f>F24</f>
        <v>5.7467710430057641</v>
      </c>
      <c r="G18" s="272"/>
      <c r="H18" s="57">
        <f>'Demanda Preço &amp; Quantidade'!C28</f>
        <v>0</v>
      </c>
      <c r="L18" s="235" t="s">
        <v>162</v>
      </c>
      <c r="M18" s="256">
        <f>J40*C53</f>
        <v>-23.813013173065247</v>
      </c>
      <c r="N18" s="236"/>
      <c r="O18" s="241"/>
      <c r="P18" s="242"/>
      <c r="Q18" s="243">
        <f>Q17+M18</f>
        <v>672.30296100106636</v>
      </c>
      <c r="R18" s="243">
        <f t="shared" si="0"/>
        <v>0</v>
      </c>
      <c r="S18" s="243">
        <f>IF(R18&gt;=0,IF(M18&gt;=0,Q17,Q18),IF(M18&gt;=0,S17,Q18))</f>
        <v>672.30296100106636</v>
      </c>
      <c r="T18" s="243">
        <f>IF(M18&gt;=0,M18,0)</f>
        <v>0</v>
      </c>
      <c r="U18" s="243">
        <f t="shared" si="1"/>
        <v>23.813013173065247</v>
      </c>
      <c r="V18" s="244">
        <f>SUM(T18:U18)</f>
        <v>23.813013173065247</v>
      </c>
    </row>
    <row r="19" spans="2:22" s="47" customFormat="1" ht="15" hidden="1" customHeight="1" outlineLevel="1" x14ac:dyDescent="0.25">
      <c r="B19" s="298"/>
      <c r="C19" s="47" t="s">
        <v>87</v>
      </c>
      <c r="D19" s="41" t="s">
        <v>19</v>
      </c>
      <c r="E19" s="66"/>
      <c r="F19" s="62">
        <f>F25</f>
        <v>2.7424650541752702</v>
      </c>
      <c r="G19" s="272"/>
      <c r="H19" s="57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5" t="s">
        <v>163</v>
      </c>
      <c r="M19" s="256">
        <f>J41*C53</f>
        <v>-21.508294499999998</v>
      </c>
      <c r="N19" s="236"/>
      <c r="O19" s="241"/>
      <c r="P19" s="242"/>
      <c r="Q19" s="243">
        <f>Q18+M19</f>
        <v>650.79466650106633</v>
      </c>
      <c r="R19" s="243">
        <f t="shared" si="0"/>
        <v>-23.813013173065247</v>
      </c>
      <c r="S19" s="243">
        <f>IF(R19&gt;=0,IF(M19&gt;=0,Q18,Q19),IF(M19&gt;=0,S18,Q19))</f>
        <v>650.79466650106633</v>
      </c>
      <c r="T19" s="243">
        <f>IF(M19&gt;=0,M19,0)</f>
        <v>0</v>
      </c>
      <c r="U19" s="243">
        <f t="shared" si="1"/>
        <v>21.508294499999998</v>
      </c>
      <c r="V19" s="244">
        <f>SUM(T19:U19)</f>
        <v>21.508294499999998</v>
      </c>
    </row>
    <row r="20" spans="2:22" s="47" customFormat="1" ht="15" hidden="1" customHeight="1" outlineLevel="1" x14ac:dyDescent="0.25">
      <c r="D20" s="41"/>
      <c r="F20" s="270"/>
      <c r="G20" s="60"/>
      <c r="H20" s="273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650.79466650106633</v>
      </c>
      <c r="R20" s="243">
        <f t="shared" si="0"/>
        <v>-21.508294499999998</v>
      </c>
      <c r="S20" s="243">
        <f>IF(R20&gt;=0,IF(M20&gt;=0,Q19,Q20),IF(M20&gt;=0,S19,Q20))</f>
        <v>650.79466650106633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25" t="s">
        <v>95</v>
      </c>
      <c r="C21" s="54" t="s">
        <v>233</v>
      </c>
      <c r="D21" s="41" t="s">
        <v>20</v>
      </c>
      <c r="F21" s="319">
        <v>0</v>
      </c>
      <c r="G21" s="60"/>
      <c r="H21" s="60"/>
      <c r="L21" s="235" t="s">
        <v>165</v>
      </c>
      <c r="M21" s="256">
        <f>J43*C53</f>
        <v>-112.45235203125</v>
      </c>
      <c r="N21" s="236"/>
      <c r="O21" s="241"/>
      <c r="P21" s="242"/>
      <c r="Q21" s="243">
        <f>Q20+M21</f>
        <v>538.3423144698163</v>
      </c>
      <c r="R21" s="243">
        <f t="shared" si="0"/>
        <v>0</v>
      </c>
      <c r="S21" s="243">
        <f>IF(R21&gt;=0,IF(M21&gt;=0,Q20,Q21),IF(M21&gt;=0,S20,Q21))</f>
        <v>538.3423144698163</v>
      </c>
      <c r="T21" s="243">
        <f>IF(M21&gt;=0,M21,0)</f>
        <v>0</v>
      </c>
      <c r="U21" s="243">
        <f t="shared" si="1"/>
        <v>112.45235203125</v>
      </c>
      <c r="V21" s="244">
        <f>SUM(T21:U21)</f>
        <v>112.45235203125</v>
      </c>
    </row>
    <row r="22" spans="2:22" ht="15" hidden="1" customHeight="1" outlineLevel="1" thickBot="1" x14ac:dyDescent="0.3">
      <c r="B22" s="825"/>
      <c r="C22" s="54" t="s">
        <v>234</v>
      </c>
      <c r="D22" s="41" t="s">
        <v>28</v>
      </c>
      <c r="F22" s="57">
        <f>'C-Dados RT1 Simplif.'!C105*'C-Dados RT1 Simplif.'!C107*'C-Dados RT1 Simplif.'!C136/1000</f>
        <v>1043.9902486921826</v>
      </c>
      <c r="G22" s="60"/>
      <c r="H22" s="687">
        <f>F16/F22</f>
        <v>0.5330416154646116</v>
      </c>
      <c r="L22" s="250" t="s">
        <v>153</v>
      </c>
      <c r="M22" s="259">
        <f>M16+M17+M18+M19+M20+M21</f>
        <v>549.31605977049071</v>
      </c>
      <c r="N22" s="234"/>
      <c r="O22" s="251">
        <f>M22</f>
        <v>549.31605977049071</v>
      </c>
      <c r="P22" s="252"/>
      <c r="Q22" s="253">
        <f>Q21+M22-O22</f>
        <v>538.3423144698163</v>
      </c>
      <c r="R22" s="253">
        <f t="shared" si="0"/>
        <v>-112.45235203125</v>
      </c>
      <c r="S22" s="253">
        <v>0</v>
      </c>
      <c r="T22" s="253">
        <v>0</v>
      </c>
      <c r="U22" s="253">
        <f t="shared" si="1"/>
        <v>0</v>
      </c>
      <c r="V22" s="254">
        <f>Q22</f>
        <v>538.3423144698163</v>
      </c>
    </row>
    <row r="23" spans="2:22" ht="15" hidden="1" customHeight="1" outlineLevel="1" thickTop="1" x14ac:dyDescent="0.25">
      <c r="B23" s="825"/>
      <c r="C23" s="54" t="s">
        <v>235</v>
      </c>
      <c r="D23" s="41" t="s">
        <v>19</v>
      </c>
      <c r="F23" s="62">
        <f>'C-Dados RT1 Simplif.'!C126</f>
        <v>6.1744150530052604</v>
      </c>
      <c r="G23" s="60"/>
      <c r="H23" s="60"/>
    </row>
    <row r="24" spans="2:22" ht="15" hidden="1" customHeight="1" outlineLevel="1" x14ac:dyDescent="0.25">
      <c r="B24" s="825"/>
      <c r="C24" s="54" t="s">
        <v>236</v>
      </c>
      <c r="D24" s="41" t="s">
        <v>19</v>
      </c>
      <c r="F24" s="62">
        <f>'C-Dados RT1 Simplif.'!C129</f>
        <v>5.7467710430057641</v>
      </c>
      <c r="G24" s="60"/>
      <c r="H24" s="60"/>
    </row>
    <row r="25" spans="2:22" hidden="1" outlineLevel="1" x14ac:dyDescent="0.25">
      <c r="B25" s="825"/>
      <c r="C25" s="54" t="s">
        <v>237</v>
      </c>
      <c r="D25" s="41" t="s">
        <v>19</v>
      </c>
      <c r="F25" s="62">
        <f>('C-Dados RT1 Simplif.'!C62+'C-Dados RT1 Simplif.'!C63+'C-Dados RT1 Simplif.'!C64+'C-Dados RT1 Simplif.'!C65+'C-Dados RT1 Simplif.'!C66+'C-Dados RT1 Simplif.'!C67)/1000</f>
        <v>2.7424650541752702</v>
      </c>
    </row>
    <row r="26" spans="2:22" s="47" customFormat="1" ht="15.75" thickTop="1" x14ac:dyDescent="0.25">
      <c r="B26" s="53"/>
      <c r="C26" s="53"/>
      <c r="D26" s="41"/>
      <c r="F26" s="55"/>
      <c r="I26" s="54"/>
      <c r="N26" s="61"/>
    </row>
    <row r="27" spans="2:22" x14ac:dyDescent="0.25">
      <c r="F27" s="72"/>
    </row>
    <row r="28" spans="2:22" s="47" customFormat="1" ht="40.15" customHeight="1" collapsed="1" x14ac:dyDescent="0.25">
      <c r="B28" s="826" t="s">
        <v>97</v>
      </c>
      <c r="C28" s="826"/>
      <c r="D28" s="826"/>
      <c r="E28" s="826"/>
      <c r="F28" s="826"/>
      <c r="G28" s="826"/>
      <c r="H28" s="826"/>
      <c r="I28" s="826"/>
      <c r="J28" s="826"/>
      <c r="K28" s="826"/>
    </row>
    <row r="29" spans="2:22" s="47" customFormat="1" ht="4.9000000000000004" hidden="1" customHeight="1" outlineLevel="1" x14ac:dyDescent="0.25">
      <c r="D29" s="41"/>
    </row>
    <row r="30" spans="2:22" s="74" customFormat="1" ht="18.75" hidden="1" outlineLevel="1" x14ac:dyDescent="0.3">
      <c r="B30" s="812" t="s">
        <v>17</v>
      </c>
      <c r="C30" s="812"/>
      <c r="D30" s="73"/>
      <c r="F30" s="302"/>
      <c r="H30" s="302"/>
      <c r="J30" s="302"/>
    </row>
    <row r="31" spans="2:22" s="73" customFormat="1" ht="15.75" hidden="1" outlineLevel="1" x14ac:dyDescent="0.25">
      <c r="B31" s="812"/>
      <c r="C31" s="812"/>
      <c r="F31" s="75" t="s">
        <v>10</v>
      </c>
      <c r="H31" s="75" t="s">
        <v>10</v>
      </c>
      <c r="J31" s="75" t="s">
        <v>10</v>
      </c>
    </row>
    <row r="32" spans="2:22" ht="4.9000000000000004" hidden="1" customHeight="1" outlineLevel="1" x14ac:dyDescent="0.25"/>
    <row r="33" spans="2:11" hidden="1" outlineLevel="1" x14ac:dyDescent="0.25">
      <c r="B33" s="828" t="s">
        <v>14</v>
      </c>
      <c r="C33" s="61" t="s">
        <v>4</v>
      </c>
      <c r="D33" s="76" t="s">
        <v>20</v>
      </c>
      <c r="E33" s="66"/>
      <c r="F33" s="68">
        <f>F9</f>
        <v>1127.7427429811567</v>
      </c>
      <c r="G33" s="66"/>
      <c r="H33" s="67">
        <f>H9</f>
        <v>0</v>
      </c>
      <c r="I33" s="78"/>
      <c r="J33" s="79">
        <f>-($F$33)*$H$33*(1-'C-Dados RT1 Simplif.'!$C$93)*(1-'C-Dados RT1 Simplif.'!$C$89)/'C-Dados RT1 Simplif.'!$C$105</f>
        <v>0</v>
      </c>
      <c r="K33" s="78"/>
    </row>
    <row r="34" spans="2:11" hidden="1" outlineLevel="1" x14ac:dyDescent="0.25">
      <c r="B34" s="828"/>
      <c r="C34" s="61" t="s">
        <v>27</v>
      </c>
      <c r="D34" s="80" t="s">
        <v>28</v>
      </c>
      <c r="E34" s="81"/>
      <c r="F34" s="68">
        <f>F10</f>
        <v>150</v>
      </c>
      <c r="G34" s="81"/>
      <c r="H34" s="82">
        <f>H10</f>
        <v>5.21</v>
      </c>
      <c r="I34" s="78"/>
      <c r="J34" s="79">
        <f>-'RT1B) Descarb AutoCons'!C42</f>
        <v>-14.473456677177278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28" t="s">
        <v>15</v>
      </c>
      <c r="C36" s="61" t="s">
        <v>4</v>
      </c>
      <c r="D36" s="76" t="s">
        <v>20</v>
      </c>
      <c r="E36" s="66"/>
      <c r="F36" s="68">
        <f t="shared" ref="F36:F43" si="2">F12</f>
        <v>0</v>
      </c>
      <c r="G36" s="66"/>
      <c r="H36" s="67">
        <f>H12</f>
        <v>520</v>
      </c>
      <c r="I36" s="78"/>
      <c r="J36" s="79">
        <f>-F36*$H$36*(1-'C-Dados RT1 Simplif.'!$C$93)*(1-'C-Dados RT1 Simplif.'!$C$89)/'C-Dados RT1 Simplif.'!$C$105</f>
        <v>0</v>
      </c>
      <c r="K36" s="78"/>
    </row>
    <row r="37" spans="2:11" hidden="1" outlineLevel="1" x14ac:dyDescent="0.25">
      <c r="B37" s="828"/>
      <c r="C37" s="61" t="s">
        <v>27</v>
      </c>
      <c r="D37" s="80" t="s">
        <v>28</v>
      </c>
      <c r="E37" s="66"/>
      <c r="F37" s="68">
        <f t="shared" si="2"/>
        <v>337.5</v>
      </c>
      <c r="G37" s="66"/>
      <c r="H37" s="82">
        <f>H13</f>
        <v>5.21</v>
      </c>
      <c r="I37" s="78"/>
      <c r="J37" s="79">
        <f>-'RT1B) Descarb Util Públ'!C42</f>
        <v>-10.973745300674368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28" t="s">
        <v>16</v>
      </c>
      <c r="C39" s="61" t="s">
        <v>4</v>
      </c>
      <c r="D39" s="76" t="s">
        <v>20</v>
      </c>
      <c r="E39" s="66"/>
      <c r="F39" s="68">
        <f t="shared" si="2"/>
        <v>0</v>
      </c>
      <c r="G39" s="66"/>
      <c r="H39" s="67">
        <f>H15</f>
        <v>549.4</v>
      </c>
      <c r="I39" s="78"/>
      <c r="J39" s="79">
        <f>-($F$39)*$H$39*(1-'C-Dados RT1 Simplif.'!$C$93)*(1-'C-Dados RT1 Simplif.'!$C$89)/'C-Dados RT1 Simplif.'!$C$105</f>
        <v>0</v>
      </c>
      <c r="K39" s="78"/>
    </row>
    <row r="40" spans="2:11" hidden="1" outlineLevel="1" x14ac:dyDescent="0.25">
      <c r="B40" s="828"/>
      <c r="C40" s="61" t="s">
        <v>27</v>
      </c>
      <c r="D40" s="80" t="s">
        <v>28</v>
      </c>
      <c r="E40" s="66"/>
      <c r="F40" s="68">
        <f t="shared" si="2"/>
        <v>556.4902486921826</v>
      </c>
      <c r="G40" s="66"/>
      <c r="H40" s="82">
        <f>H16</f>
        <v>3.6</v>
      </c>
      <c r="I40" s="78"/>
      <c r="J40" s="79">
        <f>-'RT1B) Comercializ Gás Biome'!C26</f>
        <v>-23.813013173065247</v>
      </c>
      <c r="K40" s="78"/>
    </row>
    <row r="41" spans="2:11" hidden="1" outlineLevel="1" x14ac:dyDescent="0.25">
      <c r="B41" s="828"/>
      <c r="C41" s="61" t="s">
        <v>12</v>
      </c>
      <c r="D41" s="88" t="s">
        <v>19</v>
      </c>
      <c r="E41" s="66"/>
      <c r="F41" s="81">
        <f t="shared" si="2"/>
        <v>6.1744150530052604</v>
      </c>
      <c r="G41" s="66"/>
      <c r="H41" s="67">
        <f>H17</f>
        <v>150</v>
      </c>
      <c r="I41" s="78"/>
      <c r="J41" s="79">
        <f>-F41*$H$41*1000*(1-'C-Dados RT1 Simplif.'!$C$93)*(1-'C-Dados RT1 Simplif.'!$C$89)/'C-Dados RT1 Simplif.'!$C$105</f>
        <v>-21.508294499999998</v>
      </c>
      <c r="K41" s="78"/>
    </row>
    <row r="42" spans="2:11" hidden="1" outlineLevel="1" x14ac:dyDescent="0.25">
      <c r="B42" s="828"/>
      <c r="C42" s="61" t="s">
        <v>11</v>
      </c>
      <c r="D42" s="80" t="s">
        <v>19</v>
      </c>
      <c r="E42" s="66"/>
      <c r="F42" s="81">
        <f t="shared" si="2"/>
        <v>5.7467710430057641</v>
      </c>
      <c r="G42" s="66"/>
      <c r="H42" s="67">
        <f>H18</f>
        <v>0</v>
      </c>
      <c r="I42" s="78"/>
      <c r="J42" s="79">
        <f>-F42*$H$42*1000*(1-'C-Dados RT1 Simplif.'!$C$93)*(1-'C-Dados RT1 Simplif.'!$C$89)/'C-Dados RT1 Simplif.'!$C$105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2.7424650541752702</v>
      </c>
      <c r="G43" s="66"/>
      <c r="H43" s="67">
        <f>H19</f>
        <v>1557.6802507836985</v>
      </c>
      <c r="I43" s="78"/>
      <c r="J43" s="79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</f>
        <v>-112.45235203125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75" x14ac:dyDescent="0.25">
      <c r="B46" s="829" t="s">
        <v>98</v>
      </c>
      <c r="C46" s="830"/>
      <c r="D46" s="830"/>
      <c r="E46" s="830"/>
      <c r="F46" s="830"/>
      <c r="G46" s="830"/>
      <c r="H46" s="830"/>
      <c r="I46" s="89"/>
      <c r="J46" s="301"/>
      <c r="K46" s="89"/>
    </row>
    <row r="47" spans="2:11" s="73" customFormat="1" ht="15.75" x14ac:dyDescent="0.25">
      <c r="B47" s="831"/>
      <c r="C47" s="832"/>
      <c r="D47" s="832"/>
      <c r="E47" s="832"/>
      <c r="F47" s="832"/>
      <c r="G47" s="832"/>
      <c r="H47" s="832"/>
      <c r="I47" s="49"/>
      <c r="J47" s="51" t="s">
        <v>10</v>
      </c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22" ht="25.15" customHeight="1" x14ac:dyDescent="0.25">
      <c r="B49" s="356" t="s">
        <v>99</v>
      </c>
      <c r="C49" s="357"/>
      <c r="D49" s="357"/>
      <c r="E49" s="357"/>
      <c r="F49" s="48"/>
      <c r="I49" s="89"/>
      <c r="J49" s="91">
        <f>SUM(J33:J34)+SUM(J39:J43)*C53</f>
        <v>-172.24711638149253</v>
      </c>
      <c r="K49" s="91"/>
    </row>
    <row r="50" spans="2:22" ht="4.9000000000000004" customHeight="1" x14ac:dyDescent="0.25">
      <c r="B50" s="48"/>
      <c r="C50" s="48"/>
      <c r="D50" s="48"/>
      <c r="E50" s="48"/>
      <c r="F50" s="48"/>
      <c r="I50" s="89"/>
      <c r="J50" s="91"/>
      <c r="K50" s="49"/>
    </row>
    <row r="51" spans="2:22" ht="25.15" customHeight="1" x14ac:dyDescent="0.25">
      <c r="B51" s="358" t="s">
        <v>100</v>
      </c>
      <c r="C51" s="359"/>
      <c r="D51" s="359"/>
      <c r="E51" s="359"/>
      <c r="F51" s="48"/>
      <c r="I51" s="92"/>
      <c r="J51" s="300">
        <f>'C-Dados RT1 Simplif.'!C6</f>
        <v>288.27317615198319</v>
      </c>
      <c r="K51" s="355"/>
    </row>
    <row r="52" spans="2:22" ht="4.9000000000000004" customHeight="1" x14ac:dyDescent="0.25">
      <c r="B52" s="48"/>
      <c r="C52" s="48"/>
      <c r="D52" s="48"/>
      <c r="E52" s="48"/>
      <c r="F52" s="48"/>
      <c r="I52" s="89"/>
      <c r="J52" s="94"/>
      <c r="K52" s="95"/>
    </row>
    <row r="53" spans="2:22" ht="25.15" customHeight="1" x14ac:dyDescent="0.25">
      <c r="B53" s="360" t="s">
        <v>101</v>
      </c>
      <c r="C53" s="580">
        <f>'Demanda Preço &amp; Quantidade'!D10</f>
        <v>1</v>
      </c>
      <c r="D53" s="361"/>
      <c r="E53" s="362"/>
      <c r="F53" s="48"/>
      <c r="I53" s="89"/>
      <c r="J53" s="827"/>
      <c r="K53" s="827"/>
    </row>
    <row r="54" spans="2:22" ht="4.9000000000000004" customHeight="1" x14ac:dyDescent="0.25">
      <c r="B54" s="48"/>
      <c r="C54" s="48"/>
      <c r="D54" s="48"/>
      <c r="E54" s="93"/>
      <c r="F54" s="48"/>
      <c r="I54" s="96"/>
      <c r="J54" s="97"/>
      <c r="K54" s="98"/>
    </row>
    <row r="55" spans="2:22" ht="25.15" customHeight="1" x14ac:dyDescent="0.25">
      <c r="B55" s="363" t="s">
        <v>102</v>
      </c>
      <c r="C55" s="364"/>
      <c r="D55" s="364"/>
      <c r="E55" s="364"/>
      <c r="F55" s="48"/>
      <c r="I55" s="49"/>
      <c r="J55" s="99">
        <f>$J$51+J49+M8+M9</f>
        <v>549.31605977049071</v>
      </c>
      <c r="K55" s="100"/>
    </row>
    <row r="56" spans="2:22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22" ht="18.75" x14ac:dyDescent="0.3">
      <c r="E57" s="103"/>
      <c r="G57" s="103"/>
      <c r="H57" s="103"/>
      <c r="I57" s="103"/>
      <c r="J57" s="103"/>
      <c r="K57" s="103"/>
    </row>
    <row r="58" spans="2:22" customFormat="1" x14ac:dyDescent="0.25">
      <c r="B58" s="61"/>
      <c r="C58" s="61"/>
      <c r="D58" s="71"/>
      <c r="E58" s="61"/>
      <c r="F58" s="61"/>
      <c r="G58" s="61"/>
      <c r="H58" s="61"/>
      <c r="I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</row>
    <row r="59" spans="2:22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</row>
    <row r="60" spans="2:22" s="233" customFormat="1" ht="15.75" x14ac:dyDescent="0.25"/>
    <row r="61" spans="2:22" customFormat="1" x14ac:dyDescent="0.25">
      <c r="B61" s="61"/>
      <c r="C61" s="61"/>
      <c r="D61" s="71"/>
      <c r="E61" s="61"/>
      <c r="F61" s="61"/>
      <c r="G61" s="61"/>
      <c r="H61" s="61"/>
      <c r="I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</row>
    <row r="62" spans="2:22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22" s="233" customFormat="1" ht="15.75" x14ac:dyDescent="0.25"/>
    <row r="64" spans="2:22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mergeCells count="17">
    <mergeCell ref="B33:B34"/>
    <mergeCell ref="B36:B37"/>
    <mergeCell ref="B39:B42"/>
    <mergeCell ref="B46:H47"/>
    <mergeCell ref="J53:K53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zoomScale="70" zoomScaleNormal="70" workbookViewId="0">
      <selection activeCell="C38" sqref="C38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9" customWidth="1"/>
    <col min="4" max="4" width="20.7109375" style="221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4" customFormat="1" ht="19.899999999999999" customHeight="1" thickTop="1" thickBot="1" x14ac:dyDescent="0.3">
      <c r="B2" s="838" t="s">
        <v>142</v>
      </c>
      <c r="C2" s="839"/>
      <c r="D2" s="840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841" t="s">
        <v>105</v>
      </c>
      <c r="C3" s="502">
        <f>'C-Dados RT1 Simplif.'!C106</f>
        <v>110.21883506853425</v>
      </c>
      <c r="D3" s="499" t="s">
        <v>29</v>
      </c>
    </row>
    <row r="4" spans="2:12" ht="15" customHeight="1" outlineLevel="1" x14ac:dyDescent="0.25">
      <c r="B4" s="842"/>
      <c r="C4" s="503">
        <f>'C-Dados RT1 Simplif.'!C105</f>
        <v>34388.276541382686</v>
      </c>
      <c r="D4" s="225" t="s">
        <v>5</v>
      </c>
    </row>
    <row r="5" spans="2:12" ht="15" customHeight="1" outlineLevel="1" x14ac:dyDescent="0.25">
      <c r="B5" s="227" t="s">
        <v>137</v>
      </c>
      <c r="C5" s="504">
        <f>'C-Dados RT1 Simplif.'!C107</f>
        <v>0.48399999999999999</v>
      </c>
      <c r="D5" s="228" t="s">
        <v>1</v>
      </c>
    </row>
    <row r="6" spans="2:12" ht="15" customHeight="1" outlineLevel="1" thickBot="1" x14ac:dyDescent="0.3">
      <c r="B6" s="492" t="s">
        <v>18</v>
      </c>
      <c r="C6" s="505">
        <f>'C-Dados RT1 Simplif.'!C7</f>
        <v>35</v>
      </c>
      <c r="D6" s="226" t="s">
        <v>106</v>
      </c>
    </row>
    <row r="7" spans="2:12" ht="15" customHeight="1" outlineLevel="1" thickTop="1" x14ac:dyDescent="0.25">
      <c r="B7" s="493" t="s">
        <v>107</v>
      </c>
      <c r="C7" s="506"/>
      <c r="D7" s="500"/>
    </row>
    <row r="8" spans="2:12" ht="15" customHeight="1" outlineLevel="1" x14ac:dyDescent="0.25">
      <c r="B8" s="494" t="s">
        <v>109</v>
      </c>
      <c r="C8" s="507">
        <v>250</v>
      </c>
      <c r="D8" s="444" t="s">
        <v>138</v>
      </c>
      <c r="H8" s="1">
        <f>C4*C8</f>
        <v>8597069.1353456713</v>
      </c>
    </row>
    <row r="9" spans="2:12" ht="15" customHeight="1" outlineLevel="1" x14ac:dyDescent="0.25">
      <c r="B9" s="495" t="s">
        <v>110</v>
      </c>
      <c r="C9" s="507"/>
      <c r="D9" s="444"/>
    </row>
    <row r="10" spans="2:12" ht="15" customHeight="1" outlineLevel="1" x14ac:dyDescent="0.25">
      <c r="B10" s="494" t="s">
        <v>109</v>
      </c>
      <c r="C10" s="507">
        <v>100</v>
      </c>
      <c r="D10" s="444" t="s">
        <v>139</v>
      </c>
    </row>
    <row r="11" spans="2:12" ht="15" customHeight="1" outlineLevel="1" x14ac:dyDescent="0.25">
      <c r="B11" s="495" t="s">
        <v>111</v>
      </c>
      <c r="C11" s="507"/>
      <c r="D11" s="444"/>
    </row>
    <row r="12" spans="2:12" ht="15" customHeight="1" outlineLevel="1" x14ac:dyDescent="0.25">
      <c r="B12" s="494" t="s">
        <v>113</v>
      </c>
      <c r="C12" s="512">
        <f>'C-Dados RT1 Simplif.'!C136</f>
        <v>62.724999999999994</v>
      </c>
      <c r="D12" s="441" t="s">
        <v>265</v>
      </c>
    </row>
    <row r="13" spans="2:12" ht="15" customHeight="1" outlineLevel="1" x14ac:dyDescent="0.25">
      <c r="B13" s="494" t="s">
        <v>114</v>
      </c>
      <c r="C13" s="507">
        <f>C12*90%</f>
        <v>56.452499999999993</v>
      </c>
      <c r="D13" s="441" t="s">
        <v>141</v>
      </c>
    </row>
    <row r="14" spans="2:12" ht="15" customHeight="1" outlineLevel="1" x14ac:dyDescent="0.25">
      <c r="B14" s="496" t="s">
        <v>115</v>
      </c>
      <c r="C14" s="508">
        <f>(C8*C4*C5+C10*C4*C5*C6)/(C13*C4*C5*C6)</f>
        <v>1.8979293590692554</v>
      </c>
      <c r="D14" s="444" t="s">
        <v>116</v>
      </c>
    </row>
    <row r="15" spans="2:12" ht="15" customHeight="1" outlineLevel="1" x14ac:dyDescent="0.25">
      <c r="B15" s="496" t="s">
        <v>117</v>
      </c>
      <c r="C15" s="509">
        <f>C14*90%</f>
        <v>1.7081364231623299</v>
      </c>
      <c r="D15" s="430" t="s">
        <v>118</v>
      </c>
    </row>
    <row r="16" spans="2:12" ht="15" customHeight="1" outlineLevel="1" x14ac:dyDescent="0.25">
      <c r="B16" s="494" t="s">
        <v>288</v>
      </c>
      <c r="C16" s="508">
        <f>'Demanda Preço &amp; Quantidade'!C46</f>
        <v>5.21</v>
      </c>
      <c r="D16" s="444" t="s">
        <v>116</v>
      </c>
    </row>
    <row r="17" spans="2:4" ht="15" customHeight="1" outlineLevel="1" thickBot="1" x14ac:dyDescent="0.3">
      <c r="B17" s="497" t="s">
        <v>288</v>
      </c>
      <c r="C17" s="510">
        <f>'Demanda Preço &amp; Quantidade'!E46</f>
        <v>4.6890000000000001</v>
      </c>
      <c r="D17" s="229" t="s">
        <v>118</v>
      </c>
    </row>
    <row r="18" spans="2:4" ht="4.9000000000000004" customHeight="1" thickBot="1" x14ac:dyDescent="0.3">
      <c r="D18" s="1"/>
    </row>
    <row r="19" spans="2:4" ht="19.899999999999999" customHeight="1" thickTop="1" thickBot="1" x14ac:dyDescent="0.3">
      <c r="B19" s="838" t="s">
        <v>123</v>
      </c>
      <c r="C19" s="839"/>
      <c r="D19" s="840"/>
    </row>
    <row r="20" spans="2:4" ht="15" customHeight="1" outlineLevel="1" x14ac:dyDescent="0.25">
      <c r="B20" s="498" t="s">
        <v>124</v>
      </c>
      <c r="C20" s="511">
        <f>'Demanda Preço &amp; Quantidade'!I70</f>
        <v>25</v>
      </c>
      <c r="D20" s="501" t="s">
        <v>125</v>
      </c>
    </row>
    <row r="21" spans="2:4" ht="15" customHeight="1" outlineLevel="1" x14ac:dyDescent="0.25">
      <c r="B21" s="494" t="s">
        <v>127</v>
      </c>
      <c r="C21" s="512">
        <f>'Demanda Preço &amp; Quantidade'!I71</f>
        <v>2000</v>
      </c>
      <c r="D21" s="444" t="s">
        <v>128</v>
      </c>
    </row>
    <row r="22" spans="2:4" ht="15" customHeight="1" outlineLevel="1" x14ac:dyDescent="0.25">
      <c r="B22" s="494" t="s">
        <v>130</v>
      </c>
      <c r="C22" s="512">
        <f>'Demanda Preço &amp; Quantidade'!C72*1000/12</f>
        <v>12500</v>
      </c>
      <c r="D22" s="444" t="s">
        <v>131</v>
      </c>
    </row>
    <row r="23" spans="2:4" ht="15" customHeight="1" outlineLevel="1" x14ac:dyDescent="0.25">
      <c r="B23" s="494" t="s">
        <v>132</v>
      </c>
      <c r="C23" s="486">
        <f>'Demanda Preço &amp; Quantidade'!P73</f>
        <v>500</v>
      </c>
      <c r="D23" s="444" t="s">
        <v>133</v>
      </c>
    </row>
    <row r="24" spans="2:4" ht="15" customHeight="1" outlineLevel="1" x14ac:dyDescent="0.25">
      <c r="B24" s="494" t="s">
        <v>135</v>
      </c>
      <c r="C24" s="513">
        <f>'Demanda Preço &amp; Quantidade'!P74</f>
        <v>0.2</v>
      </c>
      <c r="D24" s="444" t="s">
        <v>1</v>
      </c>
    </row>
    <row r="25" spans="2:4" ht="15" customHeight="1" outlineLevel="1" x14ac:dyDescent="0.25">
      <c r="B25" s="646" t="s">
        <v>347</v>
      </c>
      <c r="C25" s="642">
        <f>'Demanda Preço &amp; Quantidade'!P75</f>
        <v>3.5000000000000003E-2</v>
      </c>
      <c r="D25" s="444" t="s">
        <v>1</v>
      </c>
    </row>
    <row r="26" spans="2:4" ht="15" customHeight="1" outlineLevel="1" x14ac:dyDescent="0.25">
      <c r="B26" s="647" t="s">
        <v>348</v>
      </c>
      <c r="C26" s="642">
        <f>'Demanda Preço &amp; Quantidade'!P76</f>
        <v>0.35</v>
      </c>
      <c r="D26" s="444" t="s">
        <v>1</v>
      </c>
    </row>
    <row r="27" spans="2:4" ht="15" customHeight="1" outlineLevel="1" x14ac:dyDescent="0.25">
      <c r="B27" s="494" t="s">
        <v>273</v>
      </c>
      <c r="C27" s="513">
        <f>'Demanda Preço &amp; Quantidade'!P71</f>
        <v>0.1</v>
      </c>
      <c r="D27" s="444" t="s">
        <v>1</v>
      </c>
    </row>
    <row r="28" spans="2:4" ht="15" customHeight="1" outlineLevel="1" x14ac:dyDescent="0.25">
      <c r="B28" s="494" t="s">
        <v>136</v>
      </c>
      <c r="C28" s="513">
        <f>'Demanda Preço &amp; Quantidade'!P72</f>
        <v>0.25</v>
      </c>
      <c r="D28" s="444" t="s">
        <v>1</v>
      </c>
    </row>
    <row r="29" spans="2:4" ht="15" customHeight="1" outlineLevel="1" x14ac:dyDescent="0.25">
      <c r="B29" s="498" t="s">
        <v>259</v>
      </c>
      <c r="C29" s="514">
        <f>100/'Demanda Preço &amp; Quantidade'!P70</f>
        <v>4</v>
      </c>
      <c r="D29" s="501" t="s">
        <v>260</v>
      </c>
    </row>
    <row r="30" spans="2:4" ht="4.9000000000000004" customHeight="1" thickBot="1" x14ac:dyDescent="0.3">
      <c r="D30" s="1"/>
    </row>
    <row r="31" spans="2:4" ht="19.899999999999999" customHeight="1" thickTop="1" thickBot="1" x14ac:dyDescent="0.3">
      <c r="B31" s="515" t="s">
        <v>134</v>
      </c>
      <c r="C31" s="304"/>
      <c r="D31" s="453"/>
    </row>
    <row r="32" spans="2:4" ht="15" customHeight="1" outlineLevel="1" x14ac:dyDescent="0.25">
      <c r="B32" s="488" t="s">
        <v>291</v>
      </c>
      <c r="C32" s="645">
        <f>(C20*C21*12*C6*(1/C29*C16)/1000000)/C26</f>
        <v>78.150000000000006</v>
      </c>
      <c r="D32" s="222" t="s">
        <v>6</v>
      </c>
    </row>
    <row r="33" spans="2:4" ht="15" customHeight="1" outlineLevel="1" x14ac:dyDescent="0.25">
      <c r="B33" s="489" t="s">
        <v>289</v>
      </c>
      <c r="C33" s="520">
        <f>(C20*C21*12*C6*(1/C29*(C14+('Demanda Preço &amp; Quantidade'!C48-'Demanda Preço &amp; Quantidade'!C46)))*(1+C27)/1000000)/C26+(C23*1000*C25/C35*C20*C6/1000000*(1+C28))</f>
        <v>33.229896924642716</v>
      </c>
      <c r="D33" s="225" t="s">
        <v>6</v>
      </c>
    </row>
    <row r="34" spans="2:4" s="2" customFormat="1" ht="15" customHeight="1" outlineLevel="1" x14ac:dyDescent="0.25">
      <c r="B34" s="490" t="s">
        <v>290</v>
      </c>
      <c r="C34" s="522">
        <f>C33-C32</f>
        <v>-44.920103075357289</v>
      </c>
      <c r="D34" s="491" t="s">
        <v>6</v>
      </c>
    </row>
    <row r="35" spans="2:4" outlineLevel="1" x14ac:dyDescent="0.25">
      <c r="B35" s="489" t="s">
        <v>126</v>
      </c>
      <c r="C35" s="521">
        <f>'Demanda Preço &amp; Quantidade'!I72</f>
        <v>10</v>
      </c>
      <c r="D35" s="225" t="s">
        <v>106</v>
      </c>
    </row>
    <row r="36" spans="2:4" outlineLevel="1" x14ac:dyDescent="0.25">
      <c r="B36" s="489" t="s">
        <v>331</v>
      </c>
      <c r="C36" s="521">
        <f>'Demanda Preço &amp; Quantidade'!I74</f>
        <v>25</v>
      </c>
      <c r="D36" s="225" t="s">
        <v>336</v>
      </c>
    </row>
    <row r="37" spans="2:4" outlineLevel="1" x14ac:dyDescent="0.25">
      <c r="B37" s="489" t="s">
        <v>327</v>
      </c>
      <c r="C37" s="503">
        <v>750000</v>
      </c>
      <c r="D37" s="225" t="s">
        <v>328</v>
      </c>
    </row>
    <row r="38" spans="2:4" x14ac:dyDescent="0.25">
      <c r="B38" s="490" t="s">
        <v>129</v>
      </c>
      <c r="C38" s="522">
        <f>(C6/C35)*C20*C23*1000*C24/1000000+C37*C36/1000000</f>
        <v>27.5</v>
      </c>
      <c r="D38" s="491" t="s">
        <v>6</v>
      </c>
    </row>
    <row r="39" spans="2:4" x14ac:dyDescent="0.25">
      <c r="B39" s="490" t="s">
        <v>36</v>
      </c>
      <c r="C39" s="523">
        <f>C38/(-C34/C6)</f>
        <v>21.426932132932208</v>
      </c>
      <c r="D39" s="491" t="s">
        <v>106</v>
      </c>
    </row>
    <row r="40" spans="2:4" s="2" customFormat="1" x14ac:dyDescent="0.25">
      <c r="B40" s="833" t="s">
        <v>275</v>
      </c>
      <c r="C40" s="487">
        <f>C41/C6</f>
        <v>0.49771723072449398</v>
      </c>
      <c r="D40" s="387" t="s">
        <v>274</v>
      </c>
    </row>
    <row r="41" spans="2:4" s="2" customFormat="1" x14ac:dyDescent="0.25">
      <c r="B41" s="834"/>
      <c r="C41" s="487">
        <f>-(C38+C34)</f>
        <v>17.420103075357289</v>
      </c>
      <c r="D41" s="387" t="s">
        <v>338</v>
      </c>
    </row>
    <row r="42" spans="2:4" s="2" customFormat="1" ht="15.75" thickBot="1" x14ac:dyDescent="0.3">
      <c r="B42" s="835"/>
      <c r="C42" s="524">
        <f>C40*1000000/C4</f>
        <v>14.473456677177278</v>
      </c>
      <c r="D42" s="519" t="s">
        <v>8</v>
      </c>
    </row>
    <row r="43" spans="2:4" ht="4.9000000000000004" customHeight="1" thickTop="1" x14ac:dyDescent="0.25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9" customWidth="1"/>
    <col min="4" max="4" width="20.7109375" style="221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4" customFormat="1" ht="19.899999999999999" customHeight="1" collapsed="1" thickTop="1" thickBot="1" x14ac:dyDescent="0.3">
      <c r="B2" s="838" t="s">
        <v>142</v>
      </c>
      <c r="C2" s="839"/>
      <c r="D2" s="840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841" t="s">
        <v>105</v>
      </c>
      <c r="C3" s="502">
        <f>'C-Dados RT1 Simplif.'!C106</f>
        <v>110.21883506853425</v>
      </c>
      <c r="D3" s="499" t="s">
        <v>29</v>
      </c>
    </row>
    <row r="4" spans="2:12" ht="15" hidden="1" customHeight="1" outlineLevel="1" x14ac:dyDescent="0.25">
      <c r="B4" s="842"/>
      <c r="C4" s="503">
        <f>'C-Dados RT1 Simplif.'!C105</f>
        <v>34388.276541382686</v>
      </c>
      <c r="D4" s="225" t="s">
        <v>5</v>
      </c>
    </row>
    <row r="5" spans="2:12" ht="15" hidden="1" customHeight="1" outlineLevel="1" x14ac:dyDescent="0.25">
      <c r="B5" s="227" t="s">
        <v>137</v>
      </c>
      <c r="C5" s="504">
        <f>'C-Dados RT1 Simplif.'!C107</f>
        <v>0.48399999999999999</v>
      </c>
      <c r="D5" s="228" t="s">
        <v>1</v>
      </c>
    </row>
    <row r="6" spans="2:12" ht="15" hidden="1" customHeight="1" outlineLevel="1" thickBot="1" x14ac:dyDescent="0.3">
      <c r="B6" s="492" t="s">
        <v>18</v>
      </c>
      <c r="C6" s="505">
        <f>'C-Dados RT1 Simplif.'!C7</f>
        <v>35</v>
      </c>
      <c r="D6" s="226" t="s">
        <v>106</v>
      </c>
    </row>
    <row r="7" spans="2:12" ht="15" hidden="1" customHeight="1" outlineLevel="1" thickTop="1" x14ac:dyDescent="0.25">
      <c r="B7" s="493" t="s">
        <v>107</v>
      </c>
      <c r="C7" s="506"/>
      <c r="D7" s="500"/>
    </row>
    <row r="8" spans="2:12" ht="15" hidden="1" customHeight="1" outlineLevel="1" x14ac:dyDescent="0.25">
      <c r="B8" s="494" t="s">
        <v>109</v>
      </c>
      <c r="C8" s="507">
        <v>250</v>
      </c>
      <c r="D8" s="444" t="s">
        <v>138</v>
      </c>
    </row>
    <row r="9" spans="2:12" ht="15" hidden="1" customHeight="1" outlineLevel="1" x14ac:dyDescent="0.25">
      <c r="B9" s="495" t="s">
        <v>110</v>
      </c>
      <c r="C9" s="507"/>
      <c r="D9" s="444"/>
    </row>
    <row r="10" spans="2:12" ht="15" hidden="1" customHeight="1" outlineLevel="1" x14ac:dyDescent="0.25">
      <c r="B10" s="494" t="s">
        <v>109</v>
      </c>
      <c r="C10" s="507">
        <v>100</v>
      </c>
      <c r="D10" s="444" t="s">
        <v>139</v>
      </c>
    </row>
    <row r="11" spans="2:12" ht="15" hidden="1" customHeight="1" outlineLevel="1" x14ac:dyDescent="0.25">
      <c r="B11" s="495" t="s">
        <v>111</v>
      </c>
      <c r="C11" s="507"/>
      <c r="D11" s="444"/>
    </row>
    <row r="12" spans="2:12" ht="15" hidden="1" customHeight="1" outlineLevel="1" x14ac:dyDescent="0.25">
      <c r="B12" s="494" t="s">
        <v>113</v>
      </c>
      <c r="C12" s="512">
        <f>'C-Dados RT1 Simplif.'!C136</f>
        <v>62.724999999999994</v>
      </c>
      <c r="D12" s="441" t="s">
        <v>265</v>
      </c>
    </row>
    <row r="13" spans="2:12" ht="15" hidden="1" customHeight="1" outlineLevel="1" x14ac:dyDescent="0.25">
      <c r="B13" s="494" t="s">
        <v>114</v>
      </c>
      <c r="C13" s="507">
        <f>C12*90%</f>
        <v>56.452499999999993</v>
      </c>
      <c r="D13" s="441" t="s">
        <v>141</v>
      </c>
    </row>
    <row r="14" spans="2:12" ht="15" hidden="1" customHeight="1" outlineLevel="1" x14ac:dyDescent="0.25">
      <c r="B14" s="496" t="s">
        <v>115</v>
      </c>
      <c r="C14" s="508">
        <f>(C8*C4*C5+C10*C4*C5*C6)/(C13*C4*C5*C6)</f>
        <v>1.8979293590692554</v>
      </c>
      <c r="D14" s="444" t="s">
        <v>116</v>
      </c>
    </row>
    <row r="15" spans="2:12" ht="15" hidden="1" customHeight="1" outlineLevel="1" x14ac:dyDescent="0.25">
      <c r="B15" s="496" t="s">
        <v>117</v>
      </c>
      <c r="C15" s="509">
        <f>C14*90%</f>
        <v>1.7081364231623299</v>
      </c>
      <c r="D15" s="430" t="s">
        <v>118</v>
      </c>
    </row>
    <row r="16" spans="2:12" ht="15" hidden="1" customHeight="1" outlineLevel="1" x14ac:dyDescent="0.25">
      <c r="B16" s="494" t="s">
        <v>293</v>
      </c>
      <c r="C16" s="508">
        <f>'Demanda Preço &amp; Quantidade'!C56</f>
        <v>5.21</v>
      </c>
      <c r="D16" s="444" t="s">
        <v>116</v>
      </c>
    </row>
    <row r="17" spans="2:4" ht="15" hidden="1" customHeight="1" outlineLevel="1" thickBot="1" x14ac:dyDescent="0.3">
      <c r="B17" s="497" t="s">
        <v>293</v>
      </c>
      <c r="C17" s="510">
        <f>'Demanda Preço &amp; Quantidade'!E56</f>
        <v>4.6890000000000001</v>
      </c>
      <c r="D17" s="229" t="s">
        <v>118</v>
      </c>
    </row>
    <row r="18" spans="2:4" ht="4.9000000000000004" customHeight="1" thickBot="1" x14ac:dyDescent="0.3">
      <c r="D18" s="1"/>
    </row>
    <row r="19" spans="2:4" ht="19.899999999999999" customHeight="1" collapsed="1" thickTop="1" thickBot="1" x14ac:dyDescent="0.3">
      <c r="B19" s="838" t="s">
        <v>123</v>
      </c>
      <c r="C19" s="839"/>
      <c r="D19" s="840"/>
    </row>
    <row r="20" spans="2:4" ht="15" hidden="1" customHeight="1" outlineLevel="1" x14ac:dyDescent="0.25">
      <c r="B20" s="498" t="s">
        <v>185</v>
      </c>
      <c r="C20" s="511">
        <f>'Demanda Preço &amp; Quantidade'!I86</f>
        <v>50</v>
      </c>
      <c r="D20" s="501" t="s">
        <v>186</v>
      </c>
    </row>
    <row r="21" spans="2:4" ht="15" hidden="1" customHeight="1" outlineLevel="1" x14ac:dyDescent="0.25">
      <c r="B21" s="494" t="s">
        <v>189</v>
      </c>
      <c r="C21" s="512">
        <f>'Demanda Preço &amp; Quantidade'!I87</f>
        <v>2250</v>
      </c>
      <c r="D21" s="444" t="s">
        <v>128</v>
      </c>
    </row>
    <row r="22" spans="2:4" ht="15" hidden="1" customHeight="1" outlineLevel="1" x14ac:dyDescent="0.25">
      <c r="B22" s="494" t="s">
        <v>130</v>
      </c>
      <c r="C22" s="512">
        <f>'Demanda Preço &amp; Quantidade'!C86*1000/12</f>
        <v>83.333333333333329</v>
      </c>
      <c r="D22" s="444" t="s">
        <v>131</v>
      </c>
    </row>
    <row r="23" spans="2:4" ht="15" hidden="1" customHeight="1" outlineLevel="1" x14ac:dyDescent="0.25">
      <c r="B23" s="494" t="s">
        <v>190</v>
      </c>
      <c r="C23" s="486">
        <f>'Demanda Preço &amp; Quantidade'!P89</f>
        <v>75</v>
      </c>
      <c r="D23" s="444" t="s">
        <v>191</v>
      </c>
    </row>
    <row r="24" spans="2:4" ht="15" hidden="1" customHeight="1" outlineLevel="1" x14ac:dyDescent="0.25">
      <c r="B24" s="494" t="s">
        <v>294</v>
      </c>
      <c r="C24" s="513">
        <f>'Demanda Preço &amp; Quantidade'!P90</f>
        <v>0.25</v>
      </c>
      <c r="D24" s="444" t="s">
        <v>1</v>
      </c>
    </row>
    <row r="25" spans="2:4" ht="15" hidden="1" customHeight="1" outlineLevel="1" x14ac:dyDescent="0.25">
      <c r="B25" s="646" t="s">
        <v>347</v>
      </c>
      <c r="C25" s="642">
        <f>'Demanda Preço &amp; Quantidade'!P91</f>
        <v>2.5000000000000001E-2</v>
      </c>
      <c r="D25" s="444" t="s">
        <v>1</v>
      </c>
    </row>
    <row r="26" spans="2:4" ht="15" hidden="1" customHeight="1" outlineLevel="1" x14ac:dyDescent="0.25">
      <c r="B26" s="647" t="s">
        <v>348</v>
      </c>
      <c r="C26" s="642">
        <f>'Demanda Preço &amp; Quantidade'!P92</f>
        <v>0.375</v>
      </c>
      <c r="D26" s="444" t="s">
        <v>1</v>
      </c>
    </row>
    <row r="27" spans="2:4" ht="15" hidden="1" customHeight="1" outlineLevel="1" x14ac:dyDescent="0.25">
      <c r="B27" s="494" t="s">
        <v>295</v>
      </c>
      <c r="C27" s="513">
        <f>'Demanda Preço &amp; Quantidade'!P87</f>
        <v>0.1</v>
      </c>
      <c r="D27" s="444" t="s">
        <v>1</v>
      </c>
    </row>
    <row r="28" spans="2:4" ht="15" hidden="1" customHeight="1" outlineLevel="1" x14ac:dyDescent="0.25">
      <c r="B28" s="494" t="s">
        <v>188</v>
      </c>
      <c r="C28" s="513">
        <f>'Demanda Preço &amp; Quantidade'!P88</f>
        <v>0.25</v>
      </c>
      <c r="D28" s="444" t="s">
        <v>1</v>
      </c>
    </row>
    <row r="29" spans="2:4" ht="15" hidden="1" customHeight="1" outlineLevel="1" x14ac:dyDescent="0.25">
      <c r="B29" s="498" t="s">
        <v>259</v>
      </c>
      <c r="C29" s="514">
        <f>100/'Demanda Preço &amp; Quantidade'!P86</f>
        <v>10</v>
      </c>
      <c r="D29" s="501" t="s">
        <v>260</v>
      </c>
    </row>
    <row r="30" spans="2:4" ht="4.9000000000000004" customHeight="1" thickBot="1" x14ac:dyDescent="0.3">
      <c r="D30" s="1"/>
    </row>
    <row r="31" spans="2:4" ht="19.899999999999999" customHeight="1" collapsed="1" thickTop="1" x14ac:dyDescent="0.25">
      <c r="B31" s="515" t="s">
        <v>134</v>
      </c>
      <c r="C31" s="304"/>
      <c r="D31" s="453"/>
    </row>
    <row r="32" spans="2:4" ht="15" hidden="1" customHeight="1" outlineLevel="1" x14ac:dyDescent="0.25">
      <c r="B32" s="488" t="s">
        <v>291</v>
      </c>
      <c r="C32" s="280">
        <f>(C20*C21*12*C6*(1/C29*C16)/1000000)/C26</f>
        <v>65.646000000000001</v>
      </c>
      <c r="D32" s="222" t="s">
        <v>6</v>
      </c>
    </row>
    <row r="33" spans="2:4" ht="15" hidden="1" customHeight="1" outlineLevel="1" x14ac:dyDescent="0.25">
      <c r="B33" s="489" t="s">
        <v>289</v>
      </c>
      <c r="C33" s="518">
        <f>(C20*C21*12*C6*(1/C29*(C14+('Demanda Preço &amp; Quantidade'!C58-'Demanda Preço &amp; Quantidade'!C56)))*(1+C27)/1000000)/C26+(C23*1000*C25/C35*C20*C6/1000000*(1+C28))</f>
        <v>27.125613416699888</v>
      </c>
      <c r="D33" s="225" t="s">
        <v>6</v>
      </c>
    </row>
    <row r="34" spans="2:4" ht="15" hidden="1" customHeight="1" outlineLevel="1" x14ac:dyDescent="0.25">
      <c r="B34" s="490" t="s">
        <v>290</v>
      </c>
      <c r="C34" s="520">
        <f>C33-C32</f>
        <v>-38.520386583300109</v>
      </c>
      <c r="D34" s="491" t="s">
        <v>6</v>
      </c>
    </row>
    <row r="35" spans="2:4" hidden="1" outlineLevel="1" x14ac:dyDescent="0.25">
      <c r="B35" s="489" t="s">
        <v>126</v>
      </c>
      <c r="C35" s="521">
        <f>'Demanda Preço &amp; Quantidade'!I88</f>
        <v>5</v>
      </c>
      <c r="D35" s="225" t="s">
        <v>106</v>
      </c>
    </row>
    <row r="36" spans="2:4" hidden="1" outlineLevel="1" x14ac:dyDescent="0.25">
      <c r="B36" s="489" t="s">
        <v>331</v>
      </c>
      <c r="C36" s="521">
        <f>'Demanda Preço &amp; Quantidade'!I90</f>
        <v>25</v>
      </c>
      <c r="D36" s="225" t="s">
        <v>336</v>
      </c>
    </row>
    <row r="37" spans="2:4" hidden="1" outlineLevel="1" x14ac:dyDescent="0.25">
      <c r="B37" s="489" t="s">
        <v>327</v>
      </c>
      <c r="C37" s="503">
        <v>750000</v>
      </c>
      <c r="D37" s="225" t="s">
        <v>328</v>
      </c>
    </row>
    <row r="38" spans="2:4" x14ac:dyDescent="0.25">
      <c r="B38" s="490" t="s">
        <v>129</v>
      </c>
      <c r="C38" s="522">
        <f>(C6/C35)*C20*C23*1000*C24/1000000+(C37*C36)/1000000</f>
        <v>25.3125</v>
      </c>
      <c r="D38" s="491" t="s">
        <v>6</v>
      </c>
    </row>
    <row r="39" spans="2:4" x14ac:dyDescent="0.25">
      <c r="B39" s="490" t="s">
        <v>36</v>
      </c>
      <c r="C39" s="523">
        <f>C38/(-C34/C6)</f>
        <v>22.999185070071022</v>
      </c>
      <c r="D39" s="491" t="s">
        <v>106</v>
      </c>
    </row>
    <row r="40" spans="2:4" s="2" customFormat="1" x14ac:dyDescent="0.25">
      <c r="B40" s="833" t="s">
        <v>275</v>
      </c>
      <c r="C40" s="487">
        <f>C41/C6</f>
        <v>0.37736818809428885</v>
      </c>
      <c r="D40" s="387" t="s">
        <v>274</v>
      </c>
    </row>
    <row r="41" spans="2:4" s="2" customFormat="1" x14ac:dyDescent="0.25">
      <c r="B41" s="834"/>
      <c r="C41" s="487">
        <f>-(C38+C34)</f>
        <v>13.207886583300109</v>
      </c>
      <c r="D41" s="387" t="s">
        <v>338</v>
      </c>
    </row>
    <row r="42" spans="2:4" s="2" customFormat="1" ht="15.75" thickBot="1" x14ac:dyDescent="0.3">
      <c r="B42" s="835"/>
      <c r="C42" s="524">
        <f>C40*1000000/C4</f>
        <v>10.973745300674368</v>
      </c>
      <c r="D42" s="519" t="s">
        <v>8</v>
      </c>
    </row>
    <row r="43" spans="2:4" ht="4.9000000000000004" customHeight="1" thickTop="1" x14ac:dyDescent="0.25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9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9" customWidth="1"/>
    <col min="4" max="4" width="20.7109375" style="221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4" customFormat="1" ht="19.899999999999999" customHeight="1" collapsed="1" thickTop="1" thickBot="1" x14ac:dyDescent="0.3">
      <c r="B2" s="838" t="s">
        <v>332</v>
      </c>
      <c r="C2" s="839"/>
      <c r="D2" s="840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841" t="s">
        <v>105</v>
      </c>
      <c r="C3" s="502">
        <f>'C-Dados RT1 Simplif.'!C106</f>
        <v>110.21883506853425</v>
      </c>
      <c r="D3" s="499" t="s">
        <v>29</v>
      </c>
    </row>
    <row r="4" spans="2:12" ht="15" hidden="1" customHeight="1" outlineLevel="1" x14ac:dyDescent="0.25">
      <c r="B4" s="842"/>
      <c r="C4" s="503">
        <f>'C-Dados RT1 Simplif.'!C105</f>
        <v>34388.276541382686</v>
      </c>
      <c r="D4" s="225" t="s">
        <v>5</v>
      </c>
    </row>
    <row r="5" spans="2:12" ht="15" hidden="1" customHeight="1" outlineLevel="1" x14ac:dyDescent="0.25">
      <c r="B5" s="227" t="s">
        <v>137</v>
      </c>
      <c r="C5" s="504">
        <f>'C-Dados RT1 Simplif.'!C107</f>
        <v>0.48399999999999999</v>
      </c>
      <c r="D5" s="228" t="s">
        <v>1</v>
      </c>
    </row>
    <row r="6" spans="2:12" ht="15" hidden="1" customHeight="1" outlineLevel="1" thickBot="1" x14ac:dyDescent="0.3">
      <c r="B6" s="492" t="s">
        <v>18</v>
      </c>
      <c r="C6" s="505">
        <f>'C-Dados RT1 Simplif.'!C7</f>
        <v>35</v>
      </c>
      <c r="D6" s="226" t="s">
        <v>106</v>
      </c>
    </row>
    <row r="7" spans="2:12" ht="15" hidden="1" customHeight="1" outlineLevel="1" thickTop="1" x14ac:dyDescent="0.25">
      <c r="B7" s="493" t="s">
        <v>107</v>
      </c>
      <c r="C7" s="506"/>
      <c r="D7" s="500"/>
    </row>
    <row r="8" spans="2:12" ht="15" hidden="1" customHeight="1" outlineLevel="1" x14ac:dyDescent="0.25">
      <c r="B8" s="494" t="s">
        <v>109</v>
      </c>
      <c r="C8" s="507">
        <v>250</v>
      </c>
      <c r="D8" s="444" t="s">
        <v>138</v>
      </c>
    </row>
    <row r="9" spans="2:12" ht="15" hidden="1" customHeight="1" outlineLevel="1" x14ac:dyDescent="0.25">
      <c r="B9" s="495" t="s">
        <v>110</v>
      </c>
      <c r="C9" s="507"/>
      <c r="D9" s="444"/>
    </row>
    <row r="10" spans="2:12" ht="15" hidden="1" customHeight="1" outlineLevel="1" x14ac:dyDescent="0.25">
      <c r="B10" s="494" t="s">
        <v>109</v>
      </c>
      <c r="C10" s="507">
        <v>100</v>
      </c>
      <c r="D10" s="444" t="s">
        <v>139</v>
      </c>
    </row>
    <row r="11" spans="2:12" ht="15" hidden="1" customHeight="1" outlineLevel="1" x14ac:dyDescent="0.25">
      <c r="B11" s="495" t="s">
        <v>111</v>
      </c>
      <c r="C11" s="507"/>
      <c r="D11" s="444"/>
    </row>
    <row r="12" spans="2:12" ht="15" hidden="1" customHeight="1" outlineLevel="1" x14ac:dyDescent="0.25">
      <c r="B12" s="494" t="s">
        <v>113</v>
      </c>
      <c r="C12" s="512">
        <f>'C-Dados RT1 Simplif.'!C136</f>
        <v>62.724999999999994</v>
      </c>
      <c r="D12" s="441" t="s">
        <v>265</v>
      </c>
    </row>
    <row r="13" spans="2:12" ht="15" hidden="1" customHeight="1" outlineLevel="1" x14ac:dyDescent="0.25">
      <c r="B13" s="494" t="s">
        <v>114</v>
      </c>
      <c r="C13" s="507">
        <f>C12*90%</f>
        <v>56.452499999999993</v>
      </c>
      <c r="D13" s="441" t="s">
        <v>141</v>
      </c>
    </row>
    <row r="14" spans="2:12" ht="15" hidden="1" customHeight="1" outlineLevel="1" x14ac:dyDescent="0.25">
      <c r="B14" s="496" t="s">
        <v>115</v>
      </c>
      <c r="C14" s="508">
        <f>(C8*C4*C5+C10*C4*C5*C6)/(C13*C4*C5*C6)</f>
        <v>1.8979293590692554</v>
      </c>
      <c r="D14" s="444" t="s">
        <v>116</v>
      </c>
    </row>
    <row r="15" spans="2:12" ht="15" hidden="1" customHeight="1" outlineLevel="1" x14ac:dyDescent="0.25">
      <c r="B15" s="496" t="s">
        <v>117</v>
      </c>
      <c r="C15" s="509">
        <f>C14*90%*45/100</f>
        <v>0.76866139042304849</v>
      </c>
      <c r="D15" s="430" t="s">
        <v>118</v>
      </c>
    </row>
    <row r="16" spans="2:12" ht="15" hidden="1" customHeight="1" outlineLevel="1" thickBot="1" x14ac:dyDescent="0.3">
      <c r="B16" s="497" t="s">
        <v>337</v>
      </c>
      <c r="C16" s="510">
        <f>'Demanda Preço &amp; Quantidade'!C24</f>
        <v>4</v>
      </c>
      <c r="D16" s="229" t="s">
        <v>118</v>
      </c>
    </row>
    <row r="17" spans="2:4" ht="4.9000000000000004" customHeight="1" thickBot="1" x14ac:dyDescent="0.3">
      <c r="D17" s="1"/>
    </row>
    <row r="18" spans="2:4" ht="19.899999999999999" customHeight="1" collapsed="1" thickTop="1" thickBot="1" x14ac:dyDescent="0.3">
      <c r="B18" s="838" t="s">
        <v>335</v>
      </c>
      <c r="C18" s="839"/>
      <c r="D18" s="840"/>
    </row>
    <row r="19" spans="2:4" ht="15" hidden="1" customHeight="1" outlineLevel="1" x14ac:dyDescent="0.25">
      <c r="B19" s="498" t="s">
        <v>333</v>
      </c>
      <c r="C19" s="606">
        <f>'Demanda Preço &amp; Quantidade'!C105</f>
        <v>556490.24869218259</v>
      </c>
      <c r="D19" s="501" t="s">
        <v>334</v>
      </c>
    </row>
    <row r="20" spans="2:4" hidden="1" outlineLevel="1" x14ac:dyDescent="0.25">
      <c r="B20" s="489" t="s">
        <v>331</v>
      </c>
      <c r="C20" s="521">
        <f>'Demanda Preço &amp; Quantidade'!I101</f>
        <v>25</v>
      </c>
      <c r="D20" s="225" t="s">
        <v>336</v>
      </c>
    </row>
    <row r="21" spans="2:4" hidden="1" outlineLevel="1" x14ac:dyDescent="0.25">
      <c r="B21" s="489" t="s">
        <v>327</v>
      </c>
      <c r="C21" s="503">
        <v>750000</v>
      </c>
      <c r="D21" s="225" t="s">
        <v>328</v>
      </c>
    </row>
    <row r="22" spans="2:4" x14ac:dyDescent="0.25">
      <c r="B22" s="490" t="s">
        <v>129</v>
      </c>
      <c r="C22" s="744">
        <f>C20*C21/1000000</f>
        <v>18.75</v>
      </c>
      <c r="D22" s="491" t="s">
        <v>6</v>
      </c>
    </row>
    <row r="23" spans="2:4" x14ac:dyDescent="0.25">
      <c r="B23" s="490" t="s">
        <v>36</v>
      </c>
      <c r="C23" s="523">
        <f>C22/(C19*(C16-C15))</f>
        <v>1.0427044898790628E-5</v>
      </c>
      <c r="D23" s="491" t="s">
        <v>106</v>
      </c>
    </row>
    <row r="24" spans="2:4" s="2" customFormat="1" x14ac:dyDescent="0.25">
      <c r="B24" s="833" t="s">
        <v>275</v>
      </c>
      <c r="C24" s="745">
        <f>C25/C6</f>
        <v>0.71318261625379009</v>
      </c>
      <c r="D24" s="387" t="s">
        <v>274</v>
      </c>
    </row>
    <row r="25" spans="2:4" s="2" customFormat="1" x14ac:dyDescent="0.25">
      <c r="B25" s="834"/>
      <c r="C25" s="745">
        <v>24.961391568882654</v>
      </c>
      <c r="D25" s="387" t="s">
        <v>338</v>
      </c>
    </row>
    <row r="26" spans="2:4" s="2" customFormat="1" ht="15.75" thickBot="1" x14ac:dyDescent="0.3">
      <c r="B26" s="835"/>
      <c r="C26" s="524">
        <f>(C24+C29)*1000000/C4</f>
        <v>23.813013173065247</v>
      </c>
      <c r="D26" s="519" t="s">
        <v>8</v>
      </c>
    </row>
    <row r="27" spans="2:4" ht="4.9000000000000004" customHeight="1" thickTop="1" x14ac:dyDescent="0.25"/>
    <row r="29" spans="2:4" x14ac:dyDescent="0.25">
      <c r="C29" s="746">
        <f>((('RT1B)BIODIG Descarb Biomet'!F34*('RT1B)BIODIG Descarb Biomet'!H34-C14)+'RT1B)BIODIG Descarb Biomet'!F13*('RT1B)BIODIG Descarb Biomet'!H13-C14))*C6)*1000/1000000-'RT1B) Descarb AutoCons'!C38-'RT1B) Descarb Util Públ'!C38)/C6</f>
        <v>0.10570586602516657</v>
      </c>
    </row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3.285156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8.85546875" style="6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13" t="s">
        <v>13</v>
      </c>
      <c r="C3" s="813"/>
      <c r="D3" s="813"/>
      <c r="E3" s="813"/>
      <c r="F3" s="813"/>
      <c r="G3" s="813"/>
      <c r="H3" s="813"/>
      <c r="L3" s="814" t="s">
        <v>144</v>
      </c>
      <c r="M3" s="815"/>
      <c r="N3" s="263"/>
      <c r="O3" s="816" t="s">
        <v>154</v>
      </c>
      <c r="P3" s="816"/>
      <c r="Q3" s="816"/>
      <c r="R3" s="816"/>
      <c r="S3" s="816"/>
      <c r="T3" s="816"/>
      <c r="U3" s="816"/>
      <c r="V3" s="816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17" t="s">
        <v>91</v>
      </c>
      <c r="C5" s="817"/>
      <c r="D5" s="49"/>
      <c r="E5" s="49"/>
      <c r="F5" s="303"/>
      <c r="G5" s="49"/>
      <c r="H5" s="303"/>
      <c r="L5" s="818" t="s">
        <v>156</v>
      </c>
      <c r="M5" s="819"/>
      <c r="N5"/>
      <c r="O5" s="822" t="s">
        <v>143</v>
      </c>
      <c r="P5" s="823"/>
      <c r="Q5" s="823"/>
      <c r="R5" s="823"/>
      <c r="S5" s="823"/>
      <c r="T5" s="823"/>
      <c r="U5" s="823"/>
      <c r="V5" s="824"/>
    </row>
    <row r="6" spans="2:22" s="53" customFormat="1" ht="15" hidden="1" customHeight="1" outlineLevel="1" thickTop="1" thickBot="1" x14ac:dyDescent="0.3">
      <c r="B6" s="817"/>
      <c r="C6" s="817"/>
      <c r="D6" s="50"/>
      <c r="E6" s="52"/>
      <c r="F6" s="51" t="s">
        <v>10</v>
      </c>
      <c r="G6" s="52"/>
      <c r="H6" s="51" t="s">
        <v>10</v>
      </c>
      <c r="L6" s="820"/>
      <c r="M6" s="821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288.27317615198319</v>
      </c>
      <c r="N7" s="234"/>
      <c r="O7" s="237">
        <f>M7</f>
        <v>288.27317615198319</v>
      </c>
      <c r="P7" s="238"/>
      <c r="Q7" s="239">
        <f>M7</f>
        <v>288.27317615198319</v>
      </c>
      <c r="R7" s="239"/>
      <c r="S7" s="239"/>
      <c r="T7" s="239"/>
      <c r="U7" s="239"/>
      <c r="V7" s="240">
        <f>Q7</f>
        <v>288.27317615198319</v>
      </c>
    </row>
    <row r="8" spans="2:22" s="47" customFormat="1" ht="15" hidden="1" customHeight="1" outlineLevel="1" x14ac:dyDescent="0.25">
      <c r="C8" s="54"/>
      <c r="D8" s="41"/>
      <c r="E8" s="56"/>
      <c r="F8" s="269"/>
      <c r="G8" s="271"/>
      <c r="H8" s="269"/>
      <c r="I8" s="54"/>
      <c r="L8" s="686" t="s">
        <v>353</v>
      </c>
      <c r="M8" s="256">
        <f>'RESUMO GERAL Valoriz. RT´s'!E29+'RESUMO GERAL Valoriz. RT´s'!E30</f>
        <v>432.58</v>
      </c>
      <c r="N8" s="236"/>
      <c r="O8" s="241"/>
      <c r="P8" s="242"/>
      <c r="Q8" s="243">
        <f>Q7+M8</f>
        <v>720.85317615198323</v>
      </c>
      <c r="R8" s="243">
        <f>M7</f>
        <v>288.27317615198319</v>
      </c>
      <c r="S8" s="243">
        <f>IF(R8&gt;=0,IF(M8&gt;=0,Q7,Q8),IF(M8&gt;=0,S7,Q8))</f>
        <v>288.27317615198319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25" t="s">
        <v>92</v>
      </c>
      <c r="C9" s="47" t="s">
        <v>4</v>
      </c>
      <c r="D9" s="41" t="s">
        <v>20</v>
      </c>
      <c r="E9" s="60"/>
      <c r="F9" s="57">
        <f>'C-Dados RT1 Simplif.'!C108</f>
        <v>1127.7427429811567</v>
      </c>
      <c r="G9" s="272"/>
      <c r="H9" s="365">
        <v>0</v>
      </c>
      <c r="L9" s="686" t="s">
        <v>354</v>
      </c>
      <c r="M9" s="256">
        <f>'RESUMO GERAL Valoriz. RT´s'!E31</f>
        <v>0.71</v>
      </c>
      <c r="N9" s="236"/>
      <c r="O9" s="241"/>
      <c r="P9" s="242"/>
      <c r="Q9" s="243">
        <f>Q8+M9</f>
        <v>721.56317615198327</v>
      </c>
      <c r="R9" s="243">
        <f>M8</f>
        <v>432.58</v>
      </c>
      <c r="S9" s="243">
        <f>IF(R9&gt;=0,IF(M9&gt;=0,Q8,Q9),IF(M9&gt;=0,S8,Q9))</f>
        <v>720.85317615198323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25"/>
      <c r="C10" s="61" t="s">
        <v>227</v>
      </c>
      <c r="D10" s="41" t="s">
        <v>219</v>
      </c>
      <c r="E10" s="60"/>
      <c r="F10" s="365">
        <v>0</v>
      </c>
      <c r="G10" s="272"/>
      <c r="H10" s="365">
        <v>0</v>
      </c>
      <c r="L10" s="249" t="s">
        <v>352</v>
      </c>
      <c r="M10" s="257">
        <f>SUM(M7:M9)</f>
        <v>721.56317615198327</v>
      </c>
      <c r="N10" s="234"/>
      <c r="O10" s="237">
        <f>M10</f>
        <v>721.56317615198327</v>
      </c>
      <c r="P10" s="238"/>
      <c r="Q10" s="239">
        <f>M10</f>
        <v>721.56317615198327</v>
      </c>
      <c r="R10" s="239"/>
      <c r="S10" s="239"/>
      <c r="T10" s="239"/>
      <c r="U10" s="239"/>
      <c r="V10" s="240">
        <f>Q10</f>
        <v>721.56317615198327</v>
      </c>
    </row>
    <row r="11" spans="2:22" s="47" customFormat="1" ht="15" hidden="1" customHeight="1" outlineLevel="1" x14ac:dyDescent="0.25">
      <c r="B11" s="44"/>
      <c r="D11" s="41"/>
      <c r="E11" s="60"/>
      <c r="F11" s="270"/>
      <c r="G11" s="60"/>
      <c r="H11" s="270"/>
      <c r="L11" s="235" t="s">
        <v>157</v>
      </c>
      <c r="M11" s="256">
        <f>J33</f>
        <v>0</v>
      </c>
      <c r="N11" s="236"/>
      <c r="O11" s="241"/>
      <c r="P11" s="242"/>
      <c r="Q11" s="243">
        <f>Q10+M11</f>
        <v>721.56317615198327</v>
      </c>
      <c r="R11" s="243">
        <f t="shared" ref="R11:R22" si="0">M10</f>
        <v>721.56317615198327</v>
      </c>
      <c r="S11" s="243">
        <f>IF(R11&gt;=0,IF(M11&gt;=0,Q10,Q11),IF(M11&gt;=0,S10,Q11))</f>
        <v>721.56317615198327</v>
      </c>
      <c r="T11" s="243">
        <f>IF(M11&gt;=0,M11,0)</f>
        <v>0</v>
      </c>
      <c r="U11" s="243">
        <f t="shared" ref="U11:U22" si="1">IF(M11&lt;0,M11*-1,0)</f>
        <v>0</v>
      </c>
      <c r="V11" s="244">
        <f>SUM(T11:U11)</f>
        <v>0</v>
      </c>
    </row>
    <row r="12" spans="2:22" s="47" customFormat="1" ht="15" hidden="1" customHeight="1" outlineLevel="1" x14ac:dyDescent="0.25">
      <c r="B12" s="825" t="s">
        <v>93</v>
      </c>
      <c r="C12" s="47" t="s">
        <v>4</v>
      </c>
      <c r="D12" s="41" t="s">
        <v>20</v>
      </c>
      <c r="E12" s="60"/>
      <c r="F12" s="319">
        <v>0</v>
      </c>
      <c r="G12" s="272"/>
      <c r="H12" s="365">
        <v>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721.56317615198327</v>
      </c>
      <c r="R12" s="243">
        <f t="shared" si="0"/>
        <v>0</v>
      </c>
      <c r="S12" s="243">
        <f>IF(R12&gt;=0,IF(M12&gt;=0,Q11,Q12),IF(M12&gt;=0,S11,Q12))</f>
        <v>721.56317615198327</v>
      </c>
      <c r="T12" s="243">
        <f>IF(M12&gt;=0,M12,0)</f>
        <v>0</v>
      </c>
      <c r="U12" s="243">
        <f t="shared" si="1"/>
        <v>0</v>
      </c>
      <c r="V12" s="244">
        <f>SUM(T12:U12)</f>
        <v>0</v>
      </c>
    </row>
    <row r="13" spans="2:22" s="47" customFormat="1" ht="15" hidden="1" customHeight="1" outlineLevel="1" x14ac:dyDescent="0.25">
      <c r="B13" s="825"/>
      <c r="C13" s="61" t="s">
        <v>227</v>
      </c>
      <c r="D13" s="41" t="s">
        <v>219</v>
      </c>
      <c r="E13" s="60"/>
      <c r="F13" s="365">
        <v>0</v>
      </c>
      <c r="G13" s="272"/>
      <c r="H13" s="365">
        <v>0</v>
      </c>
      <c r="L13" s="250" t="s">
        <v>155</v>
      </c>
      <c r="M13" s="257">
        <f>SUM(M10:M12)</f>
        <v>721.56317615198327</v>
      </c>
      <c r="N13" s="234"/>
      <c r="O13" s="245">
        <f>M13</f>
        <v>721.56317615198327</v>
      </c>
      <c r="P13" s="246"/>
      <c r="Q13" s="247">
        <f>Q12+M13-O13</f>
        <v>721.56317615198327</v>
      </c>
      <c r="R13" s="247">
        <f t="shared" si="0"/>
        <v>0</v>
      </c>
      <c r="S13" s="247">
        <v>0</v>
      </c>
      <c r="T13" s="247">
        <v>0</v>
      </c>
      <c r="U13" s="247">
        <f t="shared" si="1"/>
        <v>0</v>
      </c>
      <c r="V13" s="248">
        <f>Q13</f>
        <v>721.56317615198327</v>
      </c>
    </row>
    <row r="14" spans="2:22" s="47" customFormat="1" ht="15" hidden="1" customHeight="1" outlineLevel="1" x14ac:dyDescent="0.25">
      <c r="B14" s="44"/>
      <c r="D14" s="41"/>
      <c r="E14" s="66"/>
      <c r="F14" s="270"/>
      <c r="G14" s="60"/>
      <c r="H14" s="270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721.56317615198327</v>
      </c>
      <c r="R14" s="243">
        <f t="shared" si="0"/>
        <v>721.56317615198327</v>
      </c>
      <c r="S14" s="243">
        <f>IF(R14&gt;=0,IF(M14&gt;=0,Q13,Q14),IF(M14&gt;=0,S13,Q14))</f>
        <v>721.56317615198327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25" t="s">
        <v>94</v>
      </c>
      <c r="C15" s="47" t="s">
        <v>4</v>
      </c>
      <c r="D15" s="41" t="s">
        <v>20</v>
      </c>
      <c r="E15" s="66"/>
      <c r="F15" s="319">
        <v>0</v>
      </c>
      <c r="G15" s="272"/>
      <c r="H15" s="365">
        <v>0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721.56317615198327</v>
      </c>
      <c r="R15" s="243">
        <f t="shared" si="0"/>
        <v>0</v>
      </c>
      <c r="S15" s="243">
        <f>IF(R15&gt;=0,IF(M15&gt;=0,Q14,Q15),IF(M15&gt;=0,S14,Q15))</f>
        <v>721.56317615198327</v>
      </c>
      <c r="T15" s="243">
        <f>IF(M15&gt;=0,M15,0)</f>
        <v>0</v>
      </c>
      <c r="U15" s="243">
        <f t="shared" si="1"/>
        <v>0</v>
      </c>
      <c r="V15" s="244">
        <f>SUM(T15:U15)</f>
        <v>0</v>
      </c>
    </row>
    <row r="16" spans="2:22" s="47" customFormat="1" ht="15" hidden="1" customHeight="1" outlineLevel="1" x14ac:dyDescent="0.25">
      <c r="B16" s="825"/>
      <c r="C16" s="61" t="s">
        <v>227</v>
      </c>
      <c r="D16" s="41" t="s">
        <v>219</v>
      </c>
      <c r="E16" s="66"/>
      <c r="F16" s="57">
        <f>IF((F22-'Demanda Preço &amp; Quantidade'!C103)&gt;0,'Demanda Preço &amp; Quantidade'!C103,F22)</f>
        <v>1043990.2486921826</v>
      </c>
      <c r="G16" s="272"/>
      <c r="H16" s="63">
        <f>'Demanda Preço &amp; Quantidade'!C25</f>
        <v>4</v>
      </c>
      <c r="L16" s="250" t="s">
        <v>152</v>
      </c>
      <c r="M16" s="258">
        <f>SUM(M13:M15)</f>
        <v>721.56317615198327</v>
      </c>
      <c r="N16" s="234"/>
      <c r="O16" s="245">
        <f>M16</f>
        <v>721.56317615198327</v>
      </c>
      <c r="P16" s="246"/>
      <c r="Q16" s="247">
        <f>Q15+M16-O16</f>
        <v>721.56317615198327</v>
      </c>
      <c r="R16" s="247">
        <f t="shared" si="0"/>
        <v>0</v>
      </c>
      <c r="S16" s="247">
        <v>0</v>
      </c>
      <c r="T16" s="247">
        <v>0</v>
      </c>
      <c r="U16" s="247">
        <f t="shared" si="1"/>
        <v>0</v>
      </c>
      <c r="V16" s="248">
        <f>Q16</f>
        <v>721.56317615198327</v>
      </c>
    </row>
    <row r="17" spans="2:22" s="47" customFormat="1" ht="15" hidden="1" customHeight="1" outlineLevel="1" x14ac:dyDescent="0.25">
      <c r="B17" s="825"/>
      <c r="C17" s="47" t="s">
        <v>12</v>
      </c>
      <c r="D17" s="41" t="s">
        <v>19</v>
      </c>
      <c r="E17" s="66"/>
      <c r="F17" s="62">
        <f>F23</f>
        <v>6.1744150530052604</v>
      </c>
      <c r="G17" s="272"/>
      <c r="H17" s="57">
        <f>'Demanda Preço &amp; Quantidade'!C27</f>
        <v>150</v>
      </c>
      <c r="L17" s="235" t="s">
        <v>161</v>
      </c>
      <c r="M17" s="256">
        <f>J39*C53</f>
        <v>0</v>
      </c>
      <c r="N17" s="236"/>
      <c r="O17" s="241"/>
      <c r="P17" s="242"/>
      <c r="Q17" s="243">
        <f>Q16+M17</f>
        <v>721.56317615198327</v>
      </c>
      <c r="R17" s="243">
        <f t="shared" si="0"/>
        <v>721.56317615198327</v>
      </c>
      <c r="S17" s="243">
        <f>IF(R17&gt;=0,IF(M17&gt;=0,Q16,Q17),IF(M17&gt;=0,S16,Q17))</f>
        <v>721.56317615198327</v>
      </c>
      <c r="T17" s="243">
        <f>IF(M17&gt;=0,M17,0)</f>
        <v>0</v>
      </c>
      <c r="U17" s="243">
        <f t="shared" si="1"/>
        <v>0</v>
      </c>
      <c r="V17" s="244">
        <f>SUM(T17:U17)</f>
        <v>0</v>
      </c>
    </row>
    <row r="18" spans="2:22" s="47" customFormat="1" ht="15" hidden="1" customHeight="1" outlineLevel="1" x14ac:dyDescent="0.25">
      <c r="B18" s="825"/>
      <c r="C18" s="47" t="s">
        <v>11</v>
      </c>
      <c r="D18" s="41" t="s">
        <v>19</v>
      </c>
      <c r="E18" s="66"/>
      <c r="F18" s="62">
        <f>F24</f>
        <v>5.7467710430057641</v>
      </c>
      <c r="G18" s="272"/>
      <c r="H18" s="57">
        <f>'Demanda Preço &amp; Quantidade'!C28</f>
        <v>0</v>
      </c>
      <c r="L18" s="235" t="s">
        <v>162</v>
      </c>
      <c r="M18" s="256">
        <f>J40*C53</f>
        <v>-52.871557485609657</v>
      </c>
      <c r="N18" s="236"/>
      <c r="O18" s="241"/>
      <c r="P18" s="242"/>
      <c r="Q18" s="243">
        <f>Q17+M18</f>
        <v>668.69161866637364</v>
      </c>
      <c r="R18" s="243">
        <f t="shared" si="0"/>
        <v>0</v>
      </c>
      <c r="S18" s="243">
        <f>IF(R18&gt;=0,IF(M18&gt;=0,Q17,Q18),IF(M18&gt;=0,S17,Q18))</f>
        <v>668.69161866637364</v>
      </c>
      <c r="T18" s="243">
        <f>IF(M18&gt;=0,M18,0)</f>
        <v>0</v>
      </c>
      <c r="U18" s="243">
        <f t="shared" si="1"/>
        <v>52.871557485609657</v>
      </c>
      <c r="V18" s="244">
        <f>SUM(T18:U18)</f>
        <v>52.871557485609657</v>
      </c>
    </row>
    <row r="19" spans="2:22" s="47" customFormat="1" ht="15" hidden="1" customHeight="1" outlineLevel="1" x14ac:dyDescent="0.25">
      <c r="B19" s="298"/>
      <c r="C19" s="47" t="s">
        <v>87</v>
      </c>
      <c r="D19" s="41" t="s">
        <v>19</v>
      </c>
      <c r="E19" s="66"/>
      <c r="F19" s="62">
        <f>F25</f>
        <v>2.7424650541752702</v>
      </c>
      <c r="G19" s="272"/>
      <c r="H19" s="57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5" t="s">
        <v>163</v>
      </c>
      <c r="M19" s="256">
        <f>J41*C53</f>
        <v>-21.508294499999998</v>
      </c>
      <c r="N19" s="236"/>
      <c r="O19" s="241"/>
      <c r="P19" s="242"/>
      <c r="Q19" s="243">
        <f>Q18+M19</f>
        <v>647.18332416637361</v>
      </c>
      <c r="R19" s="243">
        <f t="shared" si="0"/>
        <v>-52.871557485609657</v>
      </c>
      <c r="S19" s="243">
        <f>IF(R19&gt;=0,IF(M19&gt;=0,Q18,Q19),IF(M19&gt;=0,S18,Q19))</f>
        <v>647.18332416637361</v>
      </c>
      <c r="T19" s="243">
        <f>IF(M19&gt;=0,M19,0)</f>
        <v>0</v>
      </c>
      <c r="U19" s="243">
        <f t="shared" si="1"/>
        <v>21.508294499999998</v>
      </c>
      <c r="V19" s="244">
        <f>SUM(T19:U19)</f>
        <v>21.508294499999998</v>
      </c>
    </row>
    <row r="20" spans="2:22" s="47" customFormat="1" ht="15" hidden="1" customHeight="1" outlineLevel="1" x14ac:dyDescent="0.25">
      <c r="D20" s="41"/>
      <c r="F20" s="270"/>
      <c r="G20" s="60"/>
      <c r="H20" s="273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647.18332416637361</v>
      </c>
      <c r="R20" s="243">
        <f t="shared" si="0"/>
        <v>-21.508294499999998</v>
      </c>
      <c r="S20" s="243">
        <f>IF(R20&gt;=0,IF(M20&gt;=0,Q19,Q20),IF(M20&gt;=0,S19,Q20))</f>
        <v>647.18332416637361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25" t="s">
        <v>95</v>
      </c>
      <c r="C21" s="54" t="s">
        <v>24</v>
      </c>
      <c r="D21" s="41" t="s">
        <v>21</v>
      </c>
      <c r="F21" s="365">
        <v>0</v>
      </c>
      <c r="G21" s="60"/>
      <c r="H21" s="60"/>
      <c r="L21" s="235" t="s">
        <v>165</v>
      </c>
      <c r="M21" s="256">
        <f>J43*C53</f>
        <v>-112.45235203125</v>
      </c>
      <c r="N21" s="236"/>
      <c r="O21" s="241"/>
      <c r="P21" s="242"/>
      <c r="Q21" s="243">
        <f>Q20+M21</f>
        <v>534.73097213512358</v>
      </c>
      <c r="R21" s="243">
        <f t="shared" si="0"/>
        <v>0</v>
      </c>
      <c r="S21" s="243">
        <f>IF(R21&gt;=0,IF(M21&gt;=0,Q20,Q21),IF(M21&gt;=0,S20,Q21))</f>
        <v>534.73097213512358</v>
      </c>
      <c r="T21" s="243">
        <f>IF(M21&gt;=0,M21,0)</f>
        <v>0</v>
      </c>
      <c r="U21" s="243">
        <f t="shared" si="1"/>
        <v>112.45235203125</v>
      </c>
      <c r="V21" s="244">
        <f>SUM(T21:U21)</f>
        <v>112.45235203125</v>
      </c>
    </row>
    <row r="22" spans="2:22" ht="15" hidden="1" customHeight="1" outlineLevel="1" thickBot="1" x14ac:dyDescent="0.3">
      <c r="B22" s="825"/>
      <c r="C22" s="61" t="s">
        <v>227</v>
      </c>
      <c r="D22" s="41" t="s">
        <v>219</v>
      </c>
      <c r="F22" s="57">
        <f>'C-Dados RT1 Simplif.'!C105*'C-Dados RT1 Simplif.'!C107*'C-Dados RT1 Simplif.'!C136</f>
        <v>1043990.2486921826</v>
      </c>
      <c r="G22" s="60"/>
      <c r="H22" s="60"/>
      <c r="L22" s="250" t="s">
        <v>153</v>
      </c>
      <c r="M22" s="259">
        <f>M16+M17+M18+M19+M20+M21</f>
        <v>534.73097213512358</v>
      </c>
      <c r="N22" s="234"/>
      <c r="O22" s="251">
        <f>M22</f>
        <v>534.73097213512358</v>
      </c>
      <c r="P22" s="252"/>
      <c r="Q22" s="253">
        <f>Q21+M22-O22</f>
        <v>534.73097213512358</v>
      </c>
      <c r="R22" s="253">
        <f t="shared" si="0"/>
        <v>-112.45235203125</v>
      </c>
      <c r="S22" s="253">
        <v>0</v>
      </c>
      <c r="T22" s="253">
        <v>0</v>
      </c>
      <c r="U22" s="253">
        <f t="shared" si="1"/>
        <v>0</v>
      </c>
      <c r="V22" s="254">
        <f>Q22</f>
        <v>534.73097213512358</v>
      </c>
    </row>
    <row r="23" spans="2:22" ht="15" hidden="1" customHeight="1" outlineLevel="1" thickTop="1" x14ac:dyDescent="0.25">
      <c r="B23" s="825"/>
      <c r="C23" s="54" t="s">
        <v>26</v>
      </c>
      <c r="D23" s="41" t="s">
        <v>19</v>
      </c>
      <c r="F23" s="62">
        <f>'C-Dados RT1 Simplif.'!C126</f>
        <v>6.1744150530052604</v>
      </c>
      <c r="G23" s="60"/>
      <c r="H23" s="60"/>
    </row>
    <row r="24" spans="2:22" ht="15" hidden="1" customHeight="1" outlineLevel="1" x14ac:dyDescent="0.25">
      <c r="B24" s="825"/>
      <c r="C24" s="54" t="s">
        <v>96</v>
      </c>
      <c r="D24" s="41" t="s">
        <v>19</v>
      </c>
      <c r="F24" s="62">
        <f>'C-Dados RT1 Simplif.'!C129</f>
        <v>5.7467710430057641</v>
      </c>
      <c r="G24" s="60"/>
      <c r="H24" s="60"/>
    </row>
    <row r="25" spans="2:22" hidden="1" outlineLevel="1" x14ac:dyDescent="0.25">
      <c r="B25" s="825"/>
      <c r="C25" s="54" t="s">
        <v>87</v>
      </c>
      <c r="D25" s="41" t="s">
        <v>19</v>
      </c>
      <c r="F25" s="62">
        <f>('C-Dados RT1 Simplif.'!C62+'C-Dados RT1 Simplif.'!C63+'C-Dados RT1 Simplif.'!C64+'C-Dados RT1 Simplif.'!C65+'C-Dados RT1 Simplif.'!C66+'C-Dados RT1 Simplif.'!C67)/1000</f>
        <v>2.7424650541752702</v>
      </c>
    </row>
    <row r="26" spans="2:22" s="47" customFormat="1" ht="15.75" thickTop="1" x14ac:dyDescent="0.25">
      <c r="B26" s="53"/>
      <c r="C26" s="53"/>
      <c r="D26" s="41"/>
      <c r="F26" s="55"/>
      <c r="I26" s="54"/>
      <c r="N26" s="61"/>
    </row>
    <row r="27" spans="2:22" x14ac:dyDescent="0.25">
      <c r="F27" s="72"/>
    </row>
    <row r="28" spans="2:22" s="47" customFormat="1" ht="40.15" customHeight="1" collapsed="1" x14ac:dyDescent="0.25">
      <c r="B28" s="826" t="s">
        <v>97</v>
      </c>
      <c r="C28" s="826"/>
      <c r="D28" s="826"/>
      <c r="E28" s="826"/>
      <c r="F28" s="826"/>
      <c r="G28" s="826"/>
      <c r="H28" s="826"/>
      <c r="I28" s="826"/>
      <c r="J28" s="826"/>
      <c r="K28" s="826"/>
    </row>
    <row r="29" spans="2:22" s="47" customFormat="1" ht="4.9000000000000004" hidden="1" customHeight="1" outlineLevel="1" x14ac:dyDescent="0.25">
      <c r="D29" s="41"/>
    </row>
    <row r="30" spans="2:22" s="74" customFormat="1" ht="18.75" hidden="1" outlineLevel="1" x14ac:dyDescent="0.3">
      <c r="B30" s="812" t="s">
        <v>17</v>
      </c>
      <c r="C30" s="812"/>
      <c r="D30" s="73"/>
      <c r="F30" s="302"/>
      <c r="H30" s="302"/>
      <c r="J30" s="302"/>
    </row>
    <row r="31" spans="2:22" s="73" customFormat="1" ht="15.75" hidden="1" outlineLevel="1" x14ac:dyDescent="0.25">
      <c r="B31" s="812"/>
      <c r="C31" s="812"/>
      <c r="F31" s="75" t="s">
        <v>10</v>
      </c>
      <c r="H31" s="75" t="s">
        <v>10</v>
      </c>
      <c r="J31" s="75" t="s">
        <v>10</v>
      </c>
    </row>
    <row r="32" spans="2:22" ht="4.9000000000000004" hidden="1" customHeight="1" outlineLevel="1" x14ac:dyDescent="0.25"/>
    <row r="33" spans="2:11" hidden="1" outlineLevel="1" x14ac:dyDescent="0.25">
      <c r="B33" s="828" t="s">
        <v>14</v>
      </c>
      <c r="C33" s="61" t="s">
        <v>4</v>
      </c>
      <c r="D33" s="76" t="s">
        <v>20</v>
      </c>
      <c r="E33" s="66"/>
      <c r="F33" s="68">
        <f>F9</f>
        <v>1127.7427429811567</v>
      </c>
      <c r="G33" s="66"/>
      <c r="H33" s="67">
        <f>H9</f>
        <v>0</v>
      </c>
      <c r="I33" s="78"/>
      <c r="J33" s="79">
        <f>-($F$33)*$H$33*(1-'C-Dados RT1 Simplif.'!$C$93)*(1-'C-Dados RT1 Simplif.'!$C$89)/'C-Dados RT1 Simplif.'!$C$105</f>
        <v>0</v>
      </c>
      <c r="K33" s="78"/>
    </row>
    <row r="34" spans="2:11" hidden="1" outlineLevel="1" x14ac:dyDescent="0.25">
      <c r="B34" s="828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0</v>
      </c>
      <c r="I34" s="78"/>
      <c r="J34" s="79">
        <f>-($F$34)*$H$34*1000/'C-Dados RT1 Simplif.'!$C$105</f>
        <v>0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28" t="s">
        <v>15</v>
      </c>
      <c r="C36" s="61" t="s">
        <v>4</v>
      </c>
      <c r="D36" s="76" t="s">
        <v>20</v>
      </c>
      <c r="E36" s="66"/>
      <c r="F36" s="68">
        <f t="shared" ref="F36:F43" si="2">F12</f>
        <v>0</v>
      </c>
      <c r="G36" s="66"/>
      <c r="H36" s="67">
        <f>H12</f>
        <v>0</v>
      </c>
      <c r="I36" s="78"/>
      <c r="J36" s="79">
        <f>-F36*$H$36*(1+'C-Dados RT1 Simplif.'!$C$93)/'C-Dados RT1 Simplif.'!$C$105</f>
        <v>0</v>
      </c>
      <c r="K36" s="78"/>
    </row>
    <row r="37" spans="2:11" hidden="1" outlineLevel="1" x14ac:dyDescent="0.25">
      <c r="B37" s="828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0</v>
      </c>
      <c r="I37" s="78"/>
      <c r="J37" s="79">
        <f>-($F$34)*$H$34*1000/'C-Dados RT1 Simplif.'!$C$105</f>
        <v>0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28" t="s">
        <v>16</v>
      </c>
      <c r="C39" s="61" t="s">
        <v>4</v>
      </c>
      <c r="D39" s="76" t="s">
        <v>20</v>
      </c>
      <c r="E39" s="66"/>
      <c r="F39" s="68">
        <f t="shared" si="2"/>
        <v>0</v>
      </c>
      <c r="G39" s="66"/>
      <c r="H39" s="67">
        <f>H15</f>
        <v>0</v>
      </c>
      <c r="I39" s="78"/>
      <c r="J39" s="79">
        <f>-($F$39)*$H$39*(1+'C-Dados RT1 Simplif.'!$C$93)*(1+'C-Dados RT1 Simplif.'!$C$86)/'C-Dados RT1 Simplif.'!$C$105</f>
        <v>0</v>
      </c>
      <c r="K39" s="78"/>
    </row>
    <row r="40" spans="2:11" hidden="1" outlineLevel="1" x14ac:dyDescent="0.25">
      <c r="B40" s="828"/>
      <c r="C40" s="61" t="s">
        <v>27</v>
      </c>
      <c r="D40" s="80" t="s">
        <v>28</v>
      </c>
      <c r="E40" s="66"/>
      <c r="F40" s="68">
        <f t="shared" si="2"/>
        <v>1043990.2486921826</v>
      </c>
      <c r="G40" s="66"/>
      <c r="H40" s="82">
        <f>H16</f>
        <v>4</v>
      </c>
      <c r="I40" s="78"/>
      <c r="J40" s="79">
        <f>-'RT1C) Comercializ Gás Biomet'!C26</f>
        <v>-52.871557485609657</v>
      </c>
      <c r="K40" s="78"/>
    </row>
    <row r="41" spans="2:11" hidden="1" outlineLevel="1" x14ac:dyDescent="0.25">
      <c r="B41" s="828"/>
      <c r="C41" s="61" t="s">
        <v>12</v>
      </c>
      <c r="D41" s="88" t="s">
        <v>19</v>
      </c>
      <c r="E41" s="66"/>
      <c r="F41" s="81">
        <f t="shared" si="2"/>
        <v>6.1744150530052604</v>
      </c>
      <c r="G41" s="66"/>
      <c r="H41" s="67">
        <f>H17</f>
        <v>150</v>
      </c>
      <c r="I41" s="78"/>
      <c r="J41" s="79">
        <f>-F41*$H$41*1000*(1-'C-Dados RT1 Simplif.'!$C$93)*(1-'C-Dados RT1 Simplif.'!$C$89)/'C-Dados RT1 Simplif.'!$C$105</f>
        <v>-21.508294499999998</v>
      </c>
      <c r="K41" s="78"/>
    </row>
    <row r="42" spans="2:11" hidden="1" outlineLevel="1" x14ac:dyDescent="0.25">
      <c r="B42" s="828"/>
      <c r="C42" s="61" t="s">
        <v>11</v>
      </c>
      <c r="D42" s="80" t="s">
        <v>19</v>
      </c>
      <c r="E42" s="66"/>
      <c r="F42" s="81">
        <f t="shared" si="2"/>
        <v>5.7467710430057641</v>
      </c>
      <c r="G42" s="66"/>
      <c r="H42" s="67">
        <f>H18</f>
        <v>0</v>
      </c>
      <c r="I42" s="78"/>
      <c r="J42" s="79">
        <f>-F42*$H$42*1000*(1-'C-Dados RT1 Simplif.'!$C$93)*(1-'C-Dados RT1 Simplif.'!$C$89)/'C-Dados RT1 Simplif.'!$C$105*27/30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2.7424650541752702</v>
      </c>
      <c r="G43" s="66"/>
      <c r="H43" s="67">
        <f>H19</f>
        <v>1557.6802507836985</v>
      </c>
      <c r="I43" s="78"/>
      <c r="J43" s="79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</f>
        <v>-112.45235203125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6" customHeight="1" x14ac:dyDescent="0.25">
      <c r="B46" s="843" t="s">
        <v>98</v>
      </c>
      <c r="C46" s="844"/>
      <c r="D46" s="844"/>
      <c r="E46" s="844"/>
      <c r="F46" s="555"/>
      <c r="G46" s="555"/>
      <c r="H46" s="555"/>
      <c r="I46" s="89"/>
      <c r="J46" s="847" t="s">
        <v>10</v>
      </c>
      <c r="K46" s="89"/>
    </row>
    <row r="47" spans="2:11" s="73" customFormat="1" ht="15.6" customHeight="1" x14ac:dyDescent="0.25">
      <c r="B47" s="845"/>
      <c r="C47" s="846"/>
      <c r="D47" s="846"/>
      <c r="E47" s="846"/>
      <c r="F47" s="557"/>
      <c r="G47" s="557"/>
      <c r="H47" s="557"/>
      <c r="I47" s="49"/>
      <c r="J47" s="847"/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22" ht="25.15" customHeight="1" x14ac:dyDescent="0.25">
      <c r="B49" s="356" t="s">
        <v>99</v>
      </c>
      <c r="C49" s="357"/>
      <c r="D49" s="357"/>
      <c r="E49" s="357"/>
      <c r="F49" s="48"/>
      <c r="I49" s="89"/>
      <c r="J49" s="91">
        <f>SUM(J33:J37)+SUM(J39:J43)*C53</f>
        <v>-186.83220401685966</v>
      </c>
      <c r="K49" s="49"/>
    </row>
    <row r="50" spans="2:22" ht="4.9000000000000004" customHeight="1" x14ac:dyDescent="0.25">
      <c r="B50" s="48"/>
      <c r="C50" s="48"/>
      <c r="D50" s="90"/>
      <c r="E50" s="48"/>
      <c r="F50" s="48"/>
      <c r="G50" s="48"/>
      <c r="H50" s="48"/>
      <c r="I50" s="89"/>
      <c r="J50" s="91"/>
      <c r="K50" s="49"/>
    </row>
    <row r="51" spans="2:22" ht="25.15" customHeight="1" x14ac:dyDescent="0.25">
      <c r="B51" s="358" t="s">
        <v>100</v>
      </c>
      <c r="C51" s="359"/>
      <c r="D51" s="359"/>
      <c r="E51" s="359"/>
      <c r="F51" s="48"/>
      <c r="H51" s="558"/>
      <c r="I51" s="92"/>
      <c r="J51" s="300">
        <f>'C-Dados RT1 Simplif.'!C6</f>
        <v>288.27317615198319</v>
      </c>
      <c r="K51" s="355"/>
    </row>
    <row r="52" spans="2:22" ht="4.9000000000000004" customHeight="1" x14ac:dyDescent="0.25">
      <c r="B52" s="48"/>
      <c r="C52" s="48"/>
      <c r="D52" s="90"/>
      <c r="E52" s="48"/>
      <c r="F52" s="48"/>
      <c r="G52" s="48"/>
      <c r="H52" s="48"/>
      <c r="I52" s="89"/>
      <c r="J52" s="94"/>
      <c r="K52" s="95"/>
    </row>
    <row r="53" spans="2:22" ht="25.15" customHeight="1" x14ac:dyDescent="0.25">
      <c r="B53" s="360" t="s">
        <v>101</v>
      </c>
      <c r="C53" s="580">
        <f>'Demanda Preço &amp; Quantidade'!D10</f>
        <v>1</v>
      </c>
      <c r="D53" s="361"/>
      <c r="E53" s="361"/>
      <c r="F53" s="48"/>
      <c r="I53" s="89"/>
      <c r="J53" s="827"/>
      <c r="K53" s="827"/>
    </row>
    <row r="54" spans="2:22" ht="4.9000000000000004" customHeight="1" x14ac:dyDescent="0.25">
      <c r="B54" s="48"/>
      <c r="C54" s="48"/>
      <c r="D54" s="90"/>
      <c r="E54" s="48"/>
      <c r="F54" s="48"/>
      <c r="G54" s="48"/>
      <c r="H54" s="93"/>
      <c r="I54" s="96"/>
      <c r="J54" s="97"/>
      <c r="K54" s="98"/>
    </row>
    <row r="55" spans="2:22" ht="25.15" customHeight="1" x14ac:dyDescent="0.25">
      <c r="B55" s="363" t="s">
        <v>102</v>
      </c>
      <c r="C55" s="364"/>
      <c r="D55" s="364"/>
      <c r="E55" s="364"/>
      <c r="F55" s="48"/>
      <c r="I55" s="49"/>
      <c r="J55" s="99">
        <f>$J$51+J49+M8+M9</f>
        <v>534.73097213512358</v>
      </c>
      <c r="K55" s="100"/>
    </row>
    <row r="56" spans="2:22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22" ht="18.75" x14ac:dyDescent="0.3">
      <c r="E57" s="103"/>
      <c r="G57" s="103"/>
      <c r="H57" s="103"/>
      <c r="I57" s="103"/>
      <c r="J57" s="103"/>
      <c r="K57" s="103"/>
    </row>
    <row r="58" spans="2:22" customFormat="1" x14ac:dyDescent="0.25">
      <c r="B58" s="61"/>
      <c r="C58" s="61"/>
      <c r="D58" s="71"/>
      <c r="E58" s="61"/>
      <c r="F58" s="61"/>
      <c r="G58" s="61"/>
      <c r="H58" s="61"/>
      <c r="I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</row>
    <row r="59" spans="2:22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</row>
    <row r="60" spans="2:22" s="233" customFormat="1" ht="15.75" x14ac:dyDescent="0.25"/>
    <row r="61" spans="2:22" customFormat="1" x14ac:dyDescent="0.25">
      <c r="B61" s="61"/>
      <c r="C61" s="61"/>
      <c r="D61" s="71"/>
      <c r="E61" s="61"/>
      <c r="F61" s="61"/>
      <c r="G61" s="61"/>
      <c r="H61" s="61"/>
      <c r="I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</row>
    <row r="62" spans="2:22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22" s="233" customFormat="1" ht="15.75" x14ac:dyDescent="0.25"/>
    <row r="64" spans="2:22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mergeCells count="18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30:C31"/>
    <mergeCell ref="J53:K53"/>
    <mergeCell ref="B46:E47"/>
    <mergeCell ref="B28:K28"/>
    <mergeCell ref="J46:J47"/>
    <mergeCell ref="B33:B34"/>
    <mergeCell ref="B36:B37"/>
    <mergeCell ref="B39:B4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2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4" customWidth="1"/>
    <col min="3" max="3" width="13.7109375" style="105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6"/>
      <c r="E1" s="106"/>
      <c r="F1" s="106"/>
      <c r="G1" s="106"/>
      <c r="H1" s="106"/>
    </row>
    <row r="2" spans="1:60" ht="22.5" thickTop="1" thickBot="1" x14ac:dyDescent="0.3">
      <c r="B2" s="11" t="s">
        <v>103</v>
      </c>
      <c r="C2" s="794" t="s">
        <v>413</v>
      </c>
      <c r="D2" s="795"/>
      <c r="E2" s="795"/>
      <c r="F2" s="795"/>
      <c r="G2" s="795"/>
      <c r="H2" s="796"/>
    </row>
    <row r="3" spans="1:60" ht="4.9000000000000004" customHeight="1" thickTop="1" thickBot="1" x14ac:dyDescent="0.3"/>
    <row r="4" spans="1:60" ht="19.5" thickTop="1" x14ac:dyDescent="0.25">
      <c r="B4" s="107" t="str">
        <f>B104</f>
        <v>Quant. RSU (Ano 1)</v>
      </c>
      <c r="C4" s="108">
        <f>C104</f>
        <v>101.66</v>
      </c>
      <c r="D4" s="109" t="str">
        <f>D104</f>
        <v>t/d</v>
      </c>
      <c r="E4" s="110"/>
      <c r="F4" s="110"/>
      <c r="G4" s="110"/>
      <c r="H4" s="111"/>
    </row>
    <row r="5" spans="1:60" ht="19.899999999999999" customHeight="1" x14ac:dyDescent="0.25">
      <c r="B5" s="12" t="s">
        <v>358</v>
      </c>
      <c r="C5" s="13">
        <v>237.54494967426146</v>
      </c>
      <c r="D5" s="14" t="s">
        <v>8</v>
      </c>
      <c r="E5" s="112"/>
      <c r="F5" s="112"/>
      <c r="G5" s="112"/>
      <c r="H5" s="113"/>
    </row>
    <row r="6" spans="1:60" ht="19.899999999999999" customHeight="1" x14ac:dyDescent="0.25">
      <c r="B6" s="12" t="s">
        <v>359</v>
      </c>
      <c r="C6" s="13">
        <v>254.60848243040007</v>
      </c>
      <c r="D6" s="14" t="s">
        <v>8</v>
      </c>
      <c r="E6" s="112"/>
      <c r="F6" s="112"/>
      <c r="G6" s="112"/>
      <c r="H6" s="113"/>
    </row>
    <row r="7" spans="1:60" ht="18.75" x14ac:dyDescent="0.25">
      <c r="B7" s="12" t="s">
        <v>18</v>
      </c>
      <c r="C7" s="13">
        <v>35</v>
      </c>
      <c r="D7" s="14" t="s">
        <v>3</v>
      </c>
      <c r="E7" s="112"/>
      <c r="F7" s="112"/>
      <c r="G7" s="112"/>
      <c r="H7" s="113"/>
    </row>
    <row r="8" spans="1:60" ht="19.5" thickBot="1" x14ac:dyDescent="0.3">
      <c r="B8" s="15" t="s">
        <v>30</v>
      </c>
      <c r="C8" s="230">
        <v>9.611299999999999E-2</v>
      </c>
      <c r="D8" s="16" t="s">
        <v>1</v>
      </c>
      <c r="E8" s="114"/>
      <c r="F8" s="114"/>
      <c r="G8" s="114"/>
      <c r="H8" s="115"/>
    </row>
    <row r="9" spans="1:60" ht="4.9000000000000004" customHeight="1" thickTop="1" thickBot="1" x14ac:dyDescent="0.3"/>
    <row r="10" spans="1:60" s="116" customFormat="1" ht="19.899999999999999" customHeight="1" thickTop="1" x14ac:dyDescent="0.25">
      <c r="B10" s="797" t="s">
        <v>396</v>
      </c>
      <c r="C10" s="798"/>
      <c r="D10" s="801" t="s">
        <v>32</v>
      </c>
      <c r="E10" s="802"/>
      <c r="F10" s="802"/>
      <c r="G10" s="802"/>
      <c r="H10" s="803"/>
      <c r="J10" s="117" t="s">
        <v>104</v>
      </c>
      <c r="K10" s="117" t="s">
        <v>32</v>
      </c>
      <c r="L10" s="117" t="s">
        <v>31</v>
      </c>
      <c r="M10" s="117" t="s">
        <v>33</v>
      </c>
    </row>
    <row r="11" spans="1:60" s="116" customFormat="1" ht="19.899999999999999" customHeight="1" thickBot="1" x14ac:dyDescent="0.3">
      <c r="B11" s="799"/>
      <c r="C11" s="800"/>
      <c r="D11" s="804"/>
      <c r="E11" s="805"/>
      <c r="F11" s="805"/>
      <c r="G11" s="805"/>
      <c r="H11" s="806"/>
    </row>
    <row r="12" spans="1:60" ht="4.9000000000000004" customHeight="1" thickTop="1" thickBot="1" x14ac:dyDescent="0.3"/>
    <row r="13" spans="1:60" s="118" customFormat="1" ht="25.15" customHeight="1" collapsed="1" thickTop="1" thickBot="1" x14ac:dyDescent="0.3">
      <c r="B13" s="807" t="s">
        <v>34</v>
      </c>
      <c r="C13" s="808"/>
      <c r="D13" s="808"/>
      <c r="E13" s="808"/>
      <c r="F13" s="808"/>
      <c r="G13" s="808"/>
      <c r="H13" s="809"/>
      <c r="I13" s="1"/>
      <c r="J13" s="1"/>
    </row>
    <row r="14" spans="1:60" s="119" customFormat="1" ht="15" hidden="1" customHeight="1" outlineLevel="1" thickTop="1" x14ac:dyDescent="0.25">
      <c r="B14" s="119" t="s">
        <v>428</v>
      </c>
      <c r="C14" s="120"/>
      <c r="D14" s="121">
        <v>0</v>
      </c>
      <c r="E14" s="119">
        <v>1</v>
      </c>
      <c r="F14" s="119">
        <v>2</v>
      </c>
      <c r="G14" s="119">
        <v>3</v>
      </c>
      <c r="H14" s="119">
        <v>4</v>
      </c>
      <c r="I14" s="119">
        <v>5</v>
      </c>
      <c r="J14" s="119">
        <v>6</v>
      </c>
      <c r="K14" s="119">
        <v>7</v>
      </c>
      <c r="L14" s="119">
        <v>8</v>
      </c>
      <c r="M14" s="119">
        <v>9</v>
      </c>
      <c r="N14" s="119">
        <v>10</v>
      </c>
      <c r="O14" s="119">
        <v>11</v>
      </c>
      <c r="P14" s="119">
        <v>12</v>
      </c>
      <c r="Q14" s="119">
        <v>13</v>
      </c>
      <c r="R14" s="119">
        <v>14</v>
      </c>
      <c r="S14" s="119">
        <v>15</v>
      </c>
      <c r="T14" s="119">
        <v>16</v>
      </c>
      <c r="U14" s="119">
        <v>17</v>
      </c>
      <c r="V14" s="119">
        <v>18</v>
      </c>
      <c r="W14" s="119">
        <v>19</v>
      </c>
      <c r="X14" s="119">
        <v>20</v>
      </c>
      <c r="Y14" s="119">
        <v>21</v>
      </c>
      <c r="Z14" s="119">
        <v>22</v>
      </c>
      <c r="AA14" s="119">
        <v>23</v>
      </c>
      <c r="AB14" s="119">
        <v>24</v>
      </c>
      <c r="AC14" s="119">
        <v>25</v>
      </c>
      <c r="AD14" s="119">
        <v>26</v>
      </c>
      <c r="AE14" s="119">
        <v>27</v>
      </c>
      <c r="AF14" s="119">
        <v>28</v>
      </c>
      <c r="AG14" s="119">
        <v>29</v>
      </c>
      <c r="AH14" s="119">
        <v>30</v>
      </c>
      <c r="AI14" s="119">
        <v>31</v>
      </c>
      <c r="AJ14" s="119">
        <v>32</v>
      </c>
      <c r="AK14" s="119">
        <v>33</v>
      </c>
      <c r="AL14" s="119">
        <v>34</v>
      </c>
      <c r="AM14" s="119">
        <v>35</v>
      </c>
      <c r="AN14" s="119">
        <v>36</v>
      </c>
      <c r="AO14" s="119">
        <v>37</v>
      </c>
      <c r="AP14" s="119">
        <v>38</v>
      </c>
      <c r="AQ14" s="119">
        <v>39</v>
      </c>
      <c r="AR14" s="119">
        <v>40</v>
      </c>
      <c r="AS14" s="119">
        <v>41</v>
      </c>
      <c r="AT14" s="119">
        <v>42</v>
      </c>
      <c r="AU14" s="119">
        <v>43</v>
      </c>
      <c r="AV14" s="119">
        <v>44</v>
      </c>
      <c r="AW14" s="119">
        <v>45</v>
      </c>
      <c r="AX14" s="119">
        <v>46</v>
      </c>
      <c r="AY14" s="119">
        <v>47</v>
      </c>
      <c r="AZ14" s="119">
        <v>48</v>
      </c>
      <c r="BA14" s="119">
        <v>49</v>
      </c>
      <c r="BB14" s="119">
        <v>50</v>
      </c>
      <c r="BC14" s="119">
        <v>51</v>
      </c>
      <c r="BD14" s="119">
        <v>52</v>
      </c>
      <c r="BE14" s="119">
        <v>0</v>
      </c>
      <c r="BF14" s="119">
        <v>0</v>
      </c>
      <c r="BG14" s="119">
        <v>0</v>
      </c>
      <c r="BH14" s="119">
        <v>0</v>
      </c>
    </row>
    <row r="15" spans="1:60" s="127" customFormat="1" ht="15" hidden="1" customHeight="1" outlineLevel="1" x14ac:dyDescent="0.25">
      <c r="A15" s="788" t="s">
        <v>35</v>
      </c>
      <c r="B15" s="122" t="s">
        <v>36</v>
      </c>
      <c r="C15" s="123"/>
      <c r="D15" s="124">
        <v>1</v>
      </c>
      <c r="E15" s="125">
        <v>1</v>
      </c>
      <c r="F15" s="125">
        <v>1</v>
      </c>
      <c r="G15" s="125">
        <v>1</v>
      </c>
      <c r="H15" s="125">
        <v>1</v>
      </c>
      <c r="I15" s="125">
        <v>1</v>
      </c>
      <c r="J15" s="125">
        <v>1</v>
      </c>
      <c r="K15" s="125">
        <v>1</v>
      </c>
      <c r="L15" s="125">
        <v>1</v>
      </c>
      <c r="M15" s="125">
        <v>1</v>
      </c>
      <c r="N15" s="125">
        <v>1</v>
      </c>
      <c r="O15" s="125">
        <v>1</v>
      </c>
      <c r="P15" s="125">
        <v>1</v>
      </c>
      <c r="Q15" s="125">
        <v>1</v>
      </c>
      <c r="R15" s="125">
        <v>1</v>
      </c>
      <c r="S15" s="125">
        <v>1</v>
      </c>
      <c r="T15" s="125">
        <v>1</v>
      </c>
      <c r="U15" s="125">
        <v>1</v>
      </c>
      <c r="V15" s="125">
        <v>1</v>
      </c>
      <c r="W15" s="125">
        <v>1</v>
      </c>
      <c r="X15" s="125">
        <v>1</v>
      </c>
      <c r="Y15" s="125">
        <v>1</v>
      </c>
      <c r="Z15" s="125">
        <v>1</v>
      </c>
      <c r="AA15" s="125">
        <v>1</v>
      </c>
      <c r="AB15" s="125">
        <v>1</v>
      </c>
      <c r="AC15" s="125">
        <v>1</v>
      </c>
      <c r="AD15" s="125">
        <v>1</v>
      </c>
      <c r="AE15" s="125">
        <v>1</v>
      </c>
      <c r="AF15" s="125">
        <v>1</v>
      </c>
      <c r="AG15" s="125">
        <v>1</v>
      </c>
      <c r="AH15" s="125">
        <v>1</v>
      </c>
      <c r="AI15" s="125">
        <v>1</v>
      </c>
      <c r="AJ15" s="125">
        <v>1</v>
      </c>
      <c r="AK15" s="125">
        <v>1</v>
      </c>
      <c r="AL15" s="125">
        <v>1</v>
      </c>
      <c r="AM15" s="125">
        <v>0</v>
      </c>
      <c r="AN15" s="125">
        <v>0</v>
      </c>
      <c r="AO15" s="125">
        <v>0</v>
      </c>
      <c r="AP15" s="125">
        <v>0</v>
      </c>
      <c r="AQ15" s="125">
        <v>0</v>
      </c>
      <c r="AR15" s="125">
        <v>0</v>
      </c>
      <c r="AS15" s="125">
        <v>0</v>
      </c>
      <c r="AT15" s="125">
        <v>0</v>
      </c>
      <c r="AU15" s="125">
        <v>0</v>
      </c>
      <c r="AV15" s="125">
        <v>0</v>
      </c>
      <c r="AW15" s="125">
        <v>0</v>
      </c>
      <c r="AX15" s="125">
        <v>0</v>
      </c>
      <c r="AY15" s="125">
        <v>0</v>
      </c>
      <c r="AZ15" s="125">
        <v>0</v>
      </c>
      <c r="BA15" s="125">
        <v>0</v>
      </c>
      <c r="BB15" s="125">
        <v>0</v>
      </c>
      <c r="BC15" s="125">
        <v>0</v>
      </c>
      <c r="BD15" s="125">
        <v>0</v>
      </c>
      <c r="BE15" s="125">
        <v>0</v>
      </c>
      <c r="BF15" s="125">
        <v>0</v>
      </c>
      <c r="BG15" s="125">
        <v>0</v>
      </c>
      <c r="BH15" s="126">
        <v>0</v>
      </c>
    </row>
    <row r="16" spans="1:60" s="131" customFormat="1" ht="15" hidden="1" customHeight="1" outlineLevel="1" x14ac:dyDescent="0.25">
      <c r="A16" s="788"/>
      <c r="B16" s="104" t="s">
        <v>429</v>
      </c>
      <c r="C16" s="128">
        <f>SUMIF($D$15:$BG$15,1,D16:BG16)</f>
        <v>1193646.2820174235</v>
      </c>
      <c r="D16" s="129">
        <v>31717.919999999998</v>
      </c>
      <c r="E16" s="130">
        <v>31866.994223999995</v>
      </c>
      <c r="F16" s="130">
        <v>32016.769096852793</v>
      </c>
      <c r="G16" s="130">
        <v>32167.247911607999</v>
      </c>
      <c r="H16" s="130">
        <v>32318.433976792556</v>
      </c>
      <c r="I16" s="130">
        <v>32470.330616483479</v>
      </c>
      <c r="J16" s="130">
        <v>32622.941170380949</v>
      </c>
      <c r="K16" s="130">
        <v>32776.268993881735</v>
      </c>
      <c r="L16" s="130">
        <v>32930.317458152975</v>
      </c>
      <c r="M16" s="130">
        <v>33085.089950206289</v>
      </c>
      <c r="N16" s="130">
        <v>33240.589872972254</v>
      </c>
      <c r="O16" s="130">
        <v>33396.820645375221</v>
      </c>
      <c r="P16" s="130">
        <v>33553.785702408481</v>
      </c>
      <c r="Q16" s="130">
        <v>33711.4884952098</v>
      </c>
      <c r="R16" s="130">
        <v>33869.932491137282</v>
      </c>
      <c r="S16" s="130">
        <v>33553.785702408481</v>
      </c>
      <c r="T16" s="130">
        <v>33711.4884952098</v>
      </c>
      <c r="U16" s="130">
        <v>33869.932491137282</v>
      </c>
      <c r="V16" s="130">
        <v>34029.121173845626</v>
      </c>
      <c r="W16" s="130">
        <v>34189.058043362696</v>
      </c>
      <c r="X16" s="130">
        <v>34349.7466161665</v>
      </c>
      <c r="Y16" s="130">
        <v>34511.190425262481</v>
      </c>
      <c r="Z16" s="130">
        <v>34673.39302026121</v>
      </c>
      <c r="AA16" s="130">
        <v>34836.357967456432</v>
      </c>
      <c r="AB16" s="130">
        <v>35000.088849903477</v>
      </c>
      <c r="AC16" s="130">
        <v>35164.58926749802</v>
      </c>
      <c r="AD16" s="130">
        <v>35329.862837055261</v>
      </c>
      <c r="AE16" s="130">
        <v>35495.913192389417</v>
      </c>
      <c r="AF16" s="130">
        <v>35662.743984393644</v>
      </c>
      <c r="AG16" s="130">
        <v>35830.358881120294</v>
      </c>
      <c r="AH16" s="130">
        <v>35998.761567861555</v>
      </c>
      <c r="AI16" s="130">
        <v>36167.955747230502</v>
      </c>
      <c r="AJ16" s="130">
        <v>36337.945139242482</v>
      </c>
      <c r="AK16" s="130">
        <v>36508.733481396921</v>
      </c>
      <c r="AL16" s="130">
        <v>36680.324528759484</v>
      </c>
      <c r="AM16" s="130">
        <v>36852.722054044651</v>
      </c>
      <c r="AN16" s="130">
        <v>37025.929847698659</v>
      </c>
      <c r="AO16" s="130">
        <v>37199.95171798284</v>
      </c>
      <c r="AP16" s="130">
        <v>37374.79149105736</v>
      </c>
      <c r="AQ16" s="130">
        <v>37550.453011065329</v>
      </c>
      <c r="AR16" s="130">
        <v>37726.940140217332</v>
      </c>
      <c r="AS16" s="130">
        <v>37904.256758876349</v>
      </c>
      <c r="AT16" s="130">
        <v>38082.406765643063</v>
      </c>
      <c r="AU16" s="130">
        <v>38261.394077441582</v>
      </c>
      <c r="AV16" s="130">
        <v>38441.222629605552</v>
      </c>
      <c r="AW16" s="130">
        <v>38621.896375964694</v>
      </c>
      <c r="AX16" s="130">
        <v>38803.419288931727</v>
      </c>
      <c r="AY16" s="130">
        <v>38985.795359589705</v>
      </c>
      <c r="AZ16" s="130">
        <v>39169.028597779776</v>
      </c>
      <c r="BA16" s="130">
        <v>39353.123032189338</v>
      </c>
      <c r="BB16" s="130">
        <v>39538.082710440627</v>
      </c>
      <c r="BC16" s="130">
        <v>39723.911699179698</v>
      </c>
      <c r="BD16" s="130">
        <v>39910.614084165842</v>
      </c>
      <c r="BE16" s="130">
        <v>40098.193970361419</v>
      </c>
      <c r="BF16" s="130">
        <v>40286.655482022114</v>
      </c>
      <c r="BG16" s="130">
        <v>40476.002762787612</v>
      </c>
      <c r="BH16" s="130">
        <v>0</v>
      </c>
    </row>
    <row r="17" spans="1:60" ht="15" hidden="1" customHeight="1" outlineLevel="1" x14ac:dyDescent="0.25">
      <c r="A17" s="105"/>
      <c r="C17" s="132"/>
      <c r="D17" s="133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</row>
    <row r="18" spans="1:60" ht="15" hidden="1" customHeight="1" outlineLevel="1" x14ac:dyDescent="0.25">
      <c r="A18" s="135">
        <f>C18*1000000/$C$16</f>
        <v>86.174216410433601</v>
      </c>
      <c r="B18" s="136" t="s">
        <v>430</v>
      </c>
      <c r="C18" s="137">
        <f>SUMIF($D$15:$BG$15,1,D18:BG18)</f>
        <v>102.86153302407891</v>
      </c>
      <c r="D18" s="138">
        <v>30.679994694602051</v>
      </c>
      <c r="E18" s="8">
        <v>31.20722848041671</v>
      </c>
      <c r="F18" s="8">
        <v>40.974309849060141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</row>
    <row r="19" spans="1:60" ht="15" hidden="1" customHeight="1" outlineLevel="1" x14ac:dyDescent="0.25">
      <c r="A19" s="135">
        <f>C19*1000000/$C$16</f>
        <v>78.618004175147632</v>
      </c>
      <c r="B19" s="139" t="s">
        <v>37</v>
      </c>
      <c r="C19" s="132">
        <f>SUMIF($D$15:$BG$15,1,D19:BG19)</f>
        <v>93.842088383295248</v>
      </c>
      <c r="D19" s="138">
        <f t="shared" ref="D19:AJ19" si="0">NPV($C$8,D18:D18)</f>
        <v>27.989810078524801</v>
      </c>
      <c r="E19" s="8">
        <f t="shared" si="0"/>
        <v>28.470813210332068</v>
      </c>
      <c r="F19" s="8">
        <f t="shared" si="0"/>
        <v>37.38146509443839</v>
      </c>
      <c r="G19" s="8">
        <f t="shared" si="0"/>
        <v>0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8">
        <f t="shared" si="0"/>
        <v>0</v>
      </c>
      <c r="N19" s="8">
        <f t="shared" si="0"/>
        <v>0</v>
      </c>
      <c r="O19" s="8">
        <f t="shared" si="0"/>
        <v>0</v>
      </c>
      <c r="P19" s="8">
        <f t="shared" si="0"/>
        <v>0</v>
      </c>
      <c r="Q19" s="8">
        <f t="shared" si="0"/>
        <v>0</v>
      </c>
      <c r="R19" s="8">
        <f t="shared" si="0"/>
        <v>0</v>
      </c>
      <c r="S19" s="8">
        <f t="shared" si="0"/>
        <v>0</v>
      </c>
      <c r="T19" s="8">
        <f t="shared" si="0"/>
        <v>0</v>
      </c>
      <c r="U19" s="8">
        <f t="shared" si="0"/>
        <v>0</v>
      </c>
      <c r="V19" s="8">
        <f t="shared" si="0"/>
        <v>0</v>
      </c>
      <c r="W19" s="8">
        <f t="shared" si="0"/>
        <v>0</v>
      </c>
      <c r="X19" s="8">
        <f t="shared" si="0"/>
        <v>0</v>
      </c>
      <c r="Y19" s="8">
        <f t="shared" si="0"/>
        <v>0</v>
      </c>
      <c r="Z19" s="8">
        <f t="shared" si="0"/>
        <v>0</v>
      </c>
      <c r="AA19" s="8">
        <f t="shared" si="0"/>
        <v>0</v>
      </c>
      <c r="AB19" s="8">
        <f t="shared" si="0"/>
        <v>0</v>
      </c>
      <c r="AC19" s="8">
        <f t="shared" si="0"/>
        <v>0</v>
      </c>
      <c r="AD19" s="8">
        <f t="shared" si="0"/>
        <v>0</v>
      </c>
      <c r="AE19" s="8">
        <f t="shared" si="0"/>
        <v>0</v>
      </c>
      <c r="AF19" s="8">
        <f t="shared" si="0"/>
        <v>0</v>
      </c>
      <c r="AG19" s="8">
        <f t="shared" si="0"/>
        <v>0</v>
      </c>
      <c r="AH19" s="8">
        <f t="shared" si="0"/>
        <v>0</v>
      </c>
      <c r="AI19" s="8">
        <f t="shared" si="0"/>
        <v>0</v>
      </c>
      <c r="AJ19" s="8">
        <f t="shared" si="0"/>
        <v>0</v>
      </c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1:60" ht="15" hidden="1" customHeight="1" outlineLevel="1" x14ac:dyDescent="0.25">
      <c r="A20" s="135"/>
      <c r="B20" s="1"/>
      <c r="C20" s="140">
        <f>C18*1000000/(C16/C43)</f>
        <v>3016.0975743651757</v>
      </c>
      <c r="D20" s="13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</row>
    <row r="21" spans="1:60" ht="15" hidden="1" customHeight="1" outlineLevel="1" x14ac:dyDescent="0.25">
      <c r="A21" s="135">
        <f>C21*1000000/$C$16</f>
        <v>516.73456833404168</v>
      </c>
      <c r="B21" s="136" t="s">
        <v>431</v>
      </c>
      <c r="C21" s="137">
        <f>SUMIF($D$15:$BG$15,1,D21:BG21)</f>
        <v>616.79829628180721</v>
      </c>
      <c r="D21" s="138">
        <v>5.0090883972904399</v>
      </c>
      <c r="E21" s="8">
        <v>5.0090883972904399</v>
      </c>
      <c r="F21" s="8">
        <v>5.0090883972904399</v>
      </c>
      <c r="G21" s="8">
        <v>18.805344721560498</v>
      </c>
      <c r="H21" s="8">
        <v>18.805344721560498</v>
      </c>
      <c r="I21" s="8">
        <v>18.805344721560498</v>
      </c>
      <c r="J21" s="8">
        <v>18.805344721560498</v>
      </c>
      <c r="K21" s="8">
        <v>18.805344721560498</v>
      </c>
      <c r="L21" s="8">
        <v>18.805344721560498</v>
      </c>
      <c r="M21" s="8">
        <v>18.805344721560498</v>
      </c>
      <c r="N21" s="8">
        <v>18.805344721560498</v>
      </c>
      <c r="O21" s="8">
        <v>18.805344721560498</v>
      </c>
      <c r="P21" s="8">
        <v>18.805344721560498</v>
      </c>
      <c r="Q21" s="8">
        <v>18.805344721560498</v>
      </c>
      <c r="R21" s="8">
        <v>18.805344721560498</v>
      </c>
      <c r="S21" s="8">
        <v>18.805344721560498</v>
      </c>
      <c r="T21" s="8">
        <v>18.805344721560498</v>
      </c>
      <c r="U21" s="8">
        <v>18.805344721560498</v>
      </c>
      <c r="V21" s="8">
        <v>18.805344721560498</v>
      </c>
      <c r="W21" s="8">
        <v>18.805344721560498</v>
      </c>
      <c r="X21" s="8">
        <v>18.805344721560498</v>
      </c>
      <c r="Y21" s="8">
        <v>18.805344721560498</v>
      </c>
      <c r="Z21" s="8">
        <v>18.805344721560498</v>
      </c>
      <c r="AA21" s="8">
        <v>18.805344721560498</v>
      </c>
      <c r="AB21" s="8">
        <v>18.805344721560498</v>
      </c>
      <c r="AC21" s="8">
        <v>18.805344721560498</v>
      </c>
      <c r="AD21" s="8">
        <v>18.805344721560498</v>
      </c>
      <c r="AE21" s="8">
        <v>18.805344721560498</v>
      </c>
      <c r="AF21" s="8">
        <v>18.805344721560498</v>
      </c>
      <c r="AG21" s="8">
        <v>18.805344721560498</v>
      </c>
      <c r="AH21" s="8">
        <v>18.805344721560498</v>
      </c>
      <c r="AI21" s="8">
        <v>18.805344721560498</v>
      </c>
      <c r="AJ21" s="8">
        <v>18.805344721560498</v>
      </c>
      <c r="AK21" s="8">
        <v>18.805344721560498</v>
      </c>
      <c r="AL21" s="8">
        <v>18.805344721560498</v>
      </c>
      <c r="AM21" s="8">
        <v>18.805344721560498</v>
      </c>
      <c r="AN21" s="8">
        <v>18.805344721560498</v>
      </c>
      <c r="AO21" s="8">
        <v>18.805344721560498</v>
      </c>
      <c r="AP21" s="8">
        <v>18.805344721560498</v>
      </c>
      <c r="AQ21" s="8">
        <v>18.805344721560498</v>
      </c>
      <c r="AR21" s="8">
        <v>18.805344721560498</v>
      </c>
      <c r="AS21" s="8">
        <v>18.805344721560498</v>
      </c>
      <c r="AT21" s="8">
        <v>18.805344721560498</v>
      </c>
      <c r="AU21" s="8">
        <v>18.805344721560498</v>
      </c>
      <c r="AV21" s="8">
        <v>18.805344721560498</v>
      </c>
      <c r="AW21" s="8">
        <v>18.805344721560498</v>
      </c>
      <c r="AX21" s="8">
        <v>18.805344721560498</v>
      </c>
      <c r="AY21" s="8">
        <v>18.805344721560498</v>
      </c>
      <c r="AZ21" s="8">
        <v>18.805344721560498</v>
      </c>
      <c r="BA21" s="8">
        <v>18.805344721560498</v>
      </c>
      <c r="BB21" s="8">
        <v>18.805344721560498</v>
      </c>
      <c r="BC21" s="8">
        <v>18.805344721560498</v>
      </c>
      <c r="BD21" s="8">
        <v>18.805344721560498</v>
      </c>
      <c r="BE21" s="8">
        <v>18.805344721560498</v>
      </c>
      <c r="BF21" s="8">
        <v>18.805344721560498</v>
      </c>
      <c r="BG21" s="8">
        <v>18.805344721560498</v>
      </c>
      <c r="BH21" s="8">
        <v>0</v>
      </c>
    </row>
    <row r="22" spans="1:60" ht="15" hidden="1" customHeight="1" outlineLevel="1" x14ac:dyDescent="0.25">
      <c r="A22" s="135">
        <f>C22*1000000/$C$16</f>
        <v>442.67834975761463</v>
      </c>
      <c r="B22" s="139" t="s">
        <v>38</v>
      </c>
      <c r="C22" s="132">
        <f>SUMIF($D$15:$BG$15,1,D22:BG22)</f>
        <v>528.40136631778535</v>
      </c>
      <c r="D22" s="138">
        <f t="shared" ref="D22:AJ22" si="1">NPV($C$8,D21:D21)</f>
        <v>4.5698649658296544</v>
      </c>
      <c r="E22" s="8">
        <f t="shared" si="1"/>
        <v>4.5698649658296544</v>
      </c>
      <c r="F22" s="8">
        <f t="shared" si="1"/>
        <v>4.5698649658296544</v>
      </c>
      <c r="G22" s="8">
        <f t="shared" si="1"/>
        <v>17.156392380676536</v>
      </c>
      <c r="H22" s="8">
        <f t="shared" si="1"/>
        <v>17.156392380676536</v>
      </c>
      <c r="I22" s="8">
        <f t="shared" si="1"/>
        <v>17.156392380676536</v>
      </c>
      <c r="J22" s="8">
        <f t="shared" si="1"/>
        <v>17.156392380676536</v>
      </c>
      <c r="K22" s="8">
        <f t="shared" si="1"/>
        <v>17.156392380676536</v>
      </c>
      <c r="L22" s="8">
        <f t="shared" si="1"/>
        <v>17.156392380676536</v>
      </c>
      <c r="M22" s="8">
        <f t="shared" si="1"/>
        <v>17.156392380676536</v>
      </c>
      <c r="N22" s="8">
        <f t="shared" si="1"/>
        <v>17.156392380676536</v>
      </c>
      <c r="O22" s="8">
        <f t="shared" si="1"/>
        <v>17.156392380676536</v>
      </c>
      <c r="P22" s="8">
        <f t="shared" si="1"/>
        <v>17.156392380676536</v>
      </c>
      <c r="Q22" s="8">
        <f t="shared" si="1"/>
        <v>17.156392380676536</v>
      </c>
      <c r="R22" s="8">
        <f t="shared" si="1"/>
        <v>17.156392380676536</v>
      </c>
      <c r="S22" s="8">
        <f t="shared" si="1"/>
        <v>17.156392380676536</v>
      </c>
      <c r="T22" s="8">
        <f t="shared" si="1"/>
        <v>17.156392380676536</v>
      </c>
      <c r="U22" s="8">
        <f t="shared" si="1"/>
        <v>17.156392380676536</v>
      </c>
      <c r="V22" s="8">
        <f t="shared" si="1"/>
        <v>17.156392380676536</v>
      </c>
      <c r="W22" s="8">
        <f t="shared" si="1"/>
        <v>17.156392380676536</v>
      </c>
      <c r="X22" s="8">
        <f t="shared" si="1"/>
        <v>17.156392380676536</v>
      </c>
      <c r="Y22" s="8">
        <f t="shared" si="1"/>
        <v>17.156392380676536</v>
      </c>
      <c r="Z22" s="8">
        <f t="shared" si="1"/>
        <v>17.156392380676536</v>
      </c>
      <c r="AA22" s="8">
        <f t="shared" si="1"/>
        <v>17.156392380676536</v>
      </c>
      <c r="AB22" s="8">
        <f t="shared" si="1"/>
        <v>17.156392380676536</v>
      </c>
      <c r="AC22" s="8">
        <f t="shared" si="1"/>
        <v>17.156392380676536</v>
      </c>
      <c r="AD22" s="8">
        <f t="shared" si="1"/>
        <v>17.156392380676536</v>
      </c>
      <c r="AE22" s="8">
        <f t="shared" si="1"/>
        <v>17.156392380676536</v>
      </c>
      <c r="AF22" s="8">
        <f t="shared" si="1"/>
        <v>17.156392380676536</v>
      </c>
      <c r="AG22" s="8">
        <f t="shared" si="1"/>
        <v>17.156392380676536</v>
      </c>
      <c r="AH22" s="8">
        <f t="shared" si="1"/>
        <v>17.156392380676536</v>
      </c>
      <c r="AI22" s="8">
        <f t="shared" si="1"/>
        <v>17.156392380676536</v>
      </c>
      <c r="AJ22" s="8">
        <f t="shared" si="1"/>
        <v>17.156392380676536</v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</row>
    <row r="23" spans="1:60" ht="15" hidden="1" customHeight="1" outlineLevel="1" x14ac:dyDescent="0.25">
      <c r="A23" s="135"/>
      <c r="C23" s="192">
        <f>C21*1000000/C16</f>
        <v>516.73456833404168</v>
      </c>
      <c r="D23" s="13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4" spans="1:60" ht="15" hidden="1" customHeight="1" outlineLevel="1" x14ac:dyDescent="0.25">
      <c r="A24" s="135">
        <f>C24*1000000/$C$16</f>
        <v>0</v>
      </c>
      <c r="B24" s="136" t="s">
        <v>39</v>
      </c>
      <c r="C24" s="137">
        <f>SUMIF($D$15:$BG$15,1,D24:BG24)</f>
        <v>0</v>
      </c>
      <c r="D24" s="13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</row>
    <row r="25" spans="1:60" ht="15" hidden="1" customHeight="1" outlineLevel="1" x14ac:dyDescent="0.25">
      <c r="A25" s="135">
        <f>C25*1000000/$C$16</f>
        <v>0</v>
      </c>
      <c r="B25" s="139" t="s">
        <v>40</v>
      </c>
      <c r="C25" s="132">
        <f>SUMIF($D$15:$BG$15,1,D25:BG25)</f>
        <v>0</v>
      </c>
      <c r="D25" s="138">
        <f t="shared" ref="D25:AJ25" si="2">NPV($C$8,D24:D24)</f>
        <v>0</v>
      </c>
      <c r="E25" s="8">
        <f t="shared" si="2"/>
        <v>0</v>
      </c>
      <c r="F25" s="8">
        <f t="shared" si="2"/>
        <v>0</v>
      </c>
      <c r="G25" s="8">
        <f t="shared" si="2"/>
        <v>0</v>
      </c>
      <c r="H25" s="8">
        <f t="shared" si="2"/>
        <v>0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8">
        <f t="shared" si="2"/>
        <v>0</v>
      </c>
      <c r="M25" s="8">
        <f t="shared" si="2"/>
        <v>0</v>
      </c>
      <c r="N25" s="8">
        <f t="shared" si="2"/>
        <v>0</v>
      </c>
      <c r="O25" s="8">
        <f t="shared" si="2"/>
        <v>0</v>
      </c>
      <c r="P25" s="8">
        <f t="shared" si="2"/>
        <v>0</v>
      </c>
      <c r="Q25" s="8">
        <f t="shared" si="2"/>
        <v>0</v>
      </c>
      <c r="R25" s="8">
        <f t="shared" si="2"/>
        <v>0</v>
      </c>
      <c r="S25" s="8">
        <f t="shared" si="2"/>
        <v>0</v>
      </c>
      <c r="T25" s="8">
        <f t="shared" si="2"/>
        <v>0</v>
      </c>
      <c r="U25" s="8">
        <f t="shared" si="2"/>
        <v>0</v>
      </c>
      <c r="V25" s="8">
        <f t="shared" si="2"/>
        <v>0</v>
      </c>
      <c r="W25" s="8">
        <f t="shared" si="2"/>
        <v>0</v>
      </c>
      <c r="X25" s="8">
        <f t="shared" si="2"/>
        <v>0</v>
      </c>
      <c r="Y25" s="8">
        <f t="shared" si="2"/>
        <v>0</v>
      </c>
      <c r="Z25" s="8">
        <f t="shared" si="2"/>
        <v>0</v>
      </c>
      <c r="AA25" s="8">
        <f t="shared" si="2"/>
        <v>0</v>
      </c>
      <c r="AB25" s="8">
        <f t="shared" si="2"/>
        <v>0</v>
      </c>
      <c r="AC25" s="8">
        <f t="shared" si="2"/>
        <v>0</v>
      </c>
      <c r="AD25" s="8">
        <f t="shared" si="2"/>
        <v>0</v>
      </c>
      <c r="AE25" s="8">
        <f t="shared" si="2"/>
        <v>0</v>
      </c>
      <c r="AF25" s="8">
        <f t="shared" si="2"/>
        <v>0</v>
      </c>
      <c r="AG25" s="8">
        <f t="shared" si="2"/>
        <v>0</v>
      </c>
      <c r="AH25" s="8">
        <f t="shared" si="2"/>
        <v>0</v>
      </c>
      <c r="AI25" s="8">
        <f t="shared" si="2"/>
        <v>0</v>
      </c>
      <c r="AJ25" s="8">
        <f t="shared" si="2"/>
        <v>0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1:60" ht="15" hidden="1" customHeight="1" outlineLevel="1" x14ac:dyDescent="0.25">
      <c r="A26" s="135"/>
      <c r="C26" s="132"/>
      <c r="D26" s="13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</row>
    <row r="27" spans="1:60" ht="15" hidden="1" customHeight="1" outlineLevel="1" x14ac:dyDescent="0.25">
      <c r="A27" s="135">
        <f>C27*1000000/$C$16</f>
        <v>203.69479434567916</v>
      </c>
      <c r="B27" s="136" t="s">
        <v>432</v>
      </c>
      <c r="C27" s="137">
        <f>SUMIF($D$15:$BG$15,1,D27:BG27)</f>
        <v>243.13953393702363</v>
      </c>
      <c r="D27" s="138">
        <v>6.4607751914727043</v>
      </c>
      <c r="E27" s="8">
        <v>6.4911408348726258</v>
      </c>
      <c r="F27" s="8">
        <v>6.5216491967965275</v>
      </c>
      <c r="G27" s="8">
        <v>6.55230094802147</v>
      </c>
      <c r="H27" s="8">
        <v>6.5830967624771688</v>
      </c>
      <c r="I27" s="8">
        <v>6.614037317260812</v>
      </c>
      <c r="J27" s="8">
        <v>6.6451232926519381</v>
      </c>
      <c r="K27" s="8">
        <v>6.6763553721274018</v>
      </c>
      <c r="L27" s="8">
        <v>6.7077342423763993</v>
      </c>
      <c r="M27" s="8">
        <v>6.7392605933155663</v>
      </c>
      <c r="N27" s="8">
        <v>6.7709351181041484</v>
      </c>
      <c r="O27" s="8">
        <v>6.8027585131592385</v>
      </c>
      <c r="P27" s="8">
        <v>6.8347314781710846</v>
      </c>
      <c r="Q27" s="8">
        <v>6.8668547161184907</v>
      </c>
      <c r="R27" s="8">
        <v>6.8991289332842474</v>
      </c>
      <c r="S27" s="8">
        <v>6.8347314781710846</v>
      </c>
      <c r="T27" s="8">
        <v>6.8668547161184907</v>
      </c>
      <c r="U27" s="8">
        <v>6.8991289332842474</v>
      </c>
      <c r="V27" s="8">
        <v>6.9315548392706825</v>
      </c>
      <c r="W27" s="8">
        <v>6.9641331470152537</v>
      </c>
      <c r="X27" s="8">
        <v>6.9968645728062242</v>
      </c>
      <c r="Y27" s="8">
        <v>7.0297498362984143</v>
      </c>
      <c r="Z27" s="8">
        <v>7.062789660529015</v>
      </c>
      <c r="AA27" s="8">
        <v>7.0959847719334999</v>
      </c>
      <c r="AB27" s="8">
        <v>7.1293359003615873</v>
      </c>
      <c r="AC27" s="8">
        <v>7.1628437790932873</v>
      </c>
      <c r="AD27" s="8">
        <v>7.1965091448550265</v>
      </c>
      <c r="AE27" s="8">
        <v>7.2303327378358428</v>
      </c>
      <c r="AF27" s="8">
        <v>7.2643153017036699</v>
      </c>
      <c r="AG27" s="8">
        <v>7.2984575836216772</v>
      </c>
      <c r="AH27" s="8">
        <v>7.3327603342646981</v>
      </c>
      <c r="AI27" s="8">
        <v>7.3672243078357429</v>
      </c>
      <c r="AJ27" s="8">
        <v>7.4018502620825686</v>
      </c>
      <c r="AK27" s="8">
        <v>7.4366389583143571</v>
      </c>
      <c r="AL27" s="8">
        <v>7.4715911614184352</v>
      </c>
      <c r="AM27" s="8">
        <v>7.5067076398770993</v>
      </c>
      <c r="AN27" s="8">
        <v>7.5419891657845222</v>
      </c>
      <c r="AO27" s="8">
        <v>7.5774365148637077</v>
      </c>
      <c r="AP27" s="8">
        <v>7.6130504664835703</v>
      </c>
      <c r="AQ27" s="8">
        <v>7.6488318036760425</v>
      </c>
      <c r="AR27" s="8">
        <v>7.6847813131533185</v>
      </c>
      <c r="AS27" s="8">
        <v>7.7208997853251375</v>
      </c>
      <c r="AT27" s="8">
        <v>7.7571880143161662</v>
      </c>
      <c r="AU27" s="8">
        <v>7.7936467979834507</v>
      </c>
      <c r="AV27" s="8">
        <v>7.8302769379339701</v>
      </c>
      <c r="AW27" s="8">
        <v>7.8670792395422602</v>
      </c>
      <c r="AX27" s="8">
        <v>7.9040545119681092</v>
      </c>
      <c r="AY27" s="8">
        <v>7.9412035681743589</v>
      </c>
      <c r="AZ27" s="8">
        <v>7.978527224944779</v>
      </c>
      <c r="BA27" s="8">
        <v>8.0160263029020182</v>
      </c>
      <c r="BB27" s="8">
        <v>8.0537016265256565</v>
      </c>
      <c r="BC27" s="8">
        <v>8.0915540241703265</v>
      </c>
      <c r="BD27" s="8">
        <v>8.1295843280839293</v>
      </c>
      <c r="BE27" s="8">
        <v>8.1677933744259228</v>
      </c>
      <c r="BF27" s="8">
        <v>8.2061820032857256</v>
      </c>
      <c r="BG27" s="8">
        <v>8.2447510587011656</v>
      </c>
      <c r="BH27" s="8">
        <v>0</v>
      </c>
    </row>
    <row r="28" spans="1:60" ht="15" hidden="1" customHeight="1" outlineLevel="1" x14ac:dyDescent="0.25">
      <c r="A28" s="135">
        <f>C28*1000000/$C$16</f>
        <v>174.43925896191777</v>
      </c>
      <c r="B28" s="139" t="s">
        <v>41</v>
      </c>
      <c r="C28" s="132">
        <f>SUMIF($D$15:$BG$15,1,D28:BG28)</f>
        <v>208.21877289776768</v>
      </c>
      <c r="D28" s="138">
        <f t="shared" ref="D28:AJ28" si="3">NPV($C$8,D27:D27)</f>
        <v>5.8942601643012216</v>
      </c>
      <c r="E28" s="8">
        <f t="shared" si="3"/>
        <v>5.9219631870734375</v>
      </c>
      <c r="F28" s="8">
        <f t="shared" si="3"/>
        <v>5.9497964140526829</v>
      </c>
      <c r="G28" s="8">
        <f t="shared" si="3"/>
        <v>5.9777604571987295</v>
      </c>
      <c r="H28" s="8">
        <f t="shared" si="3"/>
        <v>6.0058559313475612</v>
      </c>
      <c r="I28" s="8">
        <f t="shared" si="3"/>
        <v>6.0340834542248949</v>
      </c>
      <c r="J28" s="8">
        <f t="shared" si="3"/>
        <v>6.0624436464597524</v>
      </c>
      <c r="K28" s="8">
        <f t="shared" si="3"/>
        <v>6.0909371315981131</v>
      </c>
      <c r="L28" s="8">
        <f t="shared" si="3"/>
        <v>6.1195645361166227</v>
      </c>
      <c r="M28" s="8">
        <f t="shared" si="3"/>
        <v>6.1483264894363696</v>
      </c>
      <c r="N28" s="8">
        <f t="shared" si="3"/>
        <v>6.1772236239367189</v>
      </c>
      <c r="O28" s="8">
        <f t="shared" si="3"/>
        <v>6.2062565749692222</v>
      </c>
      <c r="P28" s="8">
        <f t="shared" si="3"/>
        <v>6.2354259808715753</v>
      </c>
      <c r="Q28" s="8">
        <f t="shared" si="3"/>
        <v>6.2647324829816737</v>
      </c>
      <c r="R28" s="8">
        <f t="shared" si="3"/>
        <v>6.2941767256516874</v>
      </c>
      <c r="S28" s="8">
        <f t="shared" si="3"/>
        <v>6.2354259808715753</v>
      </c>
      <c r="T28" s="8">
        <f t="shared" si="3"/>
        <v>6.2647324829816737</v>
      </c>
      <c r="U28" s="8">
        <f t="shared" si="3"/>
        <v>6.2941767256516874</v>
      </c>
      <c r="V28" s="8">
        <f t="shared" si="3"/>
        <v>6.3237593562622498</v>
      </c>
      <c r="W28" s="8">
        <f t="shared" si="3"/>
        <v>6.3534810252366816</v>
      </c>
      <c r="X28" s="8">
        <f t="shared" si="3"/>
        <v>6.3833423860552925</v>
      </c>
      <c r="Y28" s="8">
        <f t="shared" si="3"/>
        <v>6.4133440952697534</v>
      </c>
      <c r="Z28" s="8">
        <f t="shared" si="3"/>
        <v>6.4434868125175191</v>
      </c>
      <c r="AA28" s="8">
        <f t="shared" si="3"/>
        <v>6.4737712005363504</v>
      </c>
      <c r="AB28" s="8">
        <f t="shared" si="3"/>
        <v>6.5041979251788709</v>
      </c>
      <c r="AC28" s="8">
        <f t="shared" si="3"/>
        <v>6.5347676554272125</v>
      </c>
      <c r="AD28" s="8">
        <f t="shared" si="3"/>
        <v>6.565481063407721</v>
      </c>
      <c r="AE28" s="8">
        <f t="shared" si="3"/>
        <v>6.596338824405735</v>
      </c>
      <c r="AF28" s="8">
        <f t="shared" si="3"/>
        <v>6.6273416168804404</v>
      </c>
      <c r="AG28" s="8">
        <f t="shared" si="3"/>
        <v>6.6584901224797788</v>
      </c>
      <c r="AH28" s="8">
        <f t="shared" si="3"/>
        <v>6.689785026055433</v>
      </c>
      <c r="AI28" s="8">
        <f t="shared" si="3"/>
        <v>6.7212270156778944</v>
      </c>
      <c r="AJ28" s="8">
        <f t="shared" si="3"/>
        <v>6.7528167826515784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</row>
    <row r="29" spans="1:60" ht="15" hidden="1" customHeight="1" outlineLevel="1" x14ac:dyDescent="0.25">
      <c r="A29" s="135"/>
      <c r="B29" s="1"/>
      <c r="C29" s="132"/>
      <c r="D29" s="13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1:60" ht="15" hidden="1" customHeight="1" outlineLevel="1" x14ac:dyDescent="0.25">
      <c r="A30" s="135">
        <f>C30*1000000/$C$16</f>
        <v>64.200735739506541</v>
      </c>
      <c r="B30" s="136" t="s">
        <v>433</v>
      </c>
      <c r="C30" s="137">
        <f>SUMIF($D$15:$BG$15,1,D30:BG30)</f>
        <v>76.632969518245105</v>
      </c>
      <c r="D30" s="138">
        <v>2.0363138001268095</v>
      </c>
      <c r="E30" s="8">
        <v>2.0458844749874054</v>
      </c>
      <c r="F30" s="8">
        <v>2.055500132019846</v>
      </c>
      <c r="G30" s="8">
        <v>2.065160982640339</v>
      </c>
      <c r="H30" s="8">
        <v>2.0748672392587486</v>
      </c>
      <c r="I30" s="8">
        <v>2.0846191152832647</v>
      </c>
      <c r="J30" s="8">
        <v>2.0944168251250961</v>
      </c>
      <c r="K30" s="8">
        <v>2.1042605842031841</v>
      </c>
      <c r="L30" s="8">
        <v>2.1141506089489388</v>
      </c>
      <c r="M30" s="8">
        <v>2.1240871168109985</v>
      </c>
      <c r="N30" s="8">
        <v>2.13407032626001</v>
      </c>
      <c r="O30" s="8">
        <v>2.1441004567934319</v>
      </c>
      <c r="P30" s="8">
        <v>2.1541777289403607</v>
      </c>
      <c r="Q30" s="8">
        <v>2.1643023642663803</v>
      </c>
      <c r="R30" s="8">
        <v>2.174474585378432</v>
      </c>
      <c r="S30" s="8">
        <v>2.1541777289403607</v>
      </c>
      <c r="T30" s="8">
        <v>2.1643023642663803</v>
      </c>
      <c r="U30" s="8">
        <v>2.174474585378432</v>
      </c>
      <c r="V30" s="8">
        <v>2.1846946159297103</v>
      </c>
      <c r="W30" s="8">
        <v>2.1949626806245797</v>
      </c>
      <c r="X30" s="8">
        <v>2.2052790052235149</v>
      </c>
      <c r="Y30" s="8">
        <v>2.2156438165480652</v>
      </c>
      <c r="Z30" s="8">
        <v>2.226057342485841</v>
      </c>
      <c r="AA30" s="8">
        <v>2.2365198119955241</v>
      </c>
      <c r="AB30" s="8">
        <v>2.2470314551119031</v>
      </c>
      <c r="AC30" s="8">
        <v>2.2575925029509287</v>
      </c>
      <c r="AD30" s="8">
        <v>2.2682031877147981</v>
      </c>
      <c r="AE30" s="8">
        <v>2.2788637426970575</v>
      </c>
      <c r="AF30" s="8">
        <v>2.2895744022877333</v>
      </c>
      <c r="AG30" s="8">
        <v>2.3003354019784856</v>
      </c>
      <c r="AH30" s="8">
        <v>2.3111469783677845</v>
      </c>
      <c r="AI30" s="8">
        <v>2.3220093691661128</v>
      </c>
      <c r="AJ30" s="8">
        <v>2.3329228132011934</v>
      </c>
      <c r="AK30" s="8">
        <v>2.343887550423239</v>
      </c>
      <c r="AL30" s="8">
        <v>2.3549038219102281</v>
      </c>
      <c r="AM30" s="8">
        <v>2.365971869873206</v>
      </c>
      <c r="AN30" s="8">
        <v>2.3770919376616098</v>
      </c>
      <c r="AO30" s="8">
        <v>2.3882642697686189</v>
      </c>
      <c r="AP30" s="8">
        <v>2.3994891118365311</v>
      </c>
      <c r="AQ30" s="8">
        <v>2.4107667106621626</v>
      </c>
      <c r="AR30" s="8">
        <v>2.4220973142022748</v>
      </c>
      <c r="AS30" s="8">
        <v>2.4334811715790252</v>
      </c>
      <c r="AT30" s="8">
        <v>2.4449185330854464</v>
      </c>
      <c r="AU30" s="8">
        <v>2.4564096501909476</v>
      </c>
      <c r="AV30" s="8">
        <v>2.4679547755468447</v>
      </c>
      <c r="AW30" s="8">
        <v>2.4795541629919149</v>
      </c>
      <c r="AX30" s="8">
        <v>2.4912080675579769</v>
      </c>
      <c r="AY30" s="8">
        <v>2.502916745475499</v>
      </c>
      <c r="AZ30" s="8">
        <v>2.5146804541792336</v>
      </c>
      <c r="BA30" s="8">
        <v>2.526499452313876</v>
      </c>
      <c r="BB30" s="8">
        <v>2.538373999739751</v>
      </c>
      <c r="BC30" s="8">
        <v>2.5503043575385278</v>
      </c>
      <c r="BD30" s="8">
        <v>2.5622907880189585</v>
      </c>
      <c r="BE30" s="8">
        <v>2.5743335547226476</v>
      </c>
      <c r="BF30" s="8">
        <v>2.5864329224298439</v>
      </c>
      <c r="BG30" s="8">
        <v>2.598589157165264</v>
      </c>
      <c r="BH30" s="8">
        <v>0</v>
      </c>
    </row>
    <row r="31" spans="1:60" ht="15" hidden="1" customHeight="1" outlineLevel="1" x14ac:dyDescent="0.25">
      <c r="A31" s="135">
        <f>C31*1000000/$C$16</f>
        <v>54.979945870408514</v>
      </c>
      <c r="B31" s="139" t="s">
        <v>42</v>
      </c>
      <c r="C31" s="132">
        <f>SUMIF($D$15:$BG$15,1,D31:BG31)</f>
        <v>65.62660797373232</v>
      </c>
      <c r="D31" s="138">
        <f t="shared" ref="D31:AJ31" si="4">NPV($C$8,D30:D30)</f>
        <v>1.857759008539092</v>
      </c>
      <c r="E31" s="8">
        <f t="shared" si="4"/>
        <v>1.8664904758792256</v>
      </c>
      <c r="F31" s="8">
        <f t="shared" si="4"/>
        <v>1.8752629811158579</v>
      </c>
      <c r="G31" s="8">
        <f t="shared" si="4"/>
        <v>1.884076717127102</v>
      </c>
      <c r="H31" s="8">
        <f t="shared" si="4"/>
        <v>1.8929318776975994</v>
      </c>
      <c r="I31" s="8">
        <f t="shared" si="4"/>
        <v>1.9018286575227781</v>
      </c>
      <c r="J31" s="8">
        <f t="shared" si="4"/>
        <v>1.9107672522131351</v>
      </c>
      <c r="K31" s="8">
        <f t="shared" si="4"/>
        <v>1.919747858298537</v>
      </c>
      <c r="L31" s="8">
        <f t="shared" si="4"/>
        <v>1.9287706732325398</v>
      </c>
      <c r="M31" s="8">
        <f t="shared" si="4"/>
        <v>1.9378358953967325</v>
      </c>
      <c r="N31" s="8">
        <f t="shared" si="4"/>
        <v>1.9469437241050971</v>
      </c>
      <c r="O31" s="8">
        <f t="shared" si="4"/>
        <v>1.9560943596083908</v>
      </c>
      <c r="P31" s="8">
        <f t="shared" si="4"/>
        <v>1.96528800309855</v>
      </c>
      <c r="Q31" s="8">
        <f t="shared" si="4"/>
        <v>1.9745248567131131</v>
      </c>
      <c r="R31" s="8">
        <f t="shared" si="4"/>
        <v>1.9838051235396643</v>
      </c>
      <c r="S31" s="8">
        <f t="shared" si="4"/>
        <v>1.96528800309855</v>
      </c>
      <c r="T31" s="8">
        <f t="shared" si="4"/>
        <v>1.9745248567131131</v>
      </c>
      <c r="U31" s="8">
        <f t="shared" si="4"/>
        <v>1.9838051235396643</v>
      </c>
      <c r="V31" s="8">
        <f t="shared" si="4"/>
        <v>1.9931290076203005</v>
      </c>
      <c r="W31" s="8">
        <f t="shared" si="4"/>
        <v>2.0024967139561158</v>
      </c>
      <c r="X31" s="8">
        <f t="shared" si="4"/>
        <v>2.0119084485117091</v>
      </c>
      <c r="Y31" s="8">
        <f t="shared" si="4"/>
        <v>2.0213644182197141</v>
      </c>
      <c r="Z31" s="8">
        <f t="shared" si="4"/>
        <v>2.0308648309853465</v>
      </c>
      <c r="AA31" s="8">
        <f t="shared" si="4"/>
        <v>2.0404098956909773</v>
      </c>
      <c r="AB31" s="8">
        <f t="shared" si="4"/>
        <v>2.049999822200725</v>
      </c>
      <c r="AC31" s="8">
        <f t="shared" si="4"/>
        <v>2.0596348213650684</v>
      </c>
      <c r="AD31" s="8">
        <f t="shared" si="4"/>
        <v>2.0693151050254839</v>
      </c>
      <c r="AE31" s="8">
        <f t="shared" si="4"/>
        <v>2.0790408860191034</v>
      </c>
      <c r="AF31" s="8">
        <f t="shared" si="4"/>
        <v>2.0888123781833929</v>
      </c>
      <c r="AG31" s="8">
        <f t="shared" si="4"/>
        <v>2.0986297963608549</v>
      </c>
      <c r="AH31" s="8">
        <f t="shared" si="4"/>
        <v>2.1084933564037511</v>
      </c>
      <c r="AI31" s="8">
        <f t="shared" si="4"/>
        <v>2.1184032751788484</v>
      </c>
      <c r="AJ31" s="8">
        <f t="shared" si="4"/>
        <v>2.1283597705721888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</row>
    <row r="32" spans="1:60" ht="15" hidden="1" customHeight="1" outlineLevel="1" x14ac:dyDescent="0.25">
      <c r="A32" s="135"/>
      <c r="B32" s="1"/>
      <c r="C32" s="132"/>
      <c r="D32" s="13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</row>
    <row r="33" spans="1:60" ht="15" hidden="1" customHeight="1" outlineLevel="1" x14ac:dyDescent="0.25">
      <c r="A33" s="135">
        <f>C33*1000000/$C$16</f>
        <v>-335.01325465928954</v>
      </c>
      <c r="B33" s="136" t="s">
        <v>43</v>
      </c>
      <c r="C33" s="137">
        <f>SUMIF($D$15:$BG$15,1,D33:BG33)</f>
        <v>-399.88732585061723</v>
      </c>
      <c r="D33" s="138">
        <v>-27.191994100292977</v>
      </c>
      <c r="E33" s="8">
        <v>-27.67929156784712</v>
      </c>
      <c r="F33" s="8">
        <v>-37.406248917534207</v>
      </c>
      <c r="G33" s="8">
        <v>-10.187882790898689</v>
      </c>
      <c r="H33" s="8">
        <v>-10.14738071982458</v>
      </c>
      <c r="I33" s="8">
        <v>-10.106688289016422</v>
      </c>
      <c r="J33" s="8">
        <v>-10.065804603783464</v>
      </c>
      <c r="K33" s="8">
        <v>-10.024728765229913</v>
      </c>
      <c r="L33" s="8">
        <v>-9.9834598702351602</v>
      </c>
      <c r="M33" s="8">
        <v>-9.9419970114339336</v>
      </c>
      <c r="N33" s="8">
        <v>-9.9003392771963394</v>
      </c>
      <c r="O33" s="8">
        <v>-9.8584857516078284</v>
      </c>
      <c r="P33" s="8">
        <v>-9.8164355144490525</v>
      </c>
      <c r="Q33" s="8">
        <v>-9.7741876411756277</v>
      </c>
      <c r="R33" s="8">
        <v>-9.731741202897819</v>
      </c>
      <c r="S33" s="8">
        <v>-9.8164355144490525</v>
      </c>
      <c r="T33" s="8">
        <v>-9.7741876411756277</v>
      </c>
      <c r="U33" s="8">
        <v>-9.731741202897819</v>
      </c>
      <c r="V33" s="8">
        <v>-9.6890952663601055</v>
      </c>
      <c r="W33" s="8">
        <v>-9.6462488939206654</v>
      </c>
      <c r="X33" s="8">
        <v>-9.6032011435307592</v>
      </c>
      <c r="Y33" s="8">
        <v>-9.5599510687140192</v>
      </c>
      <c r="Z33" s="8">
        <v>-9.5164977185456419</v>
      </c>
      <c r="AA33" s="8">
        <v>-9.4728401376314739</v>
      </c>
      <c r="AB33" s="8">
        <v>-9.4289773660870075</v>
      </c>
      <c r="AC33" s="8">
        <v>-9.3849084395162823</v>
      </c>
      <c r="AD33" s="8">
        <v>-9.3406323889906737</v>
      </c>
      <c r="AE33" s="8">
        <v>-9.2961482410275984</v>
      </c>
      <c r="AF33" s="8">
        <v>-9.2514550175690946</v>
      </c>
      <c r="AG33" s="8">
        <v>-9.2065517359603355</v>
      </c>
      <c r="AH33" s="8">
        <v>-9.1614374089280162</v>
      </c>
      <c r="AI33" s="8">
        <v>-9.1161110445586431</v>
      </c>
      <c r="AJ33" s="8">
        <v>-9.0705716462767363</v>
      </c>
      <c r="AK33" s="8">
        <v>-9.0248182128229022</v>
      </c>
      <c r="AL33" s="8">
        <v>-8.9788497382318351</v>
      </c>
      <c r="AM33" s="8">
        <v>-8.9326652118101926</v>
      </c>
      <c r="AN33" s="8">
        <v>-8.8862636181143664</v>
      </c>
      <c r="AO33" s="8">
        <v>-8.8396439369281712</v>
      </c>
      <c r="AP33" s="8">
        <v>-8.7928051432403969</v>
      </c>
      <c r="AQ33" s="8">
        <v>-8.7457462072222931</v>
      </c>
      <c r="AR33" s="8">
        <v>-8.698466094204905</v>
      </c>
      <c r="AS33" s="8">
        <v>-8.6509637646563355</v>
      </c>
      <c r="AT33" s="8">
        <v>-8.6032381741588857</v>
      </c>
      <c r="AU33" s="8">
        <v>-8.5552882733861004</v>
      </c>
      <c r="AV33" s="8">
        <v>-8.5071130080796831</v>
      </c>
      <c r="AW33" s="8">
        <v>-8.4587113190263228</v>
      </c>
      <c r="AX33" s="8">
        <v>-8.4100821420344118</v>
      </c>
      <c r="AY33" s="8">
        <v>-8.3612244079106404</v>
      </c>
      <c r="AZ33" s="8">
        <v>-8.3121370424364862</v>
      </c>
      <c r="BA33" s="8">
        <v>-8.2628189663446037</v>
      </c>
      <c r="BB33" s="8">
        <v>-8.2132690952950913</v>
      </c>
      <c r="BC33" s="8">
        <v>-8.1634863398516444</v>
      </c>
      <c r="BD33" s="8">
        <v>-8.1134696054576096</v>
      </c>
      <c r="BE33" s="8">
        <v>-8.0632177924119279</v>
      </c>
      <c r="BF33" s="8">
        <v>-8.0127297958449297</v>
      </c>
      <c r="BG33" s="8">
        <v>-7.9620045056940683</v>
      </c>
      <c r="BH33" s="8">
        <v>0</v>
      </c>
    </row>
    <row r="34" spans="1:60" ht="15" hidden="1" customHeight="1" outlineLevel="1" x14ac:dyDescent="0.25">
      <c r="A34" s="135">
        <f>C34*1000000/$C$16</f>
        <v>-291.8771491004357</v>
      </c>
      <c r="B34" s="139" t="s">
        <v>44</v>
      </c>
      <c r="C34" s="132">
        <f>SUMIF($D$15:$BG$15,1,D34:BG34)</f>
        <v>-348.39807382958026</v>
      </c>
      <c r="D34" s="138">
        <f t="shared" ref="D34:AJ34" si="5">NPV($C$8,D33:D33)</f>
        <v>-24.80765587151414</v>
      </c>
      <c r="E34" s="8">
        <f t="shared" si="5"/>
        <v>-25.252224513209061</v>
      </c>
      <c r="F34" s="8">
        <f t="shared" si="5"/>
        <v>-34.126270665099504</v>
      </c>
      <c r="G34" s="8">
        <f t="shared" si="5"/>
        <v>-9.2945552063507044</v>
      </c>
      <c r="H34" s="8">
        <f t="shared" si="5"/>
        <v>-9.2576045716313757</v>
      </c>
      <c r="I34" s="8">
        <f t="shared" si="5"/>
        <v>-9.2204802689288634</v>
      </c>
      <c r="J34" s="8">
        <f t="shared" si="5"/>
        <v>-9.1831814820036488</v>
      </c>
      <c r="K34" s="8">
        <f t="shared" si="5"/>
        <v>-9.1457073907798865</v>
      </c>
      <c r="L34" s="8">
        <f t="shared" si="5"/>
        <v>-9.1080571713273741</v>
      </c>
      <c r="M34" s="8">
        <f t="shared" si="5"/>
        <v>-9.0702299958434338</v>
      </c>
      <c r="N34" s="8">
        <f t="shared" si="5"/>
        <v>-9.0322250326347202</v>
      </c>
      <c r="O34" s="8">
        <f t="shared" si="5"/>
        <v>-8.9940414460989242</v>
      </c>
      <c r="P34" s="8">
        <f t="shared" si="5"/>
        <v>-8.9556783967064106</v>
      </c>
      <c r="Q34" s="8">
        <f t="shared" si="5"/>
        <v>-8.9171350409817496</v>
      </c>
      <c r="R34" s="8">
        <f t="shared" si="5"/>
        <v>-8.8784105314851836</v>
      </c>
      <c r="S34" s="8">
        <f t="shared" si="5"/>
        <v>-8.9556783967064106</v>
      </c>
      <c r="T34" s="8">
        <f t="shared" si="5"/>
        <v>-8.9171350409817496</v>
      </c>
      <c r="U34" s="8">
        <f t="shared" si="5"/>
        <v>-8.8784105314851836</v>
      </c>
      <c r="V34" s="8">
        <f t="shared" si="5"/>
        <v>-8.8395040167939865</v>
      </c>
      <c r="W34" s="8">
        <f t="shared" si="5"/>
        <v>-8.800414641483739</v>
      </c>
      <c r="X34" s="8">
        <f t="shared" si="5"/>
        <v>-8.7611415461095348</v>
      </c>
      <c r="Y34" s="8">
        <f t="shared" si="5"/>
        <v>-8.7216838671870693</v>
      </c>
      <c r="Z34" s="8">
        <f t="shared" si="5"/>
        <v>-8.6820407371736703</v>
      </c>
      <c r="AA34" s="8">
        <f t="shared" si="5"/>
        <v>-8.6422112844492087</v>
      </c>
      <c r="AB34" s="8">
        <f t="shared" si="5"/>
        <v>-8.6021946332969392</v>
      </c>
      <c r="AC34" s="8">
        <f t="shared" si="5"/>
        <v>-8.5619899038842551</v>
      </c>
      <c r="AD34" s="8">
        <f t="shared" si="5"/>
        <v>-8.5215962122433311</v>
      </c>
      <c r="AE34" s="8">
        <f t="shared" si="5"/>
        <v>-8.4810126702516975</v>
      </c>
      <c r="AF34" s="8">
        <f t="shared" si="5"/>
        <v>-8.4402383856127017</v>
      </c>
      <c r="AG34" s="8">
        <f t="shared" si="5"/>
        <v>-8.3992724618359027</v>
      </c>
      <c r="AH34" s="8">
        <f t="shared" si="5"/>
        <v>-8.3581139982173518</v>
      </c>
      <c r="AI34" s="8">
        <f t="shared" si="5"/>
        <v>-8.3167620898197949</v>
      </c>
      <c r="AJ34" s="8">
        <f t="shared" si="5"/>
        <v>-8.2752158274527687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</row>
    <row r="35" spans="1:60" ht="15" hidden="1" customHeight="1" outlineLevel="1" x14ac:dyDescent="0.25">
      <c r="A35" s="135"/>
      <c r="B35" s="1"/>
      <c r="C35" s="140"/>
      <c r="D35" s="13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</row>
    <row r="36" spans="1:60" ht="15" hidden="1" customHeight="1" outlineLevel="1" x14ac:dyDescent="0.25">
      <c r="A36" s="135">
        <f>C36*1000000/$C$16</f>
        <v>0</v>
      </c>
      <c r="B36" s="141" t="s">
        <v>45</v>
      </c>
      <c r="C36" s="137">
        <f>SUMIF($D$15:$BG$15,1,D36:BG36)</f>
        <v>0</v>
      </c>
      <c r="D36" s="138">
        <f>IF(D33&gt;0,D33*0.34,0)</f>
        <v>0</v>
      </c>
      <c r="E36" s="8">
        <f t="shared" ref="E36:BG36" si="6">IF(E33&gt;0,E33*0.34,0)</f>
        <v>0</v>
      </c>
      <c r="F36" s="8">
        <f t="shared" si="6"/>
        <v>0</v>
      </c>
      <c r="G36" s="8">
        <f t="shared" si="6"/>
        <v>0</v>
      </c>
      <c r="H36" s="8">
        <f t="shared" si="6"/>
        <v>0</v>
      </c>
      <c r="I36" s="8">
        <f t="shared" si="6"/>
        <v>0</v>
      </c>
      <c r="J36" s="8">
        <f t="shared" si="6"/>
        <v>0</v>
      </c>
      <c r="K36" s="8">
        <f t="shared" si="6"/>
        <v>0</v>
      </c>
      <c r="L36" s="8">
        <f t="shared" si="6"/>
        <v>0</v>
      </c>
      <c r="M36" s="8">
        <f t="shared" si="6"/>
        <v>0</v>
      </c>
      <c r="N36" s="8">
        <f t="shared" si="6"/>
        <v>0</v>
      </c>
      <c r="O36" s="8">
        <f t="shared" si="6"/>
        <v>0</v>
      </c>
      <c r="P36" s="8">
        <f>IF(P33&gt;0,P33*0.34,0)</f>
        <v>0</v>
      </c>
      <c r="Q36" s="8">
        <f>IF(Q33&gt;0,Q33*0.34,0)</f>
        <v>0</v>
      </c>
      <c r="R36" s="8">
        <f>IF(R33&gt;0,R33*0.34,0)</f>
        <v>0</v>
      </c>
      <c r="S36" s="8">
        <f t="shared" si="6"/>
        <v>0</v>
      </c>
      <c r="T36" s="8">
        <f t="shared" si="6"/>
        <v>0</v>
      </c>
      <c r="U36" s="8">
        <f t="shared" si="6"/>
        <v>0</v>
      </c>
      <c r="V36" s="8">
        <f t="shared" si="6"/>
        <v>0</v>
      </c>
      <c r="W36" s="8">
        <f t="shared" si="6"/>
        <v>0</v>
      </c>
      <c r="X36" s="8">
        <f t="shared" si="6"/>
        <v>0</v>
      </c>
      <c r="Y36" s="8">
        <f t="shared" si="6"/>
        <v>0</v>
      </c>
      <c r="Z36" s="8">
        <f t="shared" si="6"/>
        <v>0</v>
      </c>
      <c r="AA36" s="8">
        <f t="shared" si="6"/>
        <v>0</v>
      </c>
      <c r="AB36" s="8">
        <f t="shared" si="6"/>
        <v>0</v>
      </c>
      <c r="AC36" s="8">
        <f t="shared" si="6"/>
        <v>0</v>
      </c>
      <c r="AD36" s="8">
        <f t="shared" si="6"/>
        <v>0</v>
      </c>
      <c r="AE36" s="8">
        <f t="shared" si="6"/>
        <v>0</v>
      </c>
      <c r="AF36" s="8">
        <f t="shared" si="6"/>
        <v>0</v>
      </c>
      <c r="AG36" s="8">
        <f t="shared" si="6"/>
        <v>0</v>
      </c>
      <c r="AH36" s="8">
        <f t="shared" si="6"/>
        <v>0</v>
      </c>
      <c r="AI36" s="8">
        <f t="shared" si="6"/>
        <v>0</v>
      </c>
      <c r="AJ36" s="8">
        <f t="shared" si="6"/>
        <v>0</v>
      </c>
      <c r="AK36" s="8">
        <f t="shared" si="6"/>
        <v>0</v>
      </c>
      <c r="AL36" s="8">
        <f t="shared" si="6"/>
        <v>0</v>
      </c>
      <c r="AM36" s="8">
        <f t="shared" si="6"/>
        <v>0</v>
      </c>
      <c r="AN36" s="8">
        <f t="shared" si="6"/>
        <v>0</v>
      </c>
      <c r="AO36" s="8">
        <f t="shared" si="6"/>
        <v>0</v>
      </c>
      <c r="AP36" s="8">
        <f t="shared" si="6"/>
        <v>0</v>
      </c>
      <c r="AQ36" s="8">
        <f t="shared" si="6"/>
        <v>0</v>
      </c>
      <c r="AR36" s="8">
        <f t="shared" si="6"/>
        <v>0</v>
      </c>
      <c r="AS36" s="8">
        <f t="shared" si="6"/>
        <v>0</v>
      </c>
      <c r="AT36" s="8">
        <f t="shared" si="6"/>
        <v>0</v>
      </c>
      <c r="AU36" s="8">
        <f t="shared" si="6"/>
        <v>0</v>
      </c>
      <c r="AV36" s="8">
        <f t="shared" si="6"/>
        <v>0</v>
      </c>
      <c r="AW36" s="8">
        <f t="shared" si="6"/>
        <v>0</v>
      </c>
      <c r="AX36" s="8">
        <f t="shared" si="6"/>
        <v>0</v>
      </c>
      <c r="AY36" s="8">
        <f t="shared" si="6"/>
        <v>0</v>
      </c>
      <c r="AZ36" s="8">
        <f t="shared" si="6"/>
        <v>0</v>
      </c>
      <c r="BA36" s="8">
        <f t="shared" si="6"/>
        <v>0</v>
      </c>
      <c r="BB36" s="8">
        <f t="shared" si="6"/>
        <v>0</v>
      </c>
      <c r="BC36" s="8">
        <f t="shared" si="6"/>
        <v>0</v>
      </c>
      <c r="BD36" s="8">
        <f t="shared" si="6"/>
        <v>0</v>
      </c>
      <c r="BE36" s="8">
        <f t="shared" si="6"/>
        <v>0</v>
      </c>
      <c r="BF36" s="8">
        <f t="shared" si="6"/>
        <v>0</v>
      </c>
      <c r="BG36" s="8">
        <f t="shared" si="6"/>
        <v>0</v>
      </c>
      <c r="BH36" s="8">
        <f>BH33*0.34</f>
        <v>0</v>
      </c>
    </row>
    <row r="37" spans="1:60" ht="15" hidden="1" customHeight="1" outlineLevel="1" x14ac:dyDescent="0.25">
      <c r="A37" s="135">
        <f>C37*1000000/$C$16</f>
        <v>0</v>
      </c>
      <c r="B37" s="139" t="s">
        <v>46</v>
      </c>
      <c r="C37" s="132">
        <f>SUMIF($D$15:$BG$15,1,D37:BG37)</f>
        <v>0</v>
      </c>
      <c r="D37" s="138">
        <f t="shared" ref="D37:AJ37" si="7">NPV($C$8,D36:D36)</f>
        <v>0</v>
      </c>
      <c r="E37" s="8">
        <f t="shared" si="7"/>
        <v>0</v>
      </c>
      <c r="F37" s="8">
        <f t="shared" si="7"/>
        <v>0</v>
      </c>
      <c r="G37" s="8">
        <f t="shared" si="7"/>
        <v>0</v>
      </c>
      <c r="H37" s="8">
        <f t="shared" si="7"/>
        <v>0</v>
      </c>
      <c r="I37" s="8">
        <f t="shared" si="7"/>
        <v>0</v>
      </c>
      <c r="J37" s="8">
        <f t="shared" si="7"/>
        <v>0</v>
      </c>
      <c r="K37" s="8">
        <f t="shared" si="7"/>
        <v>0</v>
      </c>
      <c r="L37" s="8">
        <f t="shared" si="7"/>
        <v>0</v>
      </c>
      <c r="M37" s="8">
        <f t="shared" si="7"/>
        <v>0</v>
      </c>
      <c r="N37" s="8">
        <f t="shared" si="7"/>
        <v>0</v>
      </c>
      <c r="O37" s="8">
        <f t="shared" si="7"/>
        <v>0</v>
      </c>
      <c r="P37" s="8">
        <f t="shared" si="7"/>
        <v>0</v>
      </c>
      <c r="Q37" s="8">
        <f t="shared" si="7"/>
        <v>0</v>
      </c>
      <c r="R37" s="8">
        <f t="shared" si="7"/>
        <v>0</v>
      </c>
      <c r="S37" s="8">
        <f t="shared" si="7"/>
        <v>0</v>
      </c>
      <c r="T37" s="8">
        <f t="shared" si="7"/>
        <v>0</v>
      </c>
      <c r="U37" s="8">
        <f t="shared" si="7"/>
        <v>0</v>
      </c>
      <c r="V37" s="8">
        <f t="shared" si="7"/>
        <v>0</v>
      </c>
      <c r="W37" s="8">
        <f t="shared" si="7"/>
        <v>0</v>
      </c>
      <c r="X37" s="8">
        <f t="shared" si="7"/>
        <v>0</v>
      </c>
      <c r="Y37" s="8">
        <f t="shared" si="7"/>
        <v>0</v>
      </c>
      <c r="Z37" s="8">
        <f t="shared" si="7"/>
        <v>0</v>
      </c>
      <c r="AA37" s="8">
        <f t="shared" si="7"/>
        <v>0</v>
      </c>
      <c r="AB37" s="8">
        <f t="shared" si="7"/>
        <v>0</v>
      </c>
      <c r="AC37" s="8">
        <f t="shared" si="7"/>
        <v>0</v>
      </c>
      <c r="AD37" s="8">
        <f t="shared" si="7"/>
        <v>0</v>
      </c>
      <c r="AE37" s="8">
        <f t="shared" si="7"/>
        <v>0</v>
      </c>
      <c r="AF37" s="8">
        <f t="shared" si="7"/>
        <v>0</v>
      </c>
      <c r="AG37" s="8">
        <f t="shared" si="7"/>
        <v>0</v>
      </c>
      <c r="AH37" s="8">
        <f t="shared" si="7"/>
        <v>0</v>
      </c>
      <c r="AI37" s="8">
        <f t="shared" si="7"/>
        <v>0</v>
      </c>
      <c r="AJ37" s="8">
        <f t="shared" si="7"/>
        <v>0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</row>
    <row r="38" spans="1:60" ht="15" hidden="1" customHeight="1" outlineLevel="1" x14ac:dyDescent="0.25">
      <c r="A38" s="135"/>
      <c r="B38" s="1"/>
      <c r="C38" s="132"/>
      <c r="D38" s="13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</row>
    <row r="39" spans="1:60" ht="15" hidden="1" customHeight="1" outlineLevel="1" x14ac:dyDescent="0.25">
      <c r="A39" s="135">
        <f>C39*1000000/$C$16</f>
        <v>-335.01325465928954</v>
      </c>
      <c r="B39" s="136" t="s">
        <v>47</v>
      </c>
      <c r="C39" s="137">
        <f>SUMIF($D$15:$BG$15,1,D39:BG39)</f>
        <v>-399.88732585061723</v>
      </c>
      <c r="D39" s="138">
        <v>-27.191994100292977</v>
      </c>
      <c r="E39" s="8">
        <v>-27.67929156784712</v>
      </c>
      <c r="F39" s="8">
        <v>-37.406248917534207</v>
      </c>
      <c r="G39" s="8">
        <v>-10.187882790898689</v>
      </c>
      <c r="H39" s="8">
        <v>-10.14738071982458</v>
      </c>
      <c r="I39" s="8">
        <v>-10.106688289016422</v>
      </c>
      <c r="J39" s="8">
        <v>-10.065804603783464</v>
      </c>
      <c r="K39" s="8">
        <v>-10.024728765229913</v>
      </c>
      <c r="L39" s="8">
        <v>-9.9834598702351602</v>
      </c>
      <c r="M39" s="8">
        <v>-9.9419970114339336</v>
      </c>
      <c r="N39" s="8">
        <v>-9.9003392771963394</v>
      </c>
      <c r="O39" s="8">
        <v>-9.8584857516078284</v>
      </c>
      <c r="P39" s="8">
        <v>-9.8164355144490525</v>
      </c>
      <c r="Q39" s="8">
        <v>-9.7741876411756277</v>
      </c>
      <c r="R39" s="8">
        <v>-9.731741202897819</v>
      </c>
      <c r="S39" s="8">
        <v>-9.8164355144490525</v>
      </c>
      <c r="T39" s="8">
        <v>-9.7741876411756277</v>
      </c>
      <c r="U39" s="8">
        <v>-9.731741202897819</v>
      </c>
      <c r="V39" s="8">
        <v>-9.6890952663601055</v>
      </c>
      <c r="W39" s="8">
        <v>-9.6462488939206654</v>
      </c>
      <c r="X39" s="8">
        <v>-9.6032011435307592</v>
      </c>
      <c r="Y39" s="8">
        <v>-9.5599510687140192</v>
      </c>
      <c r="Z39" s="8">
        <v>-9.5164977185456419</v>
      </c>
      <c r="AA39" s="8">
        <v>-9.4728401376314739</v>
      </c>
      <c r="AB39" s="8">
        <v>-9.4289773660870075</v>
      </c>
      <c r="AC39" s="8">
        <v>-9.3849084395162823</v>
      </c>
      <c r="AD39" s="8">
        <v>-9.3406323889906737</v>
      </c>
      <c r="AE39" s="8">
        <v>-9.2961482410275984</v>
      </c>
      <c r="AF39" s="8">
        <v>-9.2514550175690946</v>
      </c>
      <c r="AG39" s="8">
        <v>-9.2065517359603355</v>
      </c>
      <c r="AH39" s="8">
        <v>-9.1614374089280162</v>
      </c>
      <c r="AI39" s="8">
        <v>-9.1161110445586431</v>
      </c>
      <c r="AJ39" s="8">
        <v>-9.0705716462767363</v>
      </c>
      <c r="AK39" s="8">
        <v>-9.0248182128229022</v>
      </c>
      <c r="AL39" s="8">
        <v>-8.9788497382318351</v>
      </c>
      <c r="AM39" s="8">
        <v>-8.9326652118101926</v>
      </c>
      <c r="AN39" s="8">
        <v>-8.8862636181143664</v>
      </c>
      <c r="AO39" s="8">
        <v>-8.8396439369281712</v>
      </c>
      <c r="AP39" s="8">
        <v>-8.7928051432403969</v>
      </c>
      <c r="AQ39" s="8">
        <v>-8.7457462072222931</v>
      </c>
      <c r="AR39" s="8">
        <v>-8.698466094204905</v>
      </c>
      <c r="AS39" s="8">
        <v>-8.6509637646563355</v>
      </c>
      <c r="AT39" s="8">
        <v>-8.6032381741588857</v>
      </c>
      <c r="AU39" s="8">
        <v>-8.5552882733861004</v>
      </c>
      <c r="AV39" s="8">
        <v>-8.5071130080796831</v>
      </c>
      <c r="AW39" s="8">
        <v>-8.4587113190263228</v>
      </c>
      <c r="AX39" s="8">
        <v>-8.4100821420344118</v>
      </c>
      <c r="AY39" s="8">
        <v>-8.3612244079106404</v>
      </c>
      <c r="AZ39" s="8">
        <v>-8.3121370424364862</v>
      </c>
      <c r="BA39" s="8">
        <v>-8.2628189663446037</v>
      </c>
      <c r="BB39" s="8">
        <v>-8.2132690952950913</v>
      </c>
      <c r="BC39" s="8">
        <v>-8.1634863398516444</v>
      </c>
      <c r="BD39" s="8">
        <v>-8.1134696054576096</v>
      </c>
      <c r="BE39" s="8">
        <v>-8.0632177924119279</v>
      </c>
      <c r="BF39" s="8">
        <v>-8.0127297958449297</v>
      </c>
      <c r="BG39" s="8">
        <v>-7.9620045056940683</v>
      </c>
      <c r="BH39" s="8">
        <v>0</v>
      </c>
    </row>
    <row r="40" spans="1:60" ht="15" hidden="1" customHeight="1" outlineLevel="1" x14ac:dyDescent="0.25">
      <c r="A40" s="135">
        <f>C40*1000000/$C$16</f>
        <v>-298.77489964990076</v>
      </c>
      <c r="B40" s="139" t="s">
        <v>48</v>
      </c>
      <c r="C40" s="132">
        <f>SUMIF($D$15:$BG$15,1,D40:BG40)</f>
        <v>-356.63154812723286</v>
      </c>
      <c r="D40" s="138">
        <f t="shared" ref="D40:AK40" si="8">NPV($C$8,D39:D39)</f>
        <v>-24.80765587151414</v>
      </c>
      <c r="E40" s="8">
        <f t="shared" si="8"/>
        <v>-25.252224513209061</v>
      </c>
      <c r="F40" s="8">
        <f t="shared" si="8"/>
        <v>-34.126270665099504</v>
      </c>
      <c r="G40" s="8">
        <f t="shared" si="8"/>
        <v>-9.2945552063507044</v>
      </c>
      <c r="H40" s="8">
        <f t="shared" si="8"/>
        <v>-9.2576045716313757</v>
      </c>
      <c r="I40" s="8">
        <f t="shared" si="8"/>
        <v>-9.2204802689288634</v>
      </c>
      <c r="J40" s="8">
        <f t="shared" si="8"/>
        <v>-9.1831814820036488</v>
      </c>
      <c r="K40" s="8">
        <f t="shared" si="8"/>
        <v>-9.1457073907798865</v>
      </c>
      <c r="L40" s="8">
        <f t="shared" si="8"/>
        <v>-9.1080571713273741</v>
      </c>
      <c r="M40" s="8">
        <f t="shared" si="8"/>
        <v>-9.0702299958434338</v>
      </c>
      <c r="N40" s="8">
        <f t="shared" si="8"/>
        <v>-9.0322250326347202</v>
      </c>
      <c r="O40" s="8">
        <f t="shared" si="8"/>
        <v>-8.9940414460989242</v>
      </c>
      <c r="P40" s="8">
        <f t="shared" si="8"/>
        <v>-8.9556783967064106</v>
      </c>
      <c r="Q40" s="8">
        <f t="shared" si="8"/>
        <v>-8.9171350409817496</v>
      </c>
      <c r="R40" s="8">
        <f t="shared" si="8"/>
        <v>-8.8784105314851836</v>
      </c>
      <c r="S40" s="8">
        <f t="shared" si="8"/>
        <v>-8.9556783967064106</v>
      </c>
      <c r="T40" s="8">
        <f t="shared" si="8"/>
        <v>-8.9171350409817496</v>
      </c>
      <c r="U40" s="8">
        <f t="shared" si="8"/>
        <v>-8.8784105314851836</v>
      </c>
      <c r="V40" s="8">
        <f t="shared" si="8"/>
        <v>-8.8395040167939865</v>
      </c>
      <c r="W40" s="8">
        <f t="shared" si="8"/>
        <v>-8.800414641483739</v>
      </c>
      <c r="X40" s="8">
        <f t="shared" si="8"/>
        <v>-8.7611415461095348</v>
      </c>
      <c r="Y40" s="8">
        <f t="shared" si="8"/>
        <v>-8.7216838671870693</v>
      </c>
      <c r="Z40" s="8">
        <f t="shared" si="8"/>
        <v>-8.6820407371736703</v>
      </c>
      <c r="AA40" s="8">
        <f t="shared" si="8"/>
        <v>-8.6422112844492087</v>
      </c>
      <c r="AB40" s="8">
        <f t="shared" si="8"/>
        <v>-8.6021946332969392</v>
      </c>
      <c r="AC40" s="8">
        <f t="shared" si="8"/>
        <v>-8.5619899038842551</v>
      </c>
      <c r="AD40" s="8">
        <f t="shared" si="8"/>
        <v>-8.5215962122433311</v>
      </c>
      <c r="AE40" s="8">
        <f t="shared" si="8"/>
        <v>-8.4810126702516975</v>
      </c>
      <c r="AF40" s="8">
        <f t="shared" si="8"/>
        <v>-8.4402383856127017</v>
      </c>
      <c r="AG40" s="8">
        <f t="shared" si="8"/>
        <v>-8.3992724618359027</v>
      </c>
      <c r="AH40" s="8">
        <f t="shared" si="8"/>
        <v>-8.3581139982173518</v>
      </c>
      <c r="AI40" s="8">
        <f t="shared" si="8"/>
        <v>-8.3167620898197949</v>
      </c>
      <c r="AJ40" s="8">
        <f t="shared" si="8"/>
        <v>-8.2752158274527687</v>
      </c>
      <c r="AK40" s="8">
        <f t="shared" si="8"/>
        <v>-8.2334742976526165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</row>
    <row r="41" spans="1:60" ht="15" hidden="1" customHeight="1" outlineLevel="1" x14ac:dyDescent="0.25">
      <c r="A41" s="105"/>
      <c r="B41" s="1"/>
      <c r="C41" s="132"/>
      <c r="D41" s="13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</row>
    <row r="42" spans="1:60" ht="15" hidden="1" customHeight="1" outlineLevel="1" x14ac:dyDescent="0.25">
      <c r="A42" s="135">
        <f>A24+A27+A30</f>
        <v>267.89553008518567</v>
      </c>
      <c r="B42" s="104" t="s">
        <v>49</v>
      </c>
      <c r="C42" s="132"/>
      <c r="D42" s="138">
        <v>-27.191994100292977</v>
      </c>
      <c r="E42" s="8">
        <v>-54.871285668140096</v>
      </c>
      <c r="F42" s="8">
        <v>-92.277534585674303</v>
      </c>
      <c r="G42" s="8">
        <v>-102.46541737657299</v>
      </c>
      <c r="H42" s="8">
        <v>-112.61279809639757</v>
      </c>
      <c r="I42" s="8">
        <v>-122.71948638541399</v>
      </c>
      <c r="J42" s="8">
        <v>-132.78529098919745</v>
      </c>
      <c r="K42" s="8">
        <v>-142.81001975442737</v>
      </c>
      <c r="L42" s="8">
        <v>-152.79347962466252</v>
      </c>
      <c r="M42" s="8">
        <v>-162.73547663609645</v>
      </c>
      <c r="N42" s="8">
        <v>-172.63581591329279</v>
      </c>
      <c r="O42" s="8">
        <v>-182.4943016649006</v>
      </c>
      <c r="P42" s="8">
        <v>-192.31073717934964</v>
      </c>
      <c r="Q42" s="8">
        <v>-202.08492482052526</v>
      </c>
      <c r="R42" s="8">
        <v>-211.81666602342307</v>
      </c>
      <c r="S42" s="8">
        <v>-192.31073717934964</v>
      </c>
      <c r="T42" s="8">
        <v>-202.08492482052526</v>
      </c>
      <c r="U42" s="8">
        <v>-211.81666602342307</v>
      </c>
      <c r="V42" s="8">
        <v>-221.50576128978318</v>
      </c>
      <c r="W42" s="8">
        <v>-231.15201018370385</v>
      </c>
      <c r="X42" s="8">
        <v>-240.7552113272346</v>
      </c>
      <c r="Y42" s="8">
        <v>-250.31516239594862</v>
      </c>
      <c r="Z42" s="8">
        <v>-259.83166011449424</v>
      </c>
      <c r="AA42" s="8">
        <v>-269.30450025212571</v>
      </c>
      <c r="AB42" s="8">
        <v>-278.7334776182127</v>
      </c>
      <c r="AC42" s="8">
        <v>-288.11838605772897</v>
      </c>
      <c r="AD42" s="8">
        <v>-297.45901844671965</v>
      </c>
      <c r="AE42" s="8">
        <v>-306.75516668774725</v>
      </c>
      <c r="AF42" s="8">
        <v>-316.00662170531632</v>
      </c>
      <c r="AG42" s="8">
        <v>-325.21317344127664</v>
      </c>
      <c r="AH42" s="8">
        <v>-334.37461085020465</v>
      </c>
      <c r="AI42" s="8">
        <v>-343.49072189476328</v>
      </c>
      <c r="AJ42" s="8">
        <v>-352.56129354104002</v>
      </c>
      <c r="AK42" s="8">
        <v>-361.58611175386289</v>
      </c>
      <c r="AL42" s="8">
        <v>-370.56496149209471</v>
      </c>
      <c r="AM42" s="8">
        <v>-379.49762670390493</v>
      </c>
      <c r="AN42" s="8">
        <v>-388.38389032201928</v>
      </c>
      <c r="AO42" s="8">
        <v>-397.22353425894744</v>
      </c>
      <c r="AP42" s="8">
        <v>-406.01633940218784</v>
      </c>
      <c r="AQ42" s="8">
        <v>-414.76208560941012</v>
      </c>
      <c r="AR42" s="8">
        <v>-423.46055170361501</v>
      </c>
      <c r="AS42" s="8">
        <v>-432.11151546827136</v>
      </c>
      <c r="AT42" s="8">
        <v>-440.71475364243025</v>
      </c>
      <c r="AU42" s="8">
        <v>-449.27004191581636</v>
      </c>
      <c r="AV42" s="8">
        <v>-457.77715492389603</v>
      </c>
      <c r="AW42" s="8">
        <v>-466.23586624292238</v>
      </c>
      <c r="AX42" s="8">
        <v>-474.6459483849568</v>
      </c>
      <c r="AY42" s="8">
        <v>-483.00717279286744</v>
      </c>
      <c r="AZ42" s="8">
        <v>-491.3193098353039</v>
      </c>
      <c r="BA42" s="8">
        <v>-499.58212880164848</v>
      </c>
      <c r="BB42" s="8">
        <v>-507.7953978969436</v>
      </c>
      <c r="BC42" s="8">
        <v>-515.95888423679526</v>
      </c>
      <c r="BD42" s="8">
        <v>-524.07235384225282</v>
      </c>
      <c r="BE42" s="8">
        <v>-532.13557163466476</v>
      </c>
      <c r="BF42" s="8">
        <v>-540.14830143050972</v>
      </c>
      <c r="BG42" s="8">
        <v>-548.11030593620376</v>
      </c>
      <c r="BH42" s="8">
        <v>0</v>
      </c>
    </row>
    <row r="43" spans="1:60" ht="15" hidden="1" customHeight="1" outlineLevel="1" x14ac:dyDescent="0.25">
      <c r="A43" s="135">
        <f>A18+A21+A36</f>
        <v>602.90878474447527</v>
      </c>
      <c r="B43" s="104" t="s">
        <v>50</v>
      </c>
      <c r="C43" s="140">
        <v>35</v>
      </c>
      <c r="D43" s="127" t="s">
        <v>3</v>
      </c>
    </row>
    <row r="44" spans="1:60" ht="15" hidden="1" customHeight="1" outlineLevel="1" x14ac:dyDescent="0.25">
      <c r="A44" s="135">
        <f>A42-A43</f>
        <v>-335.0132546592896</v>
      </c>
      <c r="B44" s="104" t="s">
        <v>30</v>
      </c>
      <c r="C44" s="1"/>
      <c r="F44" s="142"/>
      <c r="G44" s="142"/>
    </row>
    <row r="45" spans="1:60" ht="15" hidden="1" customHeight="1" outlineLevel="1" x14ac:dyDescent="0.25">
      <c r="A45" s="135"/>
      <c r="B45" s="104" t="s">
        <v>397</v>
      </c>
      <c r="C45" s="17">
        <v>160</v>
      </c>
      <c r="D45" s="1" t="s">
        <v>8</v>
      </c>
      <c r="F45" s="142"/>
      <c r="G45" s="142"/>
    </row>
    <row r="46" spans="1:60" ht="15" hidden="1" customHeight="1" outlineLevel="1" x14ac:dyDescent="0.25">
      <c r="B46" s="143" t="s">
        <v>51</v>
      </c>
      <c r="C46" s="137">
        <f>F46*$C$16/1000000</f>
        <v>243.13953393702363</v>
      </c>
      <c r="D46" s="144" t="s">
        <v>52</v>
      </c>
      <c r="E46" s="144"/>
      <c r="F46" s="145">
        <f>A27</f>
        <v>203.69479434567916</v>
      </c>
      <c r="G46" s="144" t="s">
        <v>8</v>
      </c>
      <c r="H46" s="144"/>
    </row>
    <row r="47" spans="1:60" ht="15" hidden="1" customHeight="1" outlineLevel="1" x14ac:dyDescent="0.25">
      <c r="B47" s="146" t="s">
        <v>53</v>
      </c>
      <c r="C47" s="147">
        <f>F47*$C$16/1000000</f>
        <v>0</v>
      </c>
      <c r="D47" s="148" t="s">
        <v>52</v>
      </c>
      <c r="E47" s="148"/>
      <c r="F47" s="149">
        <f>A24</f>
        <v>0</v>
      </c>
      <c r="G47" s="148" t="s">
        <v>8</v>
      </c>
      <c r="H47" s="148"/>
    </row>
    <row r="48" spans="1:60" ht="15" hidden="1" customHeight="1" outlineLevel="1" thickBot="1" x14ac:dyDescent="0.3">
      <c r="B48" s="143" t="s">
        <v>54</v>
      </c>
      <c r="C48" s="137">
        <f>F48*$C$16/1000000</f>
        <v>76.632969518245105</v>
      </c>
      <c r="D48" s="144" t="s">
        <v>52</v>
      </c>
      <c r="E48" s="144"/>
      <c r="F48" s="145">
        <f>A30</f>
        <v>64.200735739506541</v>
      </c>
      <c r="G48" s="144" t="s">
        <v>8</v>
      </c>
      <c r="H48" s="144"/>
    </row>
    <row r="49" spans="1:8" s="118" customFormat="1" ht="15" hidden="1" customHeight="1" outlineLevel="1" thickTop="1" x14ac:dyDescent="0.25">
      <c r="B49" s="150" t="s">
        <v>55</v>
      </c>
      <c r="C49" s="151">
        <f>C46+C47+C48</f>
        <v>319.77250345526875</v>
      </c>
      <c r="D49" s="152" t="s">
        <v>52</v>
      </c>
      <c r="E49" s="152"/>
      <c r="F49" s="153">
        <f>F46+F47+F48</f>
        <v>267.89553008518567</v>
      </c>
      <c r="G49" s="152" t="s">
        <v>8</v>
      </c>
      <c r="H49" s="152"/>
    </row>
    <row r="50" spans="1:8" ht="15" hidden="1" customHeight="1" outlineLevel="1" x14ac:dyDescent="0.25">
      <c r="B50" s="146" t="s">
        <v>56</v>
      </c>
      <c r="C50" s="147">
        <f>F50*$C$16/1000000</f>
        <v>719.65982930588598</v>
      </c>
      <c r="D50" s="148" t="s">
        <v>52</v>
      </c>
      <c r="E50" s="148"/>
      <c r="F50" s="149">
        <f>A18+A21</f>
        <v>602.90878474447527</v>
      </c>
      <c r="G50" s="148" t="s">
        <v>8</v>
      </c>
      <c r="H50" s="148"/>
    </row>
    <row r="51" spans="1:8" ht="15" hidden="1" customHeight="1" outlineLevel="1" x14ac:dyDescent="0.25">
      <c r="B51" s="143" t="s">
        <v>57</v>
      </c>
      <c r="C51" s="154">
        <f>F51*$C$16/1000000</f>
        <v>0</v>
      </c>
      <c r="D51" s="144" t="s">
        <v>52</v>
      </c>
      <c r="E51" s="144"/>
      <c r="F51" s="155">
        <f>A36</f>
        <v>0</v>
      </c>
      <c r="G51" s="144" t="s">
        <v>8</v>
      </c>
      <c r="H51" s="144"/>
    </row>
    <row r="52" spans="1:8" s="127" customFormat="1" ht="15" hidden="1" customHeight="1" outlineLevel="1" thickBot="1" x14ac:dyDescent="0.3">
      <c r="B52" s="156"/>
      <c r="C52" s="157"/>
      <c r="D52" s="158"/>
      <c r="E52" s="158"/>
      <c r="F52" s="158"/>
      <c r="G52" s="158"/>
      <c r="H52" s="158"/>
    </row>
    <row r="53" spans="1:8" s="131" customFormat="1" ht="15" hidden="1" customHeight="1" outlineLevel="1" thickTop="1" x14ac:dyDescent="0.25">
      <c r="B53" s="159" t="s">
        <v>58</v>
      </c>
      <c r="C53" s="160">
        <f>C49-C50-C51</f>
        <v>-399.88732585061723</v>
      </c>
      <c r="D53" s="161" t="s">
        <v>52</v>
      </c>
      <c r="E53" s="161"/>
      <c r="F53" s="162">
        <f>F49-F50-F51</f>
        <v>-335.0132546592896</v>
      </c>
      <c r="G53" s="161" t="s">
        <v>8</v>
      </c>
      <c r="H53" s="161"/>
    </row>
    <row r="54" spans="1:8" ht="15" customHeight="1" thickTop="1" thickBot="1" x14ac:dyDescent="0.3">
      <c r="A54" s="135"/>
      <c r="C54" s="17"/>
      <c r="F54" s="142"/>
      <c r="G54" s="142"/>
    </row>
    <row r="55" spans="1:8" s="163" customFormat="1" ht="25.15" customHeight="1" collapsed="1" thickTop="1" thickBot="1" x14ac:dyDescent="0.3">
      <c r="B55" s="789" t="s">
        <v>59</v>
      </c>
      <c r="C55" s="790"/>
      <c r="D55" s="790"/>
      <c r="E55" s="790"/>
      <c r="F55" s="790"/>
      <c r="G55" s="790"/>
      <c r="H55" s="791"/>
    </row>
    <row r="56" spans="1:8" s="127" customFormat="1" ht="15" hidden="1" customHeight="1" outlineLevel="1" thickTop="1" x14ac:dyDescent="0.25">
      <c r="B56" s="164"/>
      <c r="C56" s="165"/>
      <c r="D56" s="166"/>
      <c r="E56" s="166"/>
      <c r="F56" s="167"/>
      <c r="G56" s="166"/>
      <c r="H56" s="18"/>
    </row>
    <row r="57" spans="1:8" s="131" customFormat="1" ht="15" hidden="1" customHeight="1" outlineLevel="1" x14ac:dyDescent="0.25">
      <c r="B57" s="168" t="s">
        <v>60</v>
      </c>
      <c r="C57" s="169">
        <f>C58*C59</f>
        <v>3065371.3463830012</v>
      </c>
      <c r="D57" s="170" t="s">
        <v>9</v>
      </c>
      <c r="E57" s="170"/>
      <c r="F57" s="171">
        <v>96.644778295140455</v>
      </c>
      <c r="G57" s="170" t="s">
        <v>8</v>
      </c>
      <c r="H57" s="19">
        <f>F57/$F$99</f>
        <v>0.25905859684816251</v>
      </c>
    </row>
    <row r="58" spans="1:8" s="127" customFormat="1" ht="15" hidden="1" customHeight="1" outlineLevel="1" x14ac:dyDescent="0.25">
      <c r="B58" s="172" t="s">
        <v>61</v>
      </c>
      <c r="C58" s="173">
        <v>18917.360435999995</v>
      </c>
      <c r="D58" s="166" t="s">
        <v>5</v>
      </c>
      <c r="E58" s="166"/>
      <c r="F58" s="167"/>
      <c r="G58" s="166"/>
      <c r="H58" s="18"/>
    </row>
    <row r="59" spans="1:8" s="127" customFormat="1" ht="15" hidden="1" customHeight="1" outlineLevel="1" x14ac:dyDescent="0.25">
      <c r="B59" s="174" t="s">
        <v>62</v>
      </c>
      <c r="C59" s="175">
        <v>162.04011953747826</v>
      </c>
      <c r="D59" s="176" t="s">
        <v>8</v>
      </c>
      <c r="E59" s="176"/>
      <c r="F59" s="177"/>
      <c r="G59" s="176"/>
      <c r="H59" s="20"/>
    </row>
    <row r="60" spans="1:8" s="127" customFormat="1" ht="15" hidden="1" customHeight="1" outlineLevel="1" x14ac:dyDescent="0.25">
      <c r="B60" s="178"/>
      <c r="C60" s="179"/>
      <c r="D60" s="180"/>
      <c r="E60" s="180"/>
      <c r="F60" s="181"/>
      <c r="G60" s="180"/>
      <c r="H60" s="21"/>
    </row>
    <row r="61" spans="1:8" s="131" customFormat="1" ht="15" hidden="1" customHeight="1" outlineLevel="1" x14ac:dyDescent="0.25">
      <c r="B61" s="143" t="s">
        <v>63</v>
      </c>
      <c r="C61" s="182">
        <f>IF(C68="Sim",(C62*C71+C63*C72+C64*C73+C65*C74+C66*C76+C67*C75)*C69*((1-C93)+(1-C70)*(1-C89)),0)</f>
        <v>2469594.509672855</v>
      </c>
      <c r="D61" s="183" t="s">
        <v>9</v>
      </c>
      <c r="E61" s="183"/>
      <c r="F61" s="184">
        <v>77.861174682099431</v>
      </c>
      <c r="G61" s="183" t="s">
        <v>8</v>
      </c>
      <c r="H61" s="22">
        <f>F61/$F$99</f>
        <v>0.20870870643932748</v>
      </c>
    </row>
    <row r="62" spans="1:8" s="127" customFormat="1" ht="15" hidden="1" customHeight="1" outlineLevel="1" x14ac:dyDescent="0.25">
      <c r="B62" s="185" t="s">
        <v>414</v>
      </c>
      <c r="C62" s="186">
        <v>1126.2160567302833</v>
      </c>
      <c r="D62" s="180" t="s">
        <v>5</v>
      </c>
      <c r="E62" s="180"/>
      <c r="F62" s="181"/>
      <c r="G62" s="180"/>
      <c r="H62" s="21"/>
    </row>
    <row r="63" spans="1:8" s="127" customFormat="1" ht="15" hidden="1" customHeight="1" outlineLevel="1" x14ac:dyDescent="0.25">
      <c r="B63" s="172" t="s">
        <v>415</v>
      </c>
      <c r="C63" s="173">
        <v>765.13915304576494</v>
      </c>
      <c r="D63" s="166" t="s">
        <v>5</v>
      </c>
      <c r="E63" s="166"/>
      <c r="F63" s="167"/>
      <c r="G63" s="166"/>
      <c r="H63" s="18"/>
    </row>
    <row r="64" spans="1:8" s="127" customFormat="1" ht="15" hidden="1" customHeight="1" outlineLevel="1" x14ac:dyDescent="0.25">
      <c r="B64" s="172" t="s">
        <v>416</v>
      </c>
      <c r="C64" s="173">
        <v>395.46518022590095</v>
      </c>
      <c r="D64" s="166" t="s">
        <v>5</v>
      </c>
      <c r="E64" s="166"/>
      <c r="F64" s="167"/>
      <c r="G64" s="166"/>
      <c r="H64" s="18"/>
    </row>
    <row r="65" spans="2:8" s="127" customFormat="1" ht="15" hidden="1" customHeight="1" outlineLevel="1" x14ac:dyDescent="0.25">
      <c r="B65" s="172" t="s">
        <v>417</v>
      </c>
      <c r="C65" s="173">
        <v>206.32965924829614</v>
      </c>
      <c r="D65" s="166" t="s">
        <v>5</v>
      </c>
      <c r="E65" s="166"/>
      <c r="F65" s="167"/>
      <c r="G65" s="166"/>
      <c r="H65" s="18"/>
    </row>
    <row r="66" spans="2:8" s="127" customFormat="1" ht="15" hidden="1" customHeight="1" outlineLevel="1" x14ac:dyDescent="0.25">
      <c r="B66" s="172" t="s">
        <v>418</v>
      </c>
      <c r="C66" s="173">
        <v>51.582414812074035</v>
      </c>
      <c r="D66" s="166" t="s">
        <v>5</v>
      </c>
      <c r="E66" s="166"/>
      <c r="F66" s="167"/>
      <c r="G66" s="166"/>
      <c r="H66" s="18"/>
    </row>
    <row r="67" spans="2:8" s="127" customFormat="1" ht="15" hidden="1" customHeight="1" outlineLevel="1" x14ac:dyDescent="0.25">
      <c r="B67" s="172" t="s">
        <v>419</v>
      </c>
      <c r="C67" s="173">
        <v>197.73259011295048</v>
      </c>
      <c r="D67" s="166" t="s">
        <v>5</v>
      </c>
      <c r="E67" s="166"/>
      <c r="F67" s="167"/>
      <c r="G67" s="166"/>
      <c r="H67" s="18"/>
    </row>
    <row r="68" spans="2:8" s="127" customFormat="1" ht="15" hidden="1" customHeight="1" outlineLevel="1" x14ac:dyDescent="0.25">
      <c r="B68" s="172" t="s">
        <v>420</v>
      </c>
      <c r="C68" s="173" t="s">
        <v>122</v>
      </c>
      <c r="D68" s="166" t="s">
        <v>64</v>
      </c>
      <c r="E68" s="166"/>
      <c r="F68" s="167"/>
      <c r="G68" s="166"/>
      <c r="H68" s="18"/>
    </row>
    <row r="69" spans="2:8" s="127" customFormat="1" ht="15" hidden="1" customHeight="1" outlineLevel="1" x14ac:dyDescent="0.25">
      <c r="B69" s="172" t="s">
        <v>203</v>
      </c>
      <c r="C69" s="23">
        <v>1</v>
      </c>
      <c r="D69" s="166" t="s">
        <v>1</v>
      </c>
      <c r="E69" s="166"/>
      <c r="F69" s="167"/>
      <c r="G69" s="166"/>
      <c r="H69" s="18"/>
    </row>
    <row r="70" spans="2:8" s="127" customFormat="1" ht="15" hidden="1" customHeight="1" outlineLevel="1" x14ac:dyDescent="0.25">
      <c r="B70" s="172" t="s">
        <v>421</v>
      </c>
      <c r="C70" s="23">
        <v>0.25</v>
      </c>
      <c r="D70" s="166" t="s">
        <v>1</v>
      </c>
      <c r="E70" s="166"/>
      <c r="F70" s="167"/>
      <c r="G70" s="166"/>
      <c r="H70" s="18"/>
    </row>
    <row r="71" spans="2:8" s="127" customFormat="1" ht="15" hidden="1" customHeight="1" outlineLevel="1" x14ac:dyDescent="0.25">
      <c r="B71" s="172" t="s">
        <v>422</v>
      </c>
      <c r="C71" s="173">
        <v>300</v>
      </c>
      <c r="D71" s="166" t="s">
        <v>8</v>
      </c>
      <c r="E71" s="166"/>
      <c r="F71" s="167"/>
      <c r="G71" s="166"/>
      <c r="H71" s="18"/>
    </row>
    <row r="72" spans="2:8" s="127" customFormat="1" ht="15" hidden="1" customHeight="1" outlineLevel="1" x14ac:dyDescent="0.25">
      <c r="B72" s="172" t="s">
        <v>423</v>
      </c>
      <c r="C72" s="173">
        <v>750</v>
      </c>
      <c r="D72" s="166" t="s">
        <v>8</v>
      </c>
      <c r="E72" s="166"/>
      <c r="F72" s="167"/>
      <c r="G72" s="166"/>
      <c r="H72" s="18"/>
    </row>
    <row r="73" spans="2:8" s="127" customFormat="1" ht="15" hidden="1" customHeight="1" outlineLevel="1" x14ac:dyDescent="0.25">
      <c r="B73" s="172" t="s">
        <v>424</v>
      </c>
      <c r="C73" s="173">
        <v>1250</v>
      </c>
      <c r="D73" s="166" t="s">
        <v>8</v>
      </c>
      <c r="E73" s="166"/>
      <c r="F73" s="167"/>
      <c r="G73" s="166"/>
      <c r="H73" s="18"/>
    </row>
    <row r="74" spans="2:8" s="127" customFormat="1" ht="15" hidden="1" customHeight="1" outlineLevel="1" x14ac:dyDescent="0.25">
      <c r="B74" s="172" t="s">
        <v>425</v>
      </c>
      <c r="C74" s="173">
        <v>50</v>
      </c>
      <c r="D74" s="166" t="s">
        <v>8</v>
      </c>
      <c r="E74" s="166"/>
      <c r="F74" s="167"/>
      <c r="G74" s="166"/>
      <c r="H74" s="18"/>
    </row>
    <row r="75" spans="2:8" s="127" customFormat="1" ht="15" hidden="1" customHeight="1" outlineLevel="1" x14ac:dyDescent="0.25">
      <c r="B75" s="172" t="s">
        <v>426</v>
      </c>
      <c r="C75" s="173">
        <v>570</v>
      </c>
      <c r="D75" s="166" t="s">
        <v>8</v>
      </c>
      <c r="E75" s="166"/>
      <c r="F75" s="167"/>
      <c r="G75" s="166"/>
      <c r="H75" s="18"/>
    </row>
    <row r="76" spans="2:8" s="127" customFormat="1" ht="15" hidden="1" customHeight="1" outlineLevel="1" x14ac:dyDescent="0.25">
      <c r="B76" s="172" t="s">
        <v>427</v>
      </c>
      <c r="C76" s="173">
        <v>900</v>
      </c>
      <c r="D76" s="166" t="s">
        <v>8</v>
      </c>
      <c r="E76" s="166"/>
      <c r="F76" s="167"/>
      <c r="G76" s="166"/>
      <c r="H76" s="18"/>
    </row>
    <row r="77" spans="2:8" s="127" customFormat="1" ht="15" hidden="1" customHeight="1" outlineLevel="1" x14ac:dyDescent="0.25">
      <c r="B77" s="164"/>
      <c r="C77" s="165"/>
      <c r="D77" s="166"/>
      <c r="E77" s="166"/>
      <c r="F77" s="167"/>
      <c r="G77" s="166"/>
      <c r="H77" s="18"/>
    </row>
    <row r="78" spans="2:8" ht="15" hidden="1" customHeight="1" outlineLevel="1" x14ac:dyDescent="0.25">
      <c r="B78" s="143" t="s">
        <v>65</v>
      </c>
      <c r="C78" s="182">
        <v>2107546.122801479</v>
      </c>
      <c r="D78" s="144" t="s">
        <v>9</v>
      </c>
      <c r="E78" s="144"/>
      <c r="F78" s="155">
        <v>66.446542610659179</v>
      </c>
      <c r="G78" s="144" t="s">
        <v>8</v>
      </c>
      <c r="H78" s="24">
        <f>F78/$F$99</f>
        <v>0.17811151722611537</v>
      </c>
    </row>
    <row r="79" spans="2:8" ht="15" hidden="1" customHeight="1" outlineLevel="1" x14ac:dyDescent="0.25">
      <c r="B79" s="143" t="s">
        <v>66</v>
      </c>
      <c r="C79" s="182">
        <v>2950564.5719220703</v>
      </c>
      <c r="D79" s="144" t="s">
        <v>9</v>
      </c>
      <c r="E79" s="144"/>
      <c r="F79" s="155">
        <v>93.025159654922845</v>
      </c>
      <c r="G79" s="144" t="s">
        <v>8</v>
      </c>
      <c r="H79" s="24">
        <f>F79/$F$99</f>
        <v>0.2493561241165615</v>
      </c>
    </row>
    <row r="80" spans="2:8" s="127" customFormat="1" ht="15" hidden="1" customHeight="1" outlineLevel="1" x14ac:dyDescent="0.25">
      <c r="B80" s="164"/>
      <c r="C80" s="165"/>
      <c r="D80" s="166"/>
      <c r="E80" s="166"/>
      <c r="F80" s="167"/>
      <c r="G80" s="166"/>
      <c r="H80" s="18"/>
    </row>
    <row r="81" spans="2:8" ht="15" hidden="1" customHeight="1" outlineLevel="1" x14ac:dyDescent="0.25">
      <c r="B81" s="187" t="s">
        <v>67</v>
      </c>
      <c r="C81" s="188">
        <f>(C82*C83+C84*C85)*C86</f>
        <v>495457.0840582808</v>
      </c>
      <c r="D81" s="189" t="s">
        <v>9</v>
      </c>
      <c r="E81" s="189"/>
      <c r="F81" s="190">
        <v>15.620730617211999</v>
      </c>
      <c r="G81" s="189" t="s">
        <v>8</v>
      </c>
      <c r="H81" s="25">
        <f>F81/$F$99</f>
        <v>4.1871735098610599E-2</v>
      </c>
    </row>
    <row r="82" spans="2:8" ht="15" hidden="1" customHeight="1" outlineLevel="1" x14ac:dyDescent="0.25">
      <c r="B82" s="191" t="s">
        <v>68</v>
      </c>
      <c r="C82" s="192">
        <v>31717.919999999998</v>
      </c>
      <c r="D82" s="127" t="s">
        <v>5</v>
      </c>
      <c r="E82" s="127"/>
      <c r="F82" s="193"/>
      <c r="G82" s="127"/>
      <c r="H82" s="26"/>
    </row>
    <row r="83" spans="2:8" ht="15" hidden="1" customHeight="1" outlineLevel="1" x14ac:dyDescent="0.25">
      <c r="B83" s="191" t="s">
        <v>69</v>
      </c>
      <c r="C83" s="192">
        <v>237.54494967426146</v>
      </c>
      <c r="D83" s="127" t="s">
        <v>8</v>
      </c>
      <c r="E83" s="127"/>
      <c r="F83" s="193"/>
      <c r="G83" s="127"/>
      <c r="H83" s="26"/>
    </row>
    <row r="84" spans="2:8" ht="15" hidden="1" customHeight="1" outlineLevel="1" x14ac:dyDescent="0.25">
      <c r="B84" s="191" t="s">
        <v>70</v>
      </c>
      <c r="C84" s="192">
        <v>15756</v>
      </c>
      <c r="D84" s="127" t="s">
        <v>5</v>
      </c>
      <c r="E84" s="127"/>
      <c r="F84" s="193"/>
      <c r="G84" s="127"/>
      <c r="H84" s="26"/>
    </row>
    <row r="85" spans="2:8" ht="15" hidden="1" customHeight="1" outlineLevel="1" x14ac:dyDescent="0.25">
      <c r="B85" s="191" t="s">
        <v>71</v>
      </c>
      <c r="C85" s="192">
        <v>150.7178199411884</v>
      </c>
      <c r="D85" s="127" t="s">
        <v>8</v>
      </c>
      <c r="E85" s="127"/>
      <c r="F85" s="193"/>
      <c r="G85" s="127"/>
      <c r="H85" s="26"/>
    </row>
    <row r="86" spans="2:8" ht="15" hidden="1" customHeight="1" outlineLevel="1" x14ac:dyDescent="0.25">
      <c r="B86" s="194" t="s">
        <v>72</v>
      </c>
      <c r="C86" s="27">
        <v>0.05</v>
      </c>
      <c r="D86" s="195" t="s">
        <v>1</v>
      </c>
      <c r="E86" s="195"/>
      <c r="F86" s="196"/>
      <c r="G86" s="195"/>
      <c r="H86" s="28"/>
    </row>
    <row r="87" spans="2:8" s="127" customFormat="1" ht="15" hidden="1" customHeight="1" outlineLevel="1" x14ac:dyDescent="0.25">
      <c r="B87" s="164"/>
      <c r="C87" s="165"/>
      <c r="D87" s="166"/>
      <c r="E87" s="166"/>
      <c r="F87" s="167"/>
      <c r="G87" s="166"/>
      <c r="H87" s="18"/>
    </row>
    <row r="88" spans="2:8" ht="15" hidden="1" customHeight="1" outlineLevel="1" x14ac:dyDescent="0.25">
      <c r="B88" s="187" t="s">
        <v>73</v>
      </c>
      <c r="C88" s="188">
        <f>(C62*C71+C63*C72+C64*C73+C65*C74+C66*C76+C67*C75)*C89*C90</f>
        <v>47264.966692303446</v>
      </c>
      <c r="D88" s="189" t="s">
        <v>9</v>
      </c>
      <c r="E88" s="189"/>
      <c r="F88" s="190">
        <v>1.4901660226239126</v>
      </c>
      <c r="G88" s="189" t="s">
        <v>8</v>
      </c>
      <c r="H88" s="25">
        <f>F88/$F$99</f>
        <v>3.9944250036234924E-3</v>
      </c>
    </row>
    <row r="89" spans="2:8" ht="15" hidden="1" customHeight="1" outlineLevel="1" x14ac:dyDescent="0.25">
      <c r="B89" s="194" t="s">
        <v>74</v>
      </c>
      <c r="C89" s="27">
        <v>0.12</v>
      </c>
      <c r="D89" s="195" t="s">
        <v>1</v>
      </c>
      <c r="E89" s="195"/>
      <c r="F89" s="196"/>
      <c r="G89" s="195"/>
      <c r="H89" s="28"/>
    </row>
    <row r="90" spans="2:8" ht="15" hidden="1" customHeight="1" outlineLevel="1" x14ac:dyDescent="0.25">
      <c r="B90" s="194" t="s">
        <v>421</v>
      </c>
      <c r="C90" s="27">
        <v>0.25</v>
      </c>
      <c r="D90" s="195" t="s">
        <v>1</v>
      </c>
      <c r="E90" s="195"/>
      <c r="F90" s="196"/>
      <c r="G90" s="195"/>
      <c r="H90" s="28"/>
    </row>
    <row r="91" spans="2:8" s="127" customFormat="1" ht="15" hidden="1" customHeight="1" outlineLevel="1" x14ac:dyDescent="0.25">
      <c r="B91" s="164"/>
      <c r="C91" s="165"/>
      <c r="D91" s="166"/>
      <c r="E91" s="166"/>
      <c r="F91" s="167"/>
      <c r="G91" s="166"/>
      <c r="H91" s="18"/>
    </row>
    <row r="92" spans="2:8" ht="15" hidden="1" customHeight="1" outlineLevel="1" x14ac:dyDescent="0.25">
      <c r="B92" s="187" t="s">
        <v>75</v>
      </c>
      <c r="C92" s="188">
        <v>696934.9331909332</v>
      </c>
      <c r="D92" s="189" t="s">
        <v>9</v>
      </c>
      <c r="E92" s="197"/>
      <c r="F92" s="198">
        <v>21.972907844869184</v>
      </c>
      <c r="G92" s="197" t="s">
        <v>8</v>
      </c>
      <c r="H92" s="29">
        <f>F92/$F$99</f>
        <v>5.8898895267598908E-2</v>
      </c>
    </row>
    <row r="93" spans="2:8" ht="15" hidden="1" customHeight="1" outlineLevel="1" x14ac:dyDescent="0.25">
      <c r="B93" s="194" t="s">
        <v>76</v>
      </c>
      <c r="C93" s="30">
        <v>9.2499999999999999E-2</v>
      </c>
      <c r="D93" s="195" t="s">
        <v>1</v>
      </c>
      <c r="E93" s="195"/>
      <c r="F93" s="196"/>
      <c r="G93" s="195"/>
      <c r="H93" s="28"/>
    </row>
    <row r="94" spans="2:8" ht="15" hidden="1" customHeight="1" outlineLevel="1" x14ac:dyDescent="0.25">
      <c r="B94" s="191" t="s">
        <v>68</v>
      </c>
      <c r="C94" s="192">
        <f>C82</f>
        <v>31717.919999999998</v>
      </c>
      <c r="D94" s="127" t="s">
        <v>5</v>
      </c>
      <c r="E94" s="127"/>
      <c r="F94" s="193"/>
      <c r="G94" s="127"/>
      <c r="H94" s="26"/>
    </row>
    <row r="95" spans="2:8" ht="15" hidden="1" customHeight="1" outlineLevel="1" x14ac:dyDescent="0.25">
      <c r="B95" s="191" t="s">
        <v>69</v>
      </c>
      <c r="C95" s="192">
        <f>C83</f>
        <v>237.54494967426146</v>
      </c>
      <c r="D95" s="127" t="s">
        <v>8</v>
      </c>
      <c r="E95" s="127"/>
      <c r="F95" s="193"/>
      <c r="G95" s="127"/>
      <c r="H95" s="26"/>
    </row>
    <row r="96" spans="2:8" ht="15" hidden="1" customHeight="1" outlineLevel="1" x14ac:dyDescent="0.25">
      <c r="B96" s="191" t="s">
        <v>70</v>
      </c>
      <c r="C96" s="192">
        <f>C84</f>
        <v>15756</v>
      </c>
      <c r="D96" s="127" t="s">
        <v>5</v>
      </c>
      <c r="E96" s="127"/>
      <c r="F96" s="193"/>
      <c r="G96" s="127"/>
      <c r="H96" s="26"/>
    </row>
    <row r="97" spans="2:8" ht="15" hidden="1" customHeight="1" outlineLevel="1" x14ac:dyDescent="0.25">
      <c r="B97" s="191" t="s">
        <v>71</v>
      </c>
      <c r="C97" s="192">
        <f>C85</f>
        <v>150.7178199411884</v>
      </c>
      <c r="D97" s="127" t="s">
        <v>8</v>
      </c>
      <c r="E97" s="127"/>
      <c r="F97" s="193"/>
      <c r="G97" s="127"/>
      <c r="H97" s="26"/>
    </row>
    <row r="98" spans="2:8" s="127" customFormat="1" ht="15" hidden="1" customHeight="1" outlineLevel="1" thickBot="1" x14ac:dyDescent="0.3">
      <c r="B98" s="156"/>
      <c r="C98" s="157"/>
      <c r="D98" s="158"/>
      <c r="E98" s="158"/>
      <c r="F98" s="158"/>
      <c r="G98" s="158"/>
      <c r="H98" s="158"/>
    </row>
    <row r="99" spans="2:8" s="118" customFormat="1" ht="15" hidden="1" customHeight="1" outlineLevel="1" thickTop="1" x14ac:dyDescent="0.25">
      <c r="B99" s="199" t="s">
        <v>77</v>
      </c>
      <c r="C99" s="200">
        <f>C57+C61+C78+C79+C81+C88+C92</f>
        <v>11832733.534720924</v>
      </c>
      <c r="D99" s="201" t="s">
        <v>9</v>
      </c>
      <c r="E99" s="202"/>
      <c r="F99" s="203">
        <v>373.06145972752705</v>
      </c>
      <c r="G99" s="202" t="s">
        <v>8</v>
      </c>
      <c r="H99" s="31">
        <f>F99/$F$99</f>
        <v>1</v>
      </c>
    </row>
    <row r="100" spans="2:8" ht="15" customHeight="1" thickTop="1" thickBot="1" x14ac:dyDescent="0.3">
      <c r="D100" s="127"/>
      <c r="E100" s="127"/>
      <c r="F100" s="127"/>
      <c r="G100" s="127"/>
      <c r="H100" s="127"/>
    </row>
    <row r="101" spans="2:8" ht="25.15" customHeight="1" collapsed="1" thickTop="1" thickBot="1" x14ac:dyDescent="0.3">
      <c r="B101" s="789" t="s">
        <v>78</v>
      </c>
      <c r="C101" s="790"/>
      <c r="D101" s="790"/>
      <c r="E101" s="790"/>
      <c r="F101" s="790"/>
      <c r="G101" s="790"/>
      <c r="H101" s="791"/>
    </row>
    <row r="102" spans="2:8" ht="15" hidden="1" customHeight="1" outlineLevel="1" thickTop="1" x14ac:dyDescent="0.25">
      <c r="B102" s="122" t="s">
        <v>349</v>
      </c>
      <c r="C102" s="33">
        <v>96866</v>
      </c>
      <c r="D102" s="127" t="s">
        <v>350</v>
      </c>
      <c r="F102" s="5"/>
      <c r="G102" s="204"/>
    </row>
    <row r="103" spans="2:8" ht="15" hidden="1" customHeight="1" outlineLevel="1" x14ac:dyDescent="0.25">
      <c r="B103" s="32" t="s">
        <v>79</v>
      </c>
      <c r="C103" s="33">
        <v>31717.919999999998</v>
      </c>
      <c r="D103" s="34" t="s">
        <v>5</v>
      </c>
      <c r="E103" s="205"/>
      <c r="F103" s="205"/>
      <c r="G103" s="205"/>
      <c r="H103" s="205"/>
    </row>
    <row r="104" spans="2:8" ht="15" hidden="1" customHeight="1" outlineLevel="1" x14ac:dyDescent="0.25">
      <c r="B104" s="32" t="s">
        <v>79</v>
      </c>
      <c r="C104" s="33">
        <f>C103/312</f>
        <v>101.66</v>
      </c>
      <c r="D104" s="34" t="s">
        <v>29</v>
      </c>
      <c r="E104" s="205"/>
      <c r="F104" s="205"/>
      <c r="G104" s="205"/>
      <c r="H104" s="205"/>
    </row>
    <row r="105" spans="2:8" ht="15" hidden="1" customHeight="1" outlineLevel="1" x14ac:dyDescent="0.25">
      <c r="B105" s="35" t="s">
        <v>80</v>
      </c>
      <c r="C105" s="33">
        <v>34388.276541382686</v>
      </c>
      <c r="D105" s="34" t="s">
        <v>5</v>
      </c>
      <c r="E105" s="205"/>
      <c r="F105" s="205"/>
      <c r="G105" s="205"/>
      <c r="H105" s="205"/>
    </row>
    <row r="106" spans="2:8" ht="15" hidden="1" customHeight="1" outlineLevel="1" x14ac:dyDescent="0.25">
      <c r="B106" s="35" t="s">
        <v>81</v>
      </c>
      <c r="C106" s="33">
        <f>C105/312</f>
        <v>110.21883506853425</v>
      </c>
      <c r="D106" s="34" t="s">
        <v>29</v>
      </c>
      <c r="E106" s="205"/>
      <c r="F106" s="205"/>
      <c r="G106" s="205"/>
      <c r="H106" s="205"/>
    </row>
    <row r="107" spans="2:8" ht="15" hidden="1" customHeight="1" outlineLevel="1" x14ac:dyDescent="0.25">
      <c r="B107" s="35" t="s">
        <v>137</v>
      </c>
      <c r="C107" s="658">
        <v>0.48399999999999999</v>
      </c>
      <c r="D107" s="34" t="s">
        <v>1</v>
      </c>
      <c r="E107" s="205"/>
      <c r="F107" s="205"/>
      <c r="G107" s="205"/>
      <c r="H107" s="205"/>
    </row>
    <row r="108" spans="2:8" ht="15" hidden="1" customHeight="1" outlineLevel="1" x14ac:dyDescent="0.25">
      <c r="B108" s="36" t="s">
        <v>82</v>
      </c>
      <c r="C108" s="206">
        <v>1138.1692238576566</v>
      </c>
      <c r="D108" s="37" t="s">
        <v>20</v>
      </c>
      <c r="E108" s="205"/>
      <c r="F108" s="205"/>
      <c r="G108" s="205"/>
      <c r="H108" s="205"/>
    </row>
    <row r="109" spans="2:8" ht="15" hidden="1" customHeight="1" outlineLevel="1" x14ac:dyDescent="0.25">
      <c r="B109" s="36" t="s">
        <v>83</v>
      </c>
      <c r="C109" s="38">
        <v>450</v>
      </c>
      <c r="D109" s="39" t="s">
        <v>0</v>
      </c>
      <c r="E109" s="205"/>
      <c r="F109" s="205"/>
      <c r="G109" s="205"/>
      <c r="H109" s="205"/>
    </row>
    <row r="110" spans="2:8" ht="15" hidden="1" customHeight="1" outlineLevel="1" thickBot="1" x14ac:dyDescent="0.3">
      <c r="B110" s="104" t="s">
        <v>398</v>
      </c>
      <c r="C110" s="105">
        <f>C103*1000/C102/365</f>
        <v>0.8970991984690615</v>
      </c>
      <c r="D110" s="1" t="s">
        <v>399</v>
      </c>
    </row>
    <row r="111" spans="2:8" ht="15" hidden="1" customHeight="1" outlineLevel="1" thickTop="1" x14ac:dyDescent="0.25">
      <c r="B111" s="40" t="s">
        <v>84</v>
      </c>
      <c r="C111" s="207"/>
      <c r="D111" s="6"/>
      <c r="E111" s="6"/>
      <c r="F111" s="6"/>
      <c r="G111" s="6"/>
      <c r="H111" s="6"/>
    </row>
    <row r="112" spans="2:8" s="127" customFormat="1" ht="15" hidden="1" customHeight="1" outlineLevel="1" x14ac:dyDescent="0.25">
      <c r="B112" s="208"/>
      <c r="C112" s="209">
        <v>14.285263199999997</v>
      </c>
      <c r="D112" s="37" t="s">
        <v>22</v>
      </c>
      <c r="E112" s="210"/>
      <c r="F112" s="210"/>
      <c r="G112" s="210"/>
      <c r="H112" s="210"/>
    </row>
    <row r="113" spans="2:8" ht="15" hidden="1" customHeight="1" outlineLevel="1" x14ac:dyDescent="0.25">
      <c r="C113" s="137">
        <f>C112*312*$C$106/$C$104/1000</f>
        <v>4.832240619595094</v>
      </c>
      <c r="D113" s="41" t="s">
        <v>19</v>
      </c>
    </row>
    <row r="114" spans="2:8" ht="15" hidden="1" customHeight="1" outlineLevel="1" x14ac:dyDescent="0.25">
      <c r="B114" s="42" t="s">
        <v>85</v>
      </c>
      <c r="C114" s="211"/>
      <c r="D114" s="212"/>
      <c r="E114" s="212"/>
      <c r="F114" s="212"/>
      <c r="G114" s="212"/>
      <c r="H114" s="212"/>
    </row>
    <row r="115" spans="2:8" s="127" customFormat="1" ht="15" hidden="1" customHeight="1" outlineLevel="1" x14ac:dyDescent="0.25">
      <c r="B115" s="208"/>
      <c r="C115" s="209">
        <v>41.027434500000005</v>
      </c>
      <c r="D115" s="37" t="s">
        <v>22</v>
      </c>
      <c r="E115" s="210"/>
      <c r="F115" s="210"/>
      <c r="G115" s="210"/>
      <c r="H115" s="210"/>
    </row>
    <row r="116" spans="2:8" ht="15" hidden="1" customHeight="1" outlineLevel="1" x14ac:dyDescent="0.25">
      <c r="B116" s="213"/>
      <c r="C116" s="137">
        <f>C115*312*$C$106/$C$104/1000</f>
        <v>13.878248705188518</v>
      </c>
      <c r="D116" s="43" t="s">
        <v>19</v>
      </c>
      <c r="E116" s="215"/>
      <c r="F116" s="215"/>
      <c r="G116" s="215"/>
      <c r="H116" s="215"/>
    </row>
    <row r="117" spans="2:8" ht="15" hidden="1" customHeight="1" outlineLevel="1" x14ac:dyDescent="0.25">
      <c r="B117" s="44" t="s">
        <v>86</v>
      </c>
      <c r="C117" s="192"/>
    </row>
    <row r="118" spans="2:8" s="127" customFormat="1" ht="15" hidden="1" customHeight="1" outlineLevel="1" x14ac:dyDescent="0.25">
      <c r="B118" s="208"/>
      <c r="C118" s="209">
        <v>46.34730230000001</v>
      </c>
      <c r="D118" s="37" t="s">
        <v>22</v>
      </c>
      <c r="E118" s="210"/>
      <c r="F118" s="210"/>
      <c r="G118" s="210"/>
      <c r="H118" s="210"/>
    </row>
    <row r="119" spans="2:8" ht="15" hidden="1" customHeight="1" outlineLevel="1" thickBot="1" x14ac:dyDescent="0.3">
      <c r="B119" s="216"/>
      <c r="C119" s="659">
        <f>C118*312*$C$106/$C$104/1000</f>
        <v>15.677787216599075</v>
      </c>
      <c r="D119" s="45" t="s">
        <v>19</v>
      </c>
      <c r="E119" s="218"/>
      <c r="F119" s="218"/>
      <c r="G119" s="218"/>
      <c r="H119" s="218"/>
    </row>
    <row r="120" spans="2:8" ht="15" hidden="1" customHeight="1" outlineLevel="1" thickTop="1" thickBot="1" x14ac:dyDescent="0.3">
      <c r="B120" s="104" t="s">
        <v>403</v>
      </c>
      <c r="C120" s="130"/>
    </row>
    <row r="121" spans="2:8" ht="15" hidden="1" customHeight="1" outlineLevel="1" thickTop="1" x14ac:dyDescent="0.25">
      <c r="B121" s="810" t="s">
        <v>87</v>
      </c>
      <c r="C121" s="219"/>
      <c r="D121" s="6"/>
      <c r="E121" s="6"/>
      <c r="F121" s="6"/>
      <c r="G121" s="6"/>
      <c r="H121" s="6"/>
    </row>
    <row r="122" spans="2:8" ht="15" hidden="1" customHeight="1" outlineLevel="1" x14ac:dyDescent="0.25">
      <c r="B122" s="793"/>
      <c r="C122" s="220">
        <v>8.1073850000000007</v>
      </c>
      <c r="D122" s="37" t="s">
        <v>22</v>
      </c>
      <c r="E122" s="205"/>
      <c r="F122" s="205"/>
      <c r="G122" s="205"/>
      <c r="H122" s="205"/>
    </row>
    <row r="123" spans="2:8" ht="15" hidden="1" customHeight="1" outlineLevel="1" x14ac:dyDescent="0.25">
      <c r="B123" s="811"/>
      <c r="C123" s="137">
        <f>C122*312*$C$106/$C$104/1000</f>
        <v>2.7424650541752689</v>
      </c>
      <c r="D123" s="41" t="s">
        <v>19</v>
      </c>
    </row>
    <row r="124" spans="2:8" ht="15" hidden="1" customHeight="1" outlineLevel="1" x14ac:dyDescent="0.25">
      <c r="B124" s="792" t="s">
        <v>88</v>
      </c>
      <c r="C124" s="211"/>
      <c r="D124" s="212"/>
      <c r="E124" s="212"/>
      <c r="F124" s="212"/>
      <c r="G124" s="212"/>
      <c r="H124" s="212"/>
    </row>
    <row r="125" spans="2:8" ht="15" hidden="1" customHeight="1" outlineLevel="1" x14ac:dyDescent="0.25">
      <c r="B125" s="793"/>
      <c r="C125" s="220">
        <v>18.253052999999998</v>
      </c>
      <c r="D125" s="37" t="s">
        <v>22</v>
      </c>
      <c r="E125" s="205"/>
      <c r="F125" s="205"/>
      <c r="G125" s="205"/>
      <c r="H125" s="205"/>
    </row>
    <row r="126" spans="2:8" ht="15" hidden="1" customHeight="1" outlineLevel="1" x14ac:dyDescent="0.25">
      <c r="B126" s="811"/>
      <c r="C126" s="137">
        <f>C125*312*$C$106/$C$104/1000</f>
        <v>6.1744150530052604</v>
      </c>
      <c r="D126" s="41" t="s">
        <v>19</v>
      </c>
    </row>
    <row r="127" spans="2:8" ht="15" hidden="1" customHeight="1" outlineLevel="1" x14ac:dyDescent="0.25">
      <c r="B127" s="792" t="s">
        <v>11</v>
      </c>
      <c r="C127" s="211"/>
      <c r="D127" s="212"/>
      <c r="E127" s="212"/>
      <c r="F127" s="212"/>
      <c r="G127" s="212"/>
      <c r="H127" s="212"/>
    </row>
    <row r="128" spans="2:8" ht="15" hidden="1" customHeight="1" outlineLevel="1" x14ac:dyDescent="0.25">
      <c r="B128" s="793"/>
      <c r="C128" s="220">
        <v>19.986864300000011</v>
      </c>
      <c r="D128" s="37" t="s">
        <v>22</v>
      </c>
      <c r="E128" s="205"/>
      <c r="F128" s="205"/>
      <c r="G128" s="205"/>
      <c r="H128" s="205"/>
    </row>
    <row r="129" spans="2:8" ht="15" hidden="1" customHeight="1" outlineLevel="1" x14ac:dyDescent="0.25">
      <c r="B129" s="811"/>
      <c r="C129" s="137">
        <f>C128*312*$C$106/$C$104/1000</f>
        <v>6.7609071094185476</v>
      </c>
      <c r="D129" s="43" t="s">
        <v>19</v>
      </c>
      <c r="E129" s="215"/>
      <c r="F129" s="215"/>
      <c r="G129" s="215"/>
      <c r="H129" s="215"/>
    </row>
    <row r="130" spans="2:8" ht="15" hidden="1" customHeight="1" outlineLevel="1" x14ac:dyDescent="0.25">
      <c r="B130" s="792" t="s">
        <v>366</v>
      </c>
      <c r="C130" s="730">
        <v>0</v>
      </c>
      <c r="D130" s="127" t="s">
        <v>365</v>
      </c>
    </row>
    <row r="131" spans="2:8" ht="15" hidden="1" customHeight="1" outlineLevel="1" x14ac:dyDescent="0.25">
      <c r="B131" s="793"/>
      <c r="C131" s="731">
        <f>C130*C106</f>
        <v>0</v>
      </c>
      <c r="D131" s="37" t="s">
        <v>23</v>
      </c>
      <c r="E131" s="205"/>
      <c r="F131" s="205"/>
      <c r="G131" s="205"/>
      <c r="H131" s="205"/>
    </row>
    <row r="132" spans="2:8" ht="15" hidden="1" customHeight="1" outlineLevel="1" x14ac:dyDescent="0.25">
      <c r="B132" s="811"/>
      <c r="C132" s="214">
        <f>C130*C105/1000</f>
        <v>0</v>
      </c>
      <c r="D132" s="43" t="s">
        <v>20</v>
      </c>
      <c r="E132" s="215"/>
      <c r="F132" s="215"/>
      <c r="G132" s="215"/>
      <c r="H132" s="215"/>
    </row>
    <row r="133" spans="2:8" ht="15" hidden="1" customHeight="1" outlineLevel="1" x14ac:dyDescent="0.25">
      <c r="B133" s="792" t="s">
        <v>367</v>
      </c>
      <c r="C133" s="192">
        <v>0</v>
      </c>
      <c r="D133" s="127" t="s">
        <v>140</v>
      </c>
    </row>
    <row r="134" spans="2:8" ht="15" hidden="1" customHeight="1" outlineLevel="1" x14ac:dyDescent="0.25">
      <c r="B134" s="793"/>
      <c r="C134" s="660">
        <f>C133*C106*C107</f>
        <v>0</v>
      </c>
      <c r="D134" s="37" t="s">
        <v>23</v>
      </c>
      <c r="E134" s="205"/>
      <c r="F134" s="205"/>
      <c r="G134" s="205"/>
      <c r="H134" s="205"/>
    </row>
    <row r="135" spans="2:8" ht="15" hidden="1" customHeight="1" outlineLevel="1" x14ac:dyDescent="0.25">
      <c r="B135" s="811"/>
      <c r="C135" s="214">
        <f>C133*C105*C107/1000</f>
        <v>0</v>
      </c>
      <c r="D135" s="43" t="s">
        <v>20</v>
      </c>
      <c r="E135" s="215"/>
      <c r="F135" s="215"/>
      <c r="G135" s="215"/>
      <c r="H135" s="215"/>
    </row>
    <row r="136" spans="2:8" ht="15" hidden="1" customHeight="1" outlineLevel="1" x14ac:dyDescent="0.25">
      <c r="B136" s="792" t="s">
        <v>7</v>
      </c>
      <c r="C136" s="192">
        <v>0</v>
      </c>
      <c r="D136" s="37" t="s">
        <v>400</v>
      </c>
    </row>
    <row r="137" spans="2:8" ht="15" hidden="1" customHeight="1" outlineLevel="1" x14ac:dyDescent="0.25">
      <c r="B137" s="793"/>
      <c r="C137" s="660">
        <f>C136*C106*C107</f>
        <v>0</v>
      </c>
      <c r="D137" s="37" t="s">
        <v>401</v>
      </c>
      <c r="E137" s="205"/>
      <c r="F137" s="205"/>
      <c r="G137" s="205"/>
      <c r="H137" s="205"/>
    </row>
    <row r="138" spans="2:8" ht="15" hidden="1" customHeight="1" outlineLevel="1" x14ac:dyDescent="0.25">
      <c r="B138" s="793"/>
      <c r="C138" s="214">
        <f>C136*C105*C107</f>
        <v>0</v>
      </c>
      <c r="D138" s="37" t="s">
        <v>181</v>
      </c>
      <c r="E138" s="205"/>
      <c r="F138" s="205"/>
      <c r="G138" s="205"/>
      <c r="H138" s="205"/>
    </row>
    <row r="139" spans="2:8" ht="15" hidden="1" customHeight="1" outlineLevel="1" thickBot="1" x14ac:dyDescent="0.3">
      <c r="B139" s="46" t="s">
        <v>89</v>
      </c>
      <c r="C139" s="217">
        <f>(C138*90%)/1000</f>
        <v>0</v>
      </c>
      <c r="D139" s="45" t="s">
        <v>90</v>
      </c>
      <c r="E139" s="218"/>
      <c r="F139" s="218"/>
      <c r="G139" s="218"/>
      <c r="H139" s="218"/>
    </row>
    <row r="140" spans="2:8" ht="15" customHeight="1" thickTop="1" x14ac:dyDescent="0.25">
      <c r="B140" s="747" t="s">
        <v>403</v>
      </c>
      <c r="C140" s="748">
        <v>90.813446153846158</v>
      </c>
    </row>
    <row r="141" spans="2:8" x14ac:dyDescent="0.25">
      <c r="B141" s="747" t="s">
        <v>406</v>
      </c>
      <c r="C141" s="749">
        <v>161122.19511908133</v>
      </c>
    </row>
    <row r="142" spans="2:8" x14ac:dyDescent="0.25">
      <c r="B142" s="747" t="s">
        <v>410</v>
      </c>
      <c r="C142" s="749">
        <v>39467.470567997749</v>
      </c>
    </row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8.85546875" style="6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13" t="s">
        <v>13</v>
      </c>
      <c r="C3" s="813"/>
      <c r="D3" s="813"/>
      <c r="E3" s="813"/>
      <c r="F3" s="813"/>
      <c r="G3" s="813"/>
      <c r="H3" s="813"/>
      <c r="L3" s="814" t="s">
        <v>144</v>
      </c>
      <c r="M3" s="815"/>
      <c r="N3" s="263"/>
      <c r="O3" s="816" t="s">
        <v>154</v>
      </c>
      <c r="P3" s="816"/>
      <c r="Q3" s="816"/>
      <c r="R3" s="816"/>
      <c r="S3" s="816"/>
      <c r="T3" s="816"/>
      <c r="U3" s="816"/>
      <c r="V3" s="816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17" t="s">
        <v>91</v>
      </c>
      <c r="C5" s="817"/>
      <c r="D5" s="49"/>
      <c r="E5" s="49"/>
      <c r="F5" s="303"/>
      <c r="G5" s="49"/>
      <c r="H5" s="303"/>
      <c r="L5" s="818" t="s">
        <v>156</v>
      </c>
      <c r="M5" s="819"/>
      <c r="N5"/>
      <c r="O5" s="822" t="s">
        <v>143</v>
      </c>
      <c r="P5" s="823"/>
      <c r="Q5" s="823"/>
      <c r="R5" s="823"/>
      <c r="S5" s="823"/>
      <c r="T5" s="823"/>
      <c r="U5" s="823"/>
      <c r="V5" s="824"/>
    </row>
    <row r="6" spans="2:22" s="53" customFormat="1" ht="15" hidden="1" customHeight="1" outlineLevel="1" thickTop="1" thickBot="1" x14ac:dyDescent="0.3">
      <c r="B6" s="817"/>
      <c r="C6" s="817"/>
      <c r="D6" s="50"/>
      <c r="E6" s="52"/>
      <c r="F6" s="51" t="s">
        <v>10</v>
      </c>
      <c r="G6" s="52"/>
      <c r="H6" s="51" t="s">
        <v>10</v>
      </c>
      <c r="L6" s="820"/>
      <c r="M6" s="821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254.60848243040007</v>
      </c>
      <c r="N7" s="234"/>
      <c r="O7" s="237">
        <f>M7</f>
        <v>254.60848243040007</v>
      </c>
      <c r="P7" s="238"/>
      <c r="Q7" s="239">
        <f>M7</f>
        <v>254.60848243040007</v>
      </c>
      <c r="R7" s="239"/>
      <c r="S7" s="239"/>
      <c r="T7" s="239"/>
      <c r="U7" s="239"/>
      <c r="V7" s="240">
        <f>Q7</f>
        <v>254.60848243040007</v>
      </c>
    </row>
    <row r="8" spans="2:22" s="47" customFormat="1" ht="15" hidden="1" customHeight="1" outlineLevel="1" x14ac:dyDescent="0.25">
      <c r="C8" s="54"/>
      <c r="D8" s="41"/>
      <c r="E8" s="56"/>
      <c r="F8" s="55"/>
      <c r="G8" s="56"/>
      <c r="H8" s="55"/>
      <c r="I8" s="54"/>
      <c r="L8" s="686" t="s">
        <v>353</v>
      </c>
      <c r="M8" s="256">
        <f>'RESUMO GERAL Valoriz. RT´s'!F29+'RESUMO GERAL Valoriz. RT´s'!F30</f>
        <v>432.58</v>
      </c>
      <c r="N8" s="236"/>
      <c r="O8" s="241"/>
      <c r="P8" s="242"/>
      <c r="Q8" s="243">
        <f>Q7+M8</f>
        <v>687.18848243040009</v>
      </c>
      <c r="R8" s="243">
        <f>M7</f>
        <v>254.60848243040007</v>
      </c>
      <c r="S8" s="243">
        <f>IF(R8&gt;=0,IF(M8&gt;=0,Q7,Q8),IF(M8&gt;=0,S7,Q8))</f>
        <v>254.60848243040007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25" t="s">
        <v>92</v>
      </c>
      <c r="C9" s="47" t="s">
        <v>4</v>
      </c>
      <c r="D9" s="41" t="s">
        <v>20</v>
      </c>
      <c r="E9" s="60"/>
      <c r="F9" s="59">
        <f>'C-Dados RT2 Simplif.'!C108</f>
        <v>1138.1692238576566</v>
      </c>
      <c r="G9" s="60"/>
      <c r="H9" s="567">
        <v>0</v>
      </c>
      <c r="L9" s="686" t="s">
        <v>354</v>
      </c>
      <c r="M9" s="256">
        <f>'RESUMO GERAL Valoriz. RT´s'!F31</f>
        <v>0.71</v>
      </c>
      <c r="N9" s="236"/>
      <c r="O9" s="241"/>
      <c r="P9" s="242"/>
      <c r="Q9" s="243">
        <f>Q8+M9</f>
        <v>687.89848243040012</v>
      </c>
      <c r="R9" s="243">
        <f>M8</f>
        <v>432.58</v>
      </c>
      <c r="S9" s="243">
        <f>IF(R9&gt;=0,IF(M9&gt;=0,Q8,Q9),IF(M9&gt;=0,S8,Q9))</f>
        <v>687.18848243040009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25"/>
      <c r="C10" s="61" t="s">
        <v>27</v>
      </c>
      <c r="D10" s="41" t="s">
        <v>28</v>
      </c>
      <c r="E10" s="60"/>
      <c r="F10" s="365">
        <v>0</v>
      </c>
      <c r="G10" s="60"/>
      <c r="H10" s="365">
        <v>0</v>
      </c>
      <c r="L10" s="249" t="s">
        <v>352</v>
      </c>
      <c r="M10" s="257">
        <f>SUM(M7:M9)</f>
        <v>687.89848243040012</v>
      </c>
      <c r="N10" s="234"/>
      <c r="O10" s="237">
        <f>M10</f>
        <v>687.89848243040012</v>
      </c>
      <c r="P10" s="238"/>
      <c r="Q10" s="239">
        <f>M10</f>
        <v>687.89848243040012</v>
      </c>
      <c r="R10" s="239"/>
      <c r="S10" s="239"/>
      <c r="T10" s="239"/>
      <c r="U10" s="239"/>
      <c r="V10" s="240">
        <f>Q10</f>
        <v>687.89848243040012</v>
      </c>
    </row>
    <row r="11" spans="2:22" s="47" customFormat="1" ht="15" hidden="1" customHeight="1" outlineLevel="1" x14ac:dyDescent="0.25">
      <c r="B11" s="44"/>
      <c r="D11" s="41"/>
      <c r="E11" s="60"/>
      <c r="F11" s="64"/>
      <c r="G11" s="60"/>
      <c r="H11" s="60"/>
      <c r="L11" s="235" t="s">
        <v>157</v>
      </c>
      <c r="M11" s="256">
        <f>J33</f>
        <v>0</v>
      </c>
      <c r="N11" s="236"/>
      <c r="O11" s="241"/>
      <c r="P11" s="242"/>
      <c r="Q11" s="243">
        <f>Q10+M11</f>
        <v>687.89848243040012</v>
      </c>
      <c r="R11" s="243">
        <f t="shared" ref="R11:R21" si="0">M10</f>
        <v>687.89848243040012</v>
      </c>
      <c r="S11" s="243">
        <f>IF(R11&gt;=0,IF(M11&gt;=0,Q10,Q11),IF(M11&gt;=0,S10,Q11))</f>
        <v>687.89848243040012</v>
      </c>
      <c r="T11" s="243">
        <f>IF(M11&gt;=0,M11,0)</f>
        <v>0</v>
      </c>
      <c r="U11" s="243">
        <f t="shared" ref="U11:U22" si="1">IF(M11&lt;0,M11*-1,0)</f>
        <v>0</v>
      </c>
      <c r="V11" s="244">
        <f>SUM(T11:U11)</f>
        <v>0</v>
      </c>
    </row>
    <row r="12" spans="2:22" s="47" customFormat="1" ht="15" hidden="1" customHeight="1" outlineLevel="1" x14ac:dyDescent="0.25">
      <c r="B12" s="825" t="s">
        <v>93</v>
      </c>
      <c r="C12" s="47" t="s">
        <v>4</v>
      </c>
      <c r="D12" s="41" t="s">
        <v>20</v>
      </c>
      <c r="E12" s="60"/>
      <c r="F12" s="567">
        <v>0</v>
      </c>
      <c r="G12" s="60"/>
      <c r="H12" s="567">
        <v>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687.89848243040012</v>
      </c>
      <c r="R12" s="243">
        <f t="shared" si="0"/>
        <v>0</v>
      </c>
      <c r="S12" s="243">
        <f>IF(R12&gt;=0,IF(M12&gt;=0,Q11,Q12),IF(M12&gt;=0,S11,Q12))</f>
        <v>687.89848243040012</v>
      </c>
      <c r="T12" s="243">
        <f>IF(M12&gt;=0,M12,0)</f>
        <v>0</v>
      </c>
      <c r="U12" s="243">
        <f t="shared" si="1"/>
        <v>0</v>
      </c>
      <c r="V12" s="244">
        <f>SUM(T12:U12)</f>
        <v>0</v>
      </c>
    </row>
    <row r="13" spans="2:22" s="47" customFormat="1" ht="15" hidden="1" customHeight="1" outlineLevel="1" x14ac:dyDescent="0.25">
      <c r="B13" s="825"/>
      <c r="C13" s="61" t="s">
        <v>27</v>
      </c>
      <c r="D13" s="41" t="s">
        <v>28</v>
      </c>
      <c r="E13" s="60"/>
      <c r="F13" s="365">
        <v>0</v>
      </c>
      <c r="G13" s="60"/>
      <c r="H13" s="365">
        <v>0</v>
      </c>
      <c r="L13" s="250" t="s">
        <v>155</v>
      </c>
      <c r="M13" s="257">
        <f>SUM(M10:M12)</f>
        <v>687.89848243040012</v>
      </c>
      <c r="N13" s="234"/>
      <c r="O13" s="245">
        <f>M13</f>
        <v>687.89848243040012</v>
      </c>
      <c r="P13" s="246"/>
      <c r="Q13" s="247">
        <f>Q12+M13-O13</f>
        <v>687.89848243040012</v>
      </c>
      <c r="R13" s="247">
        <f t="shared" si="0"/>
        <v>0</v>
      </c>
      <c r="S13" s="247">
        <v>0</v>
      </c>
      <c r="T13" s="247">
        <v>0</v>
      </c>
      <c r="U13" s="247">
        <f t="shared" si="1"/>
        <v>0</v>
      </c>
      <c r="V13" s="248">
        <f>Q13</f>
        <v>687.89848243040012</v>
      </c>
    </row>
    <row r="14" spans="2:22" s="47" customFormat="1" ht="15" hidden="1" customHeight="1" outlineLevel="1" x14ac:dyDescent="0.25">
      <c r="B14" s="44"/>
      <c r="D14" s="41"/>
      <c r="E14" s="66"/>
      <c r="F14" s="65"/>
      <c r="G14" s="66"/>
      <c r="H14" s="66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687.89848243040012</v>
      </c>
      <c r="R14" s="243">
        <f t="shared" si="0"/>
        <v>687.89848243040012</v>
      </c>
      <c r="S14" s="243">
        <f>IF(R14&gt;=0,IF(M14&gt;=0,Q13,Q14),IF(M14&gt;=0,S13,Q14))</f>
        <v>687.89848243040012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25" t="s">
        <v>94</v>
      </c>
      <c r="C15" s="47" t="s">
        <v>4</v>
      </c>
      <c r="D15" s="41" t="s">
        <v>20</v>
      </c>
      <c r="E15" s="66"/>
      <c r="F15" s="567">
        <v>0</v>
      </c>
      <c r="G15" s="60"/>
      <c r="H15" s="567">
        <v>0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687.89848243040012</v>
      </c>
      <c r="R15" s="243">
        <f t="shared" si="0"/>
        <v>0</v>
      </c>
      <c r="S15" s="243">
        <f>IF(R15&gt;=0,IF(M15&gt;=0,Q14,Q15),IF(M15&gt;=0,S14,Q15))</f>
        <v>687.89848243040012</v>
      </c>
      <c r="T15" s="243">
        <f>IF(M15&gt;=0,M15,0)</f>
        <v>0</v>
      </c>
      <c r="U15" s="243">
        <f t="shared" si="1"/>
        <v>0</v>
      </c>
      <c r="V15" s="244">
        <f>SUM(T15:U15)</f>
        <v>0</v>
      </c>
    </row>
    <row r="16" spans="2:22" s="47" customFormat="1" ht="15" hidden="1" customHeight="1" outlineLevel="1" x14ac:dyDescent="0.25">
      <c r="B16" s="825"/>
      <c r="C16" s="61" t="s">
        <v>27</v>
      </c>
      <c r="D16" s="41" t="s">
        <v>28</v>
      </c>
      <c r="E16" s="66"/>
      <c r="F16" s="365">
        <v>0</v>
      </c>
      <c r="G16" s="60"/>
      <c r="H16" s="365">
        <v>0</v>
      </c>
      <c r="L16" s="250" t="s">
        <v>152</v>
      </c>
      <c r="M16" s="258">
        <f>SUM(M13:M15)</f>
        <v>687.89848243040012</v>
      </c>
      <c r="N16" s="234"/>
      <c r="O16" s="245">
        <f>M16</f>
        <v>687.89848243040012</v>
      </c>
      <c r="P16" s="246"/>
      <c r="Q16" s="247">
        <f>Q15+M16-O16</f>
        <v>687.89848243040012</v>
      </c>
      <c r="R16" s="247">
        <f t="shared" si="0"/>
        <v>0</v>
      </c>
      <c r="S16" s="247">
        <v>0</v>
      </c>
      <c r="T16" s="247">
        <v>0</v>
      </c>
      <c r="U16" s="247">
        <f t="shared" si="1"/>
        <v>0</v>
      </c>
      <c r="V16" s="248">
        <f>Q16</f>
        <v>687.89848243040012</v>
      </c>
    </row>
    <row r="17" spans="2:22" s="47" customFormat="1" ht="15" hidden="1" customHeight="1" outlineLevel="1" x14ac:dyDescent="0.25">
      <c r="B17" s="825"/>
      <c r="C17" s="47" t="s">
        <v>12</v>
      </c>
      <c r="D17" s="41" t="s">
        <v>19</v>
      </c>
      <c r="E17" s="66"/>
      <c r="F17" s="62">
        <f>F23</f>
        <v>6.1744150530052604</v>
      </c>
      <c r="G17" s="66"/>
      <c r="H17" s="57">
        <f>'Demanda Preço &amp; Quantidade'!C27</f>
        <v>150</v>
      </c>
      <c r="L17" s="235" t="s">
        <v>161</v>
      </c>
      <c r="M17" s="256">
        <f>J39*C53</f>
        <v>0</v>
      </c>
      <c r="N17" s="236"/>
      <c r="O17" s="241"/>
      <c r="P17" s="242"/>
      <c r="Q17" s="243">
        <f>Q16+M17</f>
        <v>687.89848243040012</v>
      </c>
      <c r="R17" s="243">
        <f t="shared" si="0"/>
        <v>687.89848243040012</v>
      </c>
      <c r="S17" s="243">
        <f>IF(R17&gt;=0,IF(M17&gt;=0,Q16,Q17),IF(M17&gt;=0,S16,Q17))</f>
        <v>687.89848243040012</v>
      </c>
      <c r="T17" s="243">
        <f>IF(M17&gt;=0,M17,0)</f>
        <v>0</v>
      </c>
      <c r="U17" s="243">
        <f t="shared" si="1"/>
        <v>0</v>
      </c>
      <c r="V17" s="244">
        <f>SUM(T17:U17)</f>
        <v>0</v>
      </c>
    </row>
    <row r="18" spans="2:22" s="47" customFormat="1" ht="15" hidden="1" customHeight="1" outlineLevel="1" x14ac:dyDescent="0.25">
      <c r="B18" s="825"/>
      <c r="C18" s="47" t="s">
        <v>11</v>
      </c>
      <c r="D18" s="41" t="s">
        <v>19</v>
      </c>
      <c r="E18" s="66"/>
      <c r="F18" s="62">
        <f>F24</f>
        <v>6.7609071094185476</v>
      </c>
      <c r="G18" s="66"/>
      <c r="H18" s="57">
        <f>'Demanda Preço &amp; Quantidade'!C28</f>
        <v>0</v>
      </c>
      <c r="L18" s="235" t="s">
        <v>162</v>
      </c>
      <c r="M18" s="256">
        <f>J40*C53</f>
        <v>0</v>
      </c>
      <c r="N18" s="236"/>
      <c r="O18" s="241"/>
      <c r="P18" s="242"/>
      <c r="Q18" s="243">
        <f>Q17+M18</f>
        <v>687.89848243040012</v>
      </c>
      <c r="R18" s="243">
        <f t="shared" si="0"/>
        <v>0</v>
      </c>
      <c r="S18" s="243">
        <f>IF(R18&gt;=0,IF(M18&gt;=0,Q17,Q18),IF(M18&gt;=0,S17,Q18))</f>
        <v>687.89848243040012</v>
      </c>
      <c r="T18" s="243">
        <f>IF(M18&gt;=0,M18,0)</f>
        <v>0</v>
      </c>
      <c r="U18" s="243">
        <f t="shared" si="1"/>
        <v>0</v>
      </c>
      <c r="V18" s="244">
        <f>SUM(T18:U18)</f>
        <v>0</v>
      </c>
    </row>
    <row r="19" spans="2:22" s="47" customFormat="1" ht="15" hidden="1" customHeight="1" outlineLevel="1" x14ac:dyDescent="0.25">
      <c r="B19" s="298"/>
      <c r="C19" s="47" t="s">
        <v>87</v>
      </c>
      <c r="D19" s="41" t="s">
        <v>19</v>
      </c>
      <c r="E19" s="66"/>
      <c r="F19" s="62">
        <f>F25</f>
        <v>2.7424650541752702</v>
      </c>
      <c r="G19" s="272"/>
      <c r="H19" s="57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1557.6802507836985</v>
      </c>
      <c r="L19" s="235" t="s">
        <v>163</v>
      </c>
      <c r="M19" s="256">
        <f>J41*C53</f>
        <v>-21.508294499999998</v>
      </c>
      <c r="N19" s="236"/>
      <c r="O19" s="241"/>
      <c r="P19" s="242"/>
      <c r="Q19" s="243">
        <f>Q18+M19</f>
        <v>666.39018793040009</v>
      </c>
      <c r="R19" s="243">
        <f t="shared" si="0"/>
        <v>0</v>
      </c>
      <c r="S19" s="243">
        <f>IF(R19&gt;=0,IF(M19&gt;=0,Q18,Q19),IF(M19&gt;=0,S18,Q19))</f>
        <v>666.39018793040009</v>
      </c>
      <c r="T19" s="243">
        <f>IF(M19&gt;=0,M19,0)</f>
        <v>0</v>
      </c>
      <c r="U19" s="243">
        <f t="shared" si="1"/>
        <v>21.508294499999998</v>
      </c>
      <c r="V19" s="244">
        <f>SUM(T19:U19)</f>
        <v>21.508294499999998</v>
      </c>
    </row>
    <row r="20" spans="2:22" s="47" customFormat="1" ht="15" hidden="1" customHeight="1" outlineLevel="1" x14ac:dyDescent="0.25">
      <c r="D20" s="41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666.39018793040009</v>
      </c>
      <c r="R20" s="243">
        <f t="shared" si="0"/>
        <v>-21.508294499999998</v>
      </c>
      <c r="S20" s="243">
        <f>IF(R20&gt;=0,IF(M20&gt;=0,Q19,Q20),IF(M20&gt;=0,S19,Q20))</f>
        <v>666.39018793040009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25" t="s">
        <v>95</v>
      </c>
      <c r="C21" s="54" t="s">
        <v>24</v>
      </c>
      <c r="D21" s="41" t="s">
        <v>20</v>
      </c>
      <c r="F21" s="567">
        <v>0</v>
      </c>
      <c r="H21" s="69"/>
      <c r="L21" s="235" t="s">
        <v>165</v>
      </c>
      <c r="M21" s="256">
        <f>J43*C53</f>
        <v>-112.45235203125</v>
      </c>
      <c r="N21" s="236"/>
      <c r="O21" s="241"/>
      <c r="P21" s="242"/>
      <c r="Q21" s="243">
        <f>Q20+M21</f>
        <v>553.93783589915006</v>
      </c>
      <c r="R21" s="243">
        <f t="shared" si="0"/>
        <v>0</v>
      </c>
      <c r="S21" s="243">
        <f>IF(R21&gt;=0,IF(M21&gt;=0,Q20,Q21),IF(M21&gt;=0,S20,Q21))</f>
        <v>553.93783589915006</v>
      </c>
      <c r="T21" s="243">
        <f>IF(M21&gt;=0,M21,0)</f>
        <v>0</v>
      </c>
      <c r="U21" s="243">
        <f t="shared" si="1"/>
        <v>112.45235203125</v>
      </c>
      <c r="V21" s="244">
        <f>SUM(T21:U21)</f>
        <v>112.45235203125</v>
      </c>
    </row>
    <row r="22" spans="2:22" ht="15" hidden="1" customHeight="1" outlineLevel="1" thickBot="1" x14ac:dyDescent="0.3">
      <c r="B22" s="825"/>
      <c r="C22" s="54" t="s">
        <v>25</v>
      </c>
      <c r="D22" s="41" t="s">
        <v>28</v>
      </c>
      <c r="F22" s="365">
        <v>0</v>
      </c>
      <c r="H22" s="69"/>
      <c r="L22" s="250" t="s">
        <v>153</v>
      </c>
      <c r="M22" s="259">
        <f>M16+M17+M18+M19+M20+M21</f>
        <v>553.93783589915006</v>
      </c>
      <c r="N22" s="234"/>
      <c r="O22" s="251">
        <f>M22</f>
        <v>553.93783589915006</v>
      </c>
      <c r="P22" s="252"/>
      <c r="Q22" s="253">
        <f>Q21+M22-O22</f>
        <v>553.93783589915006</v>
      </c>
      <c r="R22" s="253">
        <f>M21</f>
        <v>-112.45235203125</v>
      </c>
      <c r="S22" s="253">
        <v>0</v>
      </c>
      <c r="T22" s="253">
        <v>0</v>
      </c>
      <c r="U22" s="253">
        <f t="shared" si="1"/>
        <v>0</v>
      </c>
      <c r="V22" s="254">
        <f>Q22</f>
        <v>553.93783589915006</v>
      </c>
    </row>
    <row r="23" spans="2:22" ht="15" hidden="1" customHeight="1" outlineLevel="1" thickTop="1" x14ac:dyDescent="0.25">
      <c r="B23" s="825"/>
      <c r="C23" s="54" t="s">
        <v>26</v>
      </c>
      <c r="D23" s="41" t="s">
        <v>19</v>
      </c>
      <c r="F23" s="62">
        <f>'C-Dados RT2 Simplif.'!C126</f>
        <v>6.1744150530052604</v>
      </c>
      <c r="H23" s="70"/>
    </row>
    <row r="24" spans="2:22" ht="15" hidden="1" customHeight="1" outlineLevel="1" x14ac:dyDescent="0.25">
      <c r="B24" s="825"/>
      <c r="C24" s="54" t="s">
        <v>96</v>
      </c>
      <c r="D24" s="41" t="s">
        <v>19</v>
      </c>
      <c r="F24" s="62">
        <f>'C-Dados RT2 Simplif.'!C129</f>
        <v>6.7609071094185476</v>
      </c>
      <c r="H24" s="69"/>
    </row>
    <row r="25" spans="2:22" hidden="1" outlineLevel="1" x14ac:dyDescent="0.25">
      <c r="B25" s="825"/>
      <c r="C25" s="54" t="s">
        <v>87</v>
      </c>
      <c r="D25" s="41" t="s">
        <v>19</v>
      </c>
      <c r="F25" s="62">
        <f>('C-Dados RT2 Simplif.'!C62+'C-Dados RT2 Simplif.'!C63+'C-Dados RT2 Simplif.'!C64+'C-Dados RT2 Simplif.'!C65+'C-Dados RT2 Simplif.'!C66+'C-Dados RT2 Simplif.'!C67)/1000</f>
        <v>2.7424650541752702</v>
      </c>
    </row>
    <row r="26" spans="2:22" s="47" customFormat="1" ht="15.75" thickTop="1" x14ac:dyDescent="0.25">
      <c r="B26" s="53"/>
      <c r="C26" s="53"/>
      <c r="D26" s="41"/>
      <c r="F26" s="55"/>
      <c r="I26" s="54"/>
      <c r="N26" s="61"/>
    </row>
    <row r="27" spans="2:22" x14ac:dyDescent="0.25">
      <c r="F27" s="72"/>
    </row>
    <row r="28" spans="2:22" s="47" customFormat="1" ht="40.15" customHeight="1" collapsed="1" x14ac:dyDescent="0.25">
      <c r="B28" s="826" t="s">
        <v>97</v>
      </c>
      <c r="C28" s="826"/>
      <c r="D28" s="826"/>
      <c r="E28" s="826"/>
      <c r="F28" s="826"/>
      <c r="G28" s="826"/>
      <c r="H28" s="826"/>
      <c r="I28" s="826"/>
      <c r="J28" s="826"/>
      <c r="K28" s="826"/>
    </row>
    <row r="29" spans="2:22" s="47" customFormat="1" ht="4.9000000000000004" hidden="1" customHeight="1" outlineLevel="1" x14ac:dyDescent="0.25">
      <c r="D29" s="41"/>
    </row>
    <row r="30" spans="2:22" s="74" customFormat="1" ht="18.75" hidden="1" outlineLevel="1" x14ac:dyDescent="0.3">
      <c r="B30" s="812" t="s">
        <v>17</v>
      </c>
      <c r="C30" s="812"/>
      <c r="D30" s="73"/>
      <c r="F30" s="302"/>
      <c r="H30" s="302"/>
      <c r="J30" s="302"/>
    </row>
    <row r="31" spans="2:22" s="73" customFormat="1" ht="15.75" hidden="1" outlineLevel="1" x14ac:dyDescent="0.25">
      <c r="B31" s="812"/>
      <c r="C31" s="812"/>
      <c r="F31" s="75" t="s">
        <v>10</v>
      </c>
      <c r="H31" s="75" t="s">
        <v>10</v>
      </c>
      <c r="J31" s="75" t="s">
        <v>10</v>
      </c>
    </row>
    <row r="32" spans="2:22" ht="4.9000000000000004" hidden="1" customHeight="1" outlineLevel="1" x14ac:dyDescent="0.25"/>
    <row r="33" spans="2:11" hidden="1" outlineLevel="1" x14ac:dyDescent="0.25">
      <c r="B33" s="828" t="s">
        <v>14</v>
      </c>
      <c r="C33" s="61" t="s">
        <v>4</v>
      </c>
      <c r="D33" s="76" t="s">
        <v>20</v>
      </c>
      <c r="E33" s="66"/>
      <c r="F33" s="77">
        <f>'C-Dados RT2 Simplif.'!C108</f>
        <v>1138.1692238576566</v>
      </c>
      <c r="G33" s="66"/>
      <c r="H33" s="67">
        <f>H9</f>
        <v>0</v>
      </c>
      <c r="I33" s="78"/>
      <c r="J33" s="79">
        <f>($F$33)*$H$33*(1-'C-Dados RT2 Simplif.'!$C$93)*(1-'C-Dados RT2 Simplif.'!$C$86)/'C-Dados RT2 Simplif.'!$C$105</f>
        <v>0</v>
      </c>
      <c r="K33" s="78"/>
    </row>
    <row r="34" spans="2:11" hidden="1" outlineLevel="1" x14ac:dyDescent="0.25">
      <c r="B34" s="828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0</v>
      </c>
      <c r="I34" s="78"/>
      <c r="J34" s="79">
        <f>-($F$34)*$H$34*(1+'C-Dados RT2 Simplif.'!$C$93)/'C-Dados RT2 Simplif.'!$C$105</f>
        <v>0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28" t="s">
        <v>15</v>
      </c>
      <c r="C36" s="61" t="s">
        <v>4</v>
      </c>
      <c r="D36" s="76" t="s">
        <v>20</v>
      </c>
      <c r="E36" s="66"/>
      <c r="F36" s="81">
        <f t="shared" ref="F36:F43" si="2">F12</f>
        <v>0</v>
      </c>
      <c r="G36" s="66"/>
      <c r="H36" s="67">
        <f>H12</f>
        <v>0</v>
      </c>
      <c r="I36" s="78"/>
      <c r="J36" s="79">
        <f>-F36*$H$36*(1+'C-Dados RT2 Simplif.'!$C$93)/'C-Dados RT2 Simplif.'!$C$105</f>
        <v>0</v>
      </c>
      <c r="K36" s="78"/>
    </row>
    <row r="37" spans="2:11" hidden="1" outlineLevel="1" x14ac:dyDescent="0.25">
      <c r="B37" s="828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0</v>
      </c>
      <c r="I37" s="78"/>
      <c r="J37" s="79">
        <f>-F37*$H$37*(1+'C-Dados RT2 Simplif.'!$C$93)/'C-Dados RT2 Simplif.'!$C$105</f>
        <v>0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28" t="s">
        <v>16</v>
      </c>
      <c r="C39" s="61" t="s">
        <v>4</v>
      </c>
      <c r="D39" s="76" t="s">
        <v>20</v>
      </c>
      <c r="E39" s="66"/>
      <c r="F39" s="86">
        <f>F15</f>
        <v>0</v>
      </c>
      <c r="G39" s="66"/>
      <c r="H39" s="67">
        <f>H15</f>
        <v>0</v>
      </c>
      <c r="I39" s="78"/>
      <c r="J39" s="79">
        <f>-($F$39)*$H$39*(1+'C-Dados RT2 Simplif.'!$C$93)*(1+'C-Dados RT2 Simplif.'!$C$86)/'C-Dados RT2 Simplif.'!$C$105</f>
        <v>0</v>
      </c>
      <c r="K39" s="78"/>
    </row>
    <row r="40" spans="2:11" hidden="1" outlineLevel="1" x14ac:dyDescent="0.25">
      <c r="B40" s="828"/>
      <c r="C40" s="61" t="s">
        <v>27</v>
      </c>
      <c r="D40" s="80" t="s">
        <v>28</v>
      </c>
      <c r="E40" s="66"/>
      <c r="F40" s="87">
        <f>F16</f>
        <v>0</v>
      </c>
      <c r="G40" s="66"/>
      <c r="H40" s="82">
        <f>H16</f>
        <v>0</v>
      </c>
      <c r="I40" s="78"/>
      <c r="J40" s="79">
        <f>-($F$40)*$H$40*1000*(1+'C-Dados RT2 Simplif.'!$C$93)/'C-Dados RT2 Simplif.'!$C$105</f>
        <v>0</v>
      </c>
      <c r="K40" s="78"/>
    </row>
    <row r="41" spans="2:11" hidden="1" outlineLevel="1" x14ac:dyDescent="0.25">
      <c r="B41" s="828"/>
      <c r="C41" s="61" t="s">
        <v>12</v>
      </c>
      <c r="D41" s="88" t="s">
        <v>19</v>
      </c>
      <c r="E41" s="66"/>
      <c r="F41" s="81">
        <f t="shared" si="2"/>
        <v>6.1744150530052604</v>
      </c>
      <c r="G41" s="66"/>
      <c r="H41" s="67">
        <f>H17</f>
        <v>150</v>
      </c>
      <c r="I41" s="78"/>
      <c r="J41" s="79">
        <f>-F41*$H$41*1000*(1-'C-Dados RT2 Simplif.'!$C$93)*(1-'C-Dados RT2 Simplif.'!$C$89)/'C-Dados RT2 Simplif.'!$C$105</f>
        <v>-21.508294499999998</v>
      </c>
      <c r="K41" s="78"/>
    </row>
    <row r="42" spans="2:11" hidden="1" outlineLevel="1" x14ac:dyDescent="0.25">
      <c r="B42" s="828"/>
      <c r="C42" s="61" t="s">
        <v>11</v>
      </c>
      <c r="D42" s="80" t="s">
        <v>19</v>
      </c>
      <c r="E42" s="66"/>
      <c r="F42" s="81">
        <f t="shared" si="2"/>
        <v>6.7609071094185476</v>
      </c>
      <c r="G42" s="66"/>
      <c r="H42" s="67">
        <f>H18</f>
        <v>0</v>
      </c>
      <c r="I42" s="78"/>
      <c r="J42" s="79">
        <f>-F42*$H$42*1000*(1-'C-Dados RT2 Simplif.'!$C$93)*(1-'C-Dados RT2 Simplif.'!$C$89)/'C-Dados RT2 Simplif.'!$C$105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2.7424650541752702</v>
      </c>
      <c r="G43" s="66"/>
      <c r="H43" s="67">
        <f>H19</f>
        <v>1557.6802507836985</v>
      </c>
      <c r="I43" s="78"/>
      <c r="J43" s="79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</f>
        <v>-112.45235203125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6" customHeight="1" x14ac:dyDescent="0.25">
      <c r="B46" s="554" t="s">
        <v>98</v>
      </c>
      <c r="C46" s="555"/>
      <c r="D46" s="555"/>
      <c r="E46" s="555"/>
      <c r="F46" s="555"/>
      <c r="G46" s="555"/>
      <c r="H46" s="555"/>
      <c r="I46" s="89"/>
      <c r="J46" s="301"/>
      <c r="K46" s="89"/>
    </row>
    <row r="47" spans="2:11" s="73" customFormat="1" ht="15.6" customHeight="1" x14ac:dyDescent="0.25">
      <c r="B47" s="556"/>
      <c r="C47" s="557"/>
      <c r="D47" s="557"/>
      <c r="E47" s="557"/>
      <c r="F47" s="557"/>
      <c r="G47" s="557"/>
      <c r="H47" s="557"/>
      <c r="I47" s="49"/>
      <c r="J47" s="51" t="s">
        <v>10</v>
      </c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11" ht="25.15" customHeight="1" x14ac:dyDescent="0.25">
      <c r="B49" s="356" t="s">
        <v>99</v>
      </c>
      <c r="C49" s="357"/>
      <c r="D49" s="357"/>
      <c r="E49" s="90"/>
      <c r="F49" s="48"/>
      <c r="H49" s="357"/>
      <c r="I49" s="89"/>
      <c r="J49" s="91">
        <f>SUM(J33:J37)+SUM(J39:J43)*C53</f>
        <v>-133.96064653125001</v>
      </c>
      <c r="K49" s="49"/>
    </row>
    <row r="50" spans="2:11" ht="4.9000000000000004" customHeight="1" x14ac:dyDescent="0.25">
      <c r="B50" s="48"/>
      <c r="C50" s="48"/>
      <c r="D50" s="48"/>
      <c r="E50" s="48"/>
      <c r="F50" s="48"/>
      <c r="H50" s="48"/>
      <c r="I50" s="89"/>
      <c r="J50" s="91"/>
      <c r="K50" s="49"/>
    </row>
    <row r="51" spans="2:11" ht="25.15" customHeight="1" x14ac:dyDescent="0.25">
      <c r="B51" s="358" t="s">
        <v>100</v>
      </c>
      <c r="C51" s="359"/>
      <c r="D51" s="359"/>
      <c r="E51" s="90"/>
      <c r="F51" s="48"/>
      <c r="H51" s="359"/>
      <c r="I51" s="89"/>
      <c r="J51" s="300">
        <f>'C-Dados RT2 Simplif.'!C6+J33</f>
        <v>254.60848243040007</v>
      </c>
      <c r="K51" s="49"/>
    </row>
    <row r="52" spans="2:11" ht="4.9000000000000004" customHeight="1" x14ac:dyDescent="0.25">
      <c r="B52" s="48"/>
      <c r="C52" s="48"/>
      <c r="D52" s="48"/>
      <c r="E52" s="48"/>
      <c r="F52" s="48"/>
      <c r="H52" s="48"/>
      <c r="I52" s="89"/>
      <c r="J52" s="94"/>
      <c r="K52" s="49"/>
    </row>
    <row r="53" spans="2:11" ht="25.15" customHeight="1" x14ac:dyDescent="0.25">
      <c r="B53" s="360" t="s">
        <v>101</v>
      </c>
      <c r="C53" s="580">
        <f>'Demanda Preço &amp; Quantidade'!D10</f>
        <v>1</v>
      </c>
      <c r="D53" s="361"/>
      <c r="E53" s="90"/>
      <c r="H53" s="362"/>
      <c r="I53" s="89"/>
      <c r="J53" s="827"/>
      <c r="K53" s="827"/>
    </row>
    <row r="54" spans="2:11" ht="4.9000000000000004" customHeight="1" x14ac:dyDescent="0.25">
      <c r="B54" s="48"/>
      <c r="C54" s="48"/>
      <c r="D54" s="48"/>
      <c r="E54" s="48"/>
      <c r="F54" s="48"/>
      <c r="H54" s="93"/>
      <c r="I54" s="96"/>
      <c r="J54" s="97"/>
      <c r="K54" s="98"/>
    </row>
    <row r="55" spans="2:11" ht="25.15" customHeight="1" x14ac:dyDescent="0.25">
      <c r="B55" s="363" t="s">
        <v>102</v>
      </c>
      <c r="C55" s="364"/>
      <c r="D55" s="364"/>
      <c r="E55" s="90"/>
      <c r="F55" s="48"/>
      <c r="H55" s="364"/>
      <c r="I55" s="49"/>
      <c r="J55" s="99">
        <f>$J$51+J49+M8+M9</f>
        <v>553.93783589915006</v>
      </c>
      <c r="K55" s="100"/>
    </row>
    <row r="56" spans="2:11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11" ht="18.75" x14ac:dyDescent="0.3">
      <c r="E57" s="103"/>
      <c r="G57" s="103"/>
      <c r="H57" s="103"/>
      <c r="I57" s="103"/>
      <c r="J57" s="103"/>
      <c r="K57" s="103"/>
    </row>
    <row r="58" spans="2:11" customFormat="1" x14ac:dyDescent="0.25">
      <c r="B58" s="61"/>
      <c r="C58" s="61"/>
      <c r="D58" s="71"/>
      <c r="E58" s="61"/>
      <c r="F58" s="61"/>
      <c r="G58" s="61"/>
      <c r="H58" s="61"/>
      <c r="I58" s="61"/>
    </row>
    <row r="59" spans="2:11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</row>
    <row r="60" spans="2:11" s="233" customFormat="1" ht="15.75" x14ac:dyDescent="0.25"/>
    <row r="61" spans="2:11" customFormat="1" x14ac:dyDescent="0.25">
      <c r="B61" s="61"/>
      <c r="C61" s="61"/>
      <c r="D61" s="71"/>
      <c r="E61" s="61"/>
      <c r="F61" s="61"/>
      <c r="G61" s="61"/>
      <c r="H61" s="61"/>
      <c r="I61" s="61"/>
    </row>
    <row r="62" spans="2:11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11" s="233" customFormat="1" ht="15.75" x14ac:dyDescent="0.25"/>
    <row r="64" spans="2:11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2"/>
  <sheetViews>
    <sheetView zoomScale="75" zoomScaleNormal="75" workbookViewId="0">
      <selection activeCell="B147" sqref="B147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4" customWidth="1"/>
    <col min="3" max="3" width="13.7109375" style="105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6"/>
      <c r="E1" s="106"/>
      <c r="F1" s="106"/>
      <c r="G1" s="106"/>
      <c r="H1" s="106"/>
    </row>
    <row r="2" spans="1:60" ht="22.5" thickTop="1" thickBot="1" x14ac:dyDescent="0.3">
      <c r="B2" s="11" t="s">
        <v>103</v>
      </c>
      <c r="C2" s="794" t="s">
        <v>413</v>
      </c>
      <c r="D2" s="795"/>
      <c r="E2" s="795"/>
      <c r="F2" s="795"/>
      <c r="G2" s="795"/>
      <c r="H2" s="796"/>
    </row>
    <row r="3" spans="1:60" ht="4.9000000000000004" customHeight="1" thickTop="1" thickBot="1" x14ac:dyDescent="0.3"/>
    <row r="4" spans="1:60" ht="19.5" thickTop="1" x14ac:dyDescent="0.25">
      <c r="B4" s="107" t="str">
        <f>B104</f>
        <v>Quant. RSU (Ano 1)</v>
      </c>
      <c r="C4" s="108">
        <f>C104</f>
        <v>101.66</v>
      </c>
      <c r="D4" s="109" t="str">
        <f>D104</f>
        <v>t/d</v>
      </c>
      <c r="E4" s="110"/>
      <c r="F4" s="110"/>
      <c r="G4" s="110"/>
      <c r="H4" s="111"/>
    </row>
    <row r="5" spans="1:60" ht="19.899999999999999" customHeight="1" x14ac:dyDescent="0.25">
      <c r="B5" s="12" t="s">
        <v>358</v>
      </c>
      <c r="C5" s="13">
        <v>292.94394556662456</v>
      </c>
      <c r="D5" s="14" t="s">
        <v>8</v>
      </c>
      <c r="E5" s="112"/>
      <c r="F5" s="112"/>
      <c r="G5" s="112"/>
      <c r="H5" s="113"/>
    </row>
    <row r="6" spans="1:60" ht="19.899999999999999" customHeight="1" x14ac:dyDescent="0.25">
      <c r="B6" s="12" t="s">
        <v>359</v>
      </c>
      <c r="C6" s="13">
        <v>318.85362727861343</v>
      </c>
      <c r="D6" s="14" t="s">
        <v>8</v>
      </c>
      <c r="E6" s="112"/>
      <c r="F6" s="112"/>
      <c r="G6" s="112"/>
      <c r="H6" s="113"/>
    </row>
    <row r="7" spans="1:60" ht="18.75" x14ac:dyDescent="0.25">
      <c r="B7" s="12" t="s">
        <v>18</v>
      </c>
      <c r="C7" s="13">
        <v>35</v>
      </c>
      <c r="D7" s="14" t="s">
        <v>3</v>
      </c>
      <c r="E7" s="112"/>
      <c r="F7" s="112"/>
      <c r="G7" s="112"/>
      <c r="H7" s="113"/>
    </row>
    <row r="8" spans="1:60" ht="19.5" thickBot="1" x14ac:dyDescent="0.3">
      <c r="B8" s="15" t="s">
        <v>30</v>
      </c>
      <c r="C8" s="230">
        <v>9.611299999999999E-2</v>
      </c>
      <c r="D8" s="16" t="s">
        <v>1</v>
      </c>
      <c r="E8" s="114"/>
      <c r="F8" s="114"/>
      <c r="G8" s="114"/>
      <c r="H8" s="115"/>
    </row>
    <row r="9" spans="1:60" ht="4.9000000000000004" customHeight="1" thickTop="1" thickBot="1" x14ac:dyDescent="0.3"/>
    <row r="10" spans="1:60" s="116" customFormat="1" ht="19.899999999999999" customHeight="1" thickTop="1" x14ac:dyDescent="0.25">
      <c r="B10" s="797" t="s">
        <v>396</v>
      </c>
      <c r="C10" s="798"/>
      <c r="D10" s="801" t="s">
        <v>31</v>
      </c>
      <c r="E10" s="802"/>
      <c r="F10" s="802"/>
      <c r="G10" s="802"/>
      <c r="H10" s="803"/>
      <c r="J10" s="117" t="s">
        <v>104</v>
      </c>
      <c r="K10" s="117" t="s">
        <v>32</v>
      </c>
      <c r="L10" s="117" t="s">
        <v>31</v>
      </c>
      <c r="M10" s="117" t="s">
        <v>33</v>
      </c>
    </row>
    <row r="11" spans="1:60" s="116" customFormat="1" ht="19.899999999999999" customHeight="1" thickBot="1" x14ac:dyDescent="0.3">
      <c r="B11" s="799"/>
      <c r="C11" s="800"/>
      <c r="D11" s="804"/>
      <c r="E11" s="805"/>
      <c r="F11" s="805"/>
      <c r="G11" s="805"/>
      <c r="H11" s="806"/>
    </row>
    <row r="12" spans="1:60" ht="4.9000000000000004" customHeight="1" thickTop="1" thickBot="1" x14ac:dyDescent="0.3"/>
    <row r="13" spans="1:60" s="118" customFormat="1" ht="25.15" customHeight="1" collapsed="1" thickTop="1" thickBot="1" x14ac:dyDescent="0.3">
      <c r="B13" s="807" t="s">
        <v>34</v>
      </c>
      <c r="C13" s="808"/>
      <c r="D13" s="808"/>
      <c r="E13" s="808"/>
      <c r="F13" s="808"/>
      <c r="G13" s="808"/>
      <c r="H13" s="809"/>
      <c r="I13" s="1"/>
      <c r="J13" s="1"/>
    </row>
    <row r="14" spans="1:60" s="119" customFormat="1" ht="15" hidden="1" customHeight="1" outlineLevel="1" thickTop="1" x14ac:dyDescent="0.25">
      <c r="B14" s="119" t="s">
        <v>428</v>
      </c>
      <c r="C14" s="120"/>
      <c r="D14" s="121">
        <v>0</v>
      </c>
      <c r="E14" s="119">
        <v>1</v>
      </c>
      <c r="F14" s="119">
        <v>2</v>
      </c>
      <c r="G14" s="119">
        <v>3</v>
      </c>
      <c r="H14" s="119">
        <v>4</v>
      </c>
      <c r="I14" s="119">
        <v>5</v>
      </c>
      <c r="J14" s="119">
        <v>6</v>
      </c>
      <c r="K14" s="119">
        <v>7</v>
      </c>
      <c r="L14" s="119">
        <v>8</v>
      </c>
      <c r="M14" s="119">
        <v>9</v>
      </c>
      <c r="N14" s="119">
        <v>10</v>
      </c>
      <c r="O14" s="119">
        <v>11</v>
      </c>
      <c r="P14" s="119">
        <v>12</v>
      </c>
      <c r="Q14" s="119">
        <v>13</v>
      </c>
      <c r="R14" s="119">
        <v>14</v>
      </c>
      <c r="S14" s="119">
        <v>15</v>
      </c>
      <c r="T14" s="119">
        <v>16</v>
      </c>
      <c r="U14" s="119">
        <v>17</v>
      </c>
      <c r="V14" s="119">
        <v>18</v>
      </c>
      <c r="W14" s="119">
        <v>19</v>
      </c>
      <c r="X14" s="119">
        <v>20</v>
      </c>
      <c r="Y14" s="119">
        <v>21</v>
      </c>
      <c r="Z14" s="119">
        <v>22</v>
      </c>
      <c r="AA14" s="119">
        <v>23</v>
      </c>
      <c r="AB14" s="119">
        <v>24</v>
      </c>
      <c r="AC14" s="119">
        <v>25</v>
      </c>
      <c r="AD14" s="119">
        <v>26</v>
      </c>
      <c r="AE14" s="119">
        <v>27</v>
      </c>
      <c r="AF14" s="119">
        <v>28</v>
      </c>
      <c r="AG14" s="119">
        <v>29</v>
      </c>
      <c r="AH14" s="119">
        <v>30</v>
      </c>
      <c r="AI14" s="119">
        <v>31</v>
      </c>
      <c r="AJ14" s="119">
        <v>32</v>
      </c>
      <c r="AK14" s="119">
        <v>33</v>
      </c>
      <c r="AL14" s="119">
        <v>34</v>
      </c>
      <c r="AM14" s="119">
        <v>35</v>
      </c>
      <c r="AN14" s="119">
        <v>36</v>
      </c>
      <c r="AO14" s="119">
        <v>37</v>
      </c>
      <c r="AP14" s="119">
        <v>38</v>
      </c>
      <c r="AQ14" s="119">
        <v>39</v>
      </c>
      <c r="AR14" s="119">
        <v>40</v>
      </c>
      <c r="AS14" s="119">
        <v>41</v>
      </c>
      <c r="AT14" s="119">
        <v>42</v>
      </c>
      <c r="AU14" s="119">
        <v>43</v>
      </c>
      <c r="AV14" s="119">
        <v>44</v>
      </c>
      <c r="AW14" s="119">
        <v>45</v>
      </c>
      <c r="AX14" s="119">
        <v>46</v>
      </c>
      <c r="AY14" s="119">
        <v>47</v>
      </c>
      <c r="AZ14" s="119">
        <v>48</v>
      </c>
      <c r="BA14" s="119">
        <v>49</v>
      </c>
      <c r="BB14" s="119">
        <v>50</v>
      </c>
      <c r="BC14" s="119">
        <v>51</v>
      </c>
      <c r="BD14" s="119">
        <v>52</v>
      </c>
      <c r="BE14" s="119">
        <v>0</v>
      </c>
      <c r="BF14" s="119">
        <v>0</v>
      </c>
      <c r="BG14" s="119">
        <v>0</v>
      </c>
      <c r="BH14" s="119">
        <v>0</v>
      </c>
    </row>
    <row r="15" spans="1:60" s="127" customFormat="1" ht="15" hidden="1" customHeight="1" outlineLevel="1" x14ac:dyDescent="0.25">
      <c r="A15" s="788" t="s">
        <v>35</v>
      </c>
      <c r="B15" s="122" t="s">
        <v>36</v>
      </c>
      <c r="C15" s="123"/>
      <c r="D15" s="124">
        <v>1</v>
      </c>
      <c r="E15" s="125">
        <v>1</v>
      </c>
      <c r="F15" s="125">
        <v>1</v>
      </c>
      <c r="G15" s="125">
        <v>1</v>
      </c>
      <c r="H15" s="125">
        <v>1</v>
      </c>
      <c r="I15" s="125">
        <v>1</v>
      </c>
      <c r="J15" s="125">
        <v>1</v>
      </c>
      <c r="K15" s="125">
        <v>1</v>
      </c>
      <c r="L15" s="125">
        <v>1</v>
      </c>
      <c r="M15" s="125">
        <v>1</v>
      </c>
      <c r="N15" s="125">
        <v>1</v>
      </c>
      <c r="O15" s="125">
        <v>1</v>
      </c>
      <c r="P15" s="125">
        <v>1</v>
      </c>
      <c r="Q15" s="125">
        <v>1</v>
      </c>
      <c r="R15" s="125">
        <v>1</v>
      </c>
      <c r="S15" s="125">
        <v>1</v>
      </c>
      <c r="T15" s="125">
        <v>1</v>
      </c>
      <c r="U15" s="125">
        <v>1</v>
      </c>
      <c r="V15" s="125">
        <v>1</v>
      </c>
      <c r="W15" s="125">
        <v>1</v>
      </c>
      <c r="X15" s="125">
        <v>1</v>
      </c>
      <c r="Y15" s="125">
        <v>1</v>
      </c>
      <c r="Z15" s="125">
        <v>1</v>
      </c>
      <c r="AA15" s="125">
        <v>1</v>
      </c>
      <c r="AB15" s="125">
        <v>1</v>
      </c>
      <c r="AC15" s="125">
        <v>1</v>
      </c>
      <c r="AD15" s="125">
        <v>1</v>
      </c>
      <c r="AE15" s="125">
        <v>1</v>
      </c>
      <c r="AF15" s="125">
        <v>1</v>
      </c>
      <c r="AG15" s="125">
        <v>1</v>
      </c>
      <c r="AH15" s="125">
        <v>1</v>
      </c>
      <c r="AI15" s="125">
        <v>1</v>
      </c>
      <c r="AJ15" s="125">
        <v>1</v>
      </c>
      <c r="AK15" s="125">
        <v>1</v>
      </c>
      <c r="AL15" s="125">
        <v>1</v>
      </c>
      <c r="AM15" s="125">
        <v>0</v>
      </c>
      <c r="AN15" s="125">
        <v>0</v>
      </c>
      <c r="AO15" s="125">
        <v>0</v>
      </c>
      <c r="AP15" s="125">
        <v>0</v>
      </c>
      <c r="AQ15" s="125">
        <v>0</v>
      </c>
      <c r="AR15" s="125">
        <v>0</v>
      </c>
      <c r="AS15" s="125">
        <v>0</v>
      </c>
      <c r="AT15" s="125">
        <v>0</v>
      </c>
      <c r="AU15" s="125">
        <v>0</v>
      </c>
      <c r="AV15" s="125">
        <v>0</v>
      </c>
      <c r="AW15" s="125">
        <v>0</v>
      </c>
      <c r="AX15" s="125">
        <v>0</v>
      </c>
      <c r="AY15" s="125">
        <v>0</v>
      </c>
      <c r="AZ15" s="125">
        <v>0</v>
      </c>
      <c r="BA15" s="125">
        <v>0</v>
      </c>
      <c r="BB15" s="125">
        <v>0</v>
      </c>
      <c r="BC15" s="125">
        <v>0</v>
      </c>
      <c r="BD15" s="125">
        <v>0</v>
      </c>
      <c r="BE15" s="125">
        <v>0</v>
      </c>
      <c r="BF15" s="125">
        <v>0</v>
      </c>
      <c r="BG15" s="125">
        <v>0</v>
      </c>
      <c r="BH15" s="126">
        <v>0</v>
      </c>
    </row>
    <row r="16" spans="1:60" s="131" customFormat="1" ht="15" hidden="1" customHeight="1" outlineLevel="1" x14ac:dyDescent="0.25">
      <c r="A16" s="788"/>
      <c r="B16" s="104" t="s">
        <v>429</v>
      </c>
      <c r="C16" s="128">
        <f>SUMIF($D$15:$BG$15,1,D16:BG16)</f>
        <v>1193646.2820174235</v>
      </c>
      <c r="D16" s="129">
        <v>31717.919999999998</v>
      </c>
      <c r="E16" s="130">
        <v>31866.994223999995</v>
      </c>
      <c r="F16" s="130">
        <v>32016.769096852793</v>
      </c>
      <c r="G16" s="130">
        <v>32167.247911607999</v>
      </c>
      <c r="H16" s="130">
        <v>32318.433976792556</v>
      </c>
      <c r="I16" s="130">
        <v>32470.330616483479</v>
      </c>
      <c r="J16" s="130">
        <v>32622.941170380949</v>
      </c>
      <c r="K16" s="130">
        <v>32776.268993881735</v>
      </c>
      <c r="L16" s="130">
        <v>32930.317458152975</v>
      </c>
      <c r="M16" s="130">
        <v>33085.089950206289</v>
      </c>
      <c r="N16" s="130">
        <v>33240.589872972254</v>
      </c>
      <c r="O16" s="130">
        <v>33396.820645375221</v>
      </c>
      <c r="P16" s="130">
        <v>33553.785702408481</v>
      </c>
      <c r="Q16" s="130">
        <v>33711.4884952098</v>
      </c>
      <c r="R16" s="130">
        <v>33869.932491137282</v>
      </c>
      <c r="S16" s="130">
        <v>33553.785702408481</v>
      </c>
      <c r="T16" s="130">
        <v>33711.4884952098</v>
      </c>
      <c r="U16" s="130">
        <v>33869.932491137282</v>
      </c>
      <c r="V16" s="130">
        <v>34029.121173845626</v>
      </c>
      <c r="W16" s="130">
        <v>34189.058043362696</v>
      </c>
      <c r="X16" s="130">
        <v>34349.7466161665</v>
      </c>
      <c r="Y16" s="130">
        <v>34511.190425262481</v>
      </c>
      <c r="Z16" s="130">
        <v>34673.39302026121</v>
      </c>
      <c r="AA16" s="130">
        <v>34836.357967456432</v>
      </c>
      <c r="AB16" s="130">
        <v>35000.088849903477</v>
      </c>
      <c r="AC16" s="130">
        <v>35164.58926749802</v>
      </c>
      <c r="AD16" s="130">
        <v>35329.862837055261</v>
      </c>
      <c r="AE16" s="130">
        <v>35495.913192389417</v>
      </c>
      <c r="AF16" s="130">
        <v>35662.743984393644</v>
      </c>
      <c r="AG16" s="130">
        <v>35830.358881120294</v>
      </c>
      <c r="AH16" s="130">
        <v>35998.761567861555</v>
      </c>
      <c r="AI16" s="130">
        <v>36167.955747230502</v>
      </c>
      <c r="AJ16" s="130">
        <v>36337.945139242482</v>
      </c>
      <c r="AK16" s="130">
        <v>36508.733481396921</v>
      </c>
      <c r="AL16" s="130">
        <v>36680.324528759484</v>
      </c>
      <c r="AM16" s="130">
        <v>36852.722054044651</v>
      </c>
      <c r="AN16" s="130">
        <v>37025.929847698659</v>
      </c>
      <c r="AO16" s="130">
        <v>37199.95171798284</v>
      </c>
      <c r="AP16" s="130">
        <v>37374.79149105736</v>
      </c>
      <c r="AQ16" s="130">
        <v>37550.453011065329</v>
      </c>
      <c r="AR16" s="130">
        <v>37726.940140217332</v>
      </c>
      <c r="AS16" s="130">
        <v>37904.256758876349</v>
      </c>
      <c r="AT16" s="130">
        <v>38082.406765643063</v>
      </c>
      <c r="AU16" s="130">
        <v>38261.394077441582</v>
      </c>
      <c r="AV16" s="130">
        <v>38441.222629605552</v>
      </c>
      <c r="AW16" s="130">
        <v>38621.896375964694</v>
      </c>
      <c r="AX16" s="130">
        <v>38803.419288931727</v>
      </c>
      <c r="AY16" s="130">
        <v>38985.795359589705</v>
      </c>
      <c r="AZ16" s="130">
        <v>39169.028597779776</v>
      </c>
      <c r="BA16" s="130">
        <v>39353.123032189338</v>
      </c>
      <c r="BB16" s="130">
        <v>39538.082710440627</v>
      </c>
      <c r="BC16" s="130">
        <v>39723.911699179698</v>
      </c>
      <c r="BD16" s="130">
        <v>39910.614084165842</v>
      </c>
      <c r="BE16" s="130">
        <v>40098.193970361419</v>
      </c>
      <c r="BF16" s="130">
        <v>40286.655482022114</v>
      </c>
      <c r="BG16" s="130">
        <v>40476.002762787612</v>
      </c>
      <c r="BH16" s="130">
        <v>0</v>
      </c>
    </row>
    <row r="17" spans="1:60" ht="15" hidden="1" customHeight="1" outlineLevel="1" x14ac:dyDescent="0.25">
      <c r="A17" s="105"/>
      <c r="C17" s="132"/>
      <c r="D17" s="133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</row>
    <row r="18" spans="1:60" ht="15" hidden="1" customHeight="1" outlineLevel="1" x14ac:dyDescent="0.25">
      <c r="A18" s="135">
        <f>C18*1000000/$C$16</f>
        <v>79.909999868152227</v>
      </c>
      <c r="B18" s="136" t="s">
        <v>430</v>
      </c>
      <c r="C18" s="137">
        <f>SUMIF($D$15:$BG$15,1,D18:BG18)</f>
        <v>95.384274238632713</v>
      </c>
      <c r="D18" s="138">
        <v>28.889114116753916</v>
      </c>
      <c r="E18" s="8">
        <v>27.83788511364223</v>
      </c>
      <c r="F18" s="8">
        <v>38.65727500823656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</row>
    <row r="19" spans="1:60" ht="15" hidden="1" customHeight="1" outlineLevel="1" x14ac:dyDescent="0.25">
      <c r="A19" s="135">
        <f>C19*1000000/$C$16</f>
        <v>72.903067355420674</v>
      </c>
      <c r="B19" s="139" t="s">
        <v>37</v>
      </c>
      <c r="C19" s="132">
        <f>SUMIF($D$15:$BG$15,1,D19:BG19)</f>
        <v>87.020475296463701</v>
      </c>
      <c r="D19" s="138">
        <f t="shared" ref="D19:AJ19" si="0">NPV($C$8,D18:D18)</f>
        <v>26.355963405920665</v>
      </c>
      <c r="E19" s="8">
        <f t="shared" si="0"/>
        <v>25.396911735963567</v>
      </c>
      <c r="F19" s="8">
        <f t="shared" si="0"/>
        <v>35.267600154579469</v>
      </c>
      <c r="G19" s="8">
        <f t="shared" si="0"/>
        <v>0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8">
        <f t="shared" si="0"/>
        <v>0</v>
      </c>
      <c r="N19" s="8">
        <f t="shared" si="0"/>
        <v>0</v>
      </c>
      <c r="O19" s="8">
        <f t="shared" si="0"/>
        <v>0</v>
      </c>
      <c r="P19" s="8">
        <f t="shared" si="0"/>
        <v>0</v>
      </c>
      <c r="Q19" s="8">
        <f t="shared" si="0"/>
        <v>0</v>
      </c>
      <c r="R19" s="8">
        <f t="shared" si="0"/>
        <v>0</v>
      </c>
      <c r="S19" s="8">
        <f t="shared" si="0"/>
        <v>0</v>
      </c>
      <c r="T19" s="8">
        <f t="shared" si="0"/>
        <v>0</v>
      </c>
      <c r="U19" s="8">
        <f t="shared" si="0"/>
        <v>0</v>
      </c>
      <c r="V19" s="8">
        <f t="shared" si="0"/>
        <v>0</v>
      </c>
      <c r="W19" s="8">
        <f t="shared" si="0"/>
        <v>0</v>
      </c>
      <c r="X19" s="8">
        <f t="shared" si="0"/>
        <v>0</v>
      </c>
      <c r="Y19" s="8">
        <f t="shared" si="0"/>
        <v>0</v>
      </c>
      <c r="Z19" s="8">
        <f t="shared" si="0"/>
        <v>0</v>
      </c>
      <c r="AA19" s="8">
        <f t="shared" si="0"/>
        <v>0</v>
      </c>
      <c r="AB19" s="8">
        <f t="shared" si="0"/>
        <v>0</v>
      </c>
      <c r="AC19" s="8">
        <f t="shared" si="0"/>
        <v>0</v>
      </c>
      <c r="AD19" s="8">
        <f t="shared" si="0"/>
        <v>0</v>
      </c>
      <c r="AE19" s="8">
        <f t="shared" si="0"/>
        <v>0</v>
      </c>
      <c r="AF19" s="8">
        <f t="shared" si="0"/>
        <v>0</v>
      </c>
      <c r="AG19" s="8">
        <f t="shared" si="0"/>
        <v>0</v>
      </c>
      <c r="AH19" s="8">
        <f t="shared" si="0"/>
        <v>0</v>
      </c>
      <c r="AI19" s="8">
        <f t="shared" si="0"/>
        <v>0</v>
      </c>
      <c r="AJ19" s="8">
        <f t="shared" si="0"/>
        <v>0</v>
      </c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1:60" ht="15" hidden="1" customHeight="1" outlineLevel="1" x14ac:dyDescent="0.25">
      <c r="A20" s="135"/>
      <c r="B20" s="1"/>
      <c r="C20" s="140">
        <f>C18*1000000/(C16/C43)</f>
        <v>2796.8499953853279</v>
      </c>
      <c r="D20" s="13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</row>
    <row r="21" spans="1:60" ht="15" hidden="1" customHeight="1" outlineLevel="1" x14ac:dyDescent="0.25">
      <c r="A21" s="135">
        <f>C21*1000000/$C$16</f>
        <v>492.10133175332106</v>
      </c>
      <c r="B21" s="136" t="s">
        <v>431</v>
      </c>
      <c r="C21" s="137">
        <f>SUMIF($D$15:$BG$15,1,D21:BG21)</f>
        <v>587.39492502317444</v>
      </c>
      <c r="D21" s="138">
        <v>5.007877849569824</v>
      </c>
      <c r="E21" s="8">
        <v>5.007877849569824</v>
      </c>
      <c r="F21" s="8">
        <v>5.007877849569824</v>
      </c>
      <c r="G21" s="8">
        <v>17.886602858577039</v>
      </c>
      <c r="H21" s="8">
        <v>17.886602858577039</v>
      </c>
      <c r="I21" s="8">
        <v>17.886602858577039</v>
      </c>
      <c r="J21" s="8">
        <v>17.886602858577039</v>
      </c>
      <c r="K21" s="8">
        <v>17.886602858577039</v>
      </c>
      <c r="L21" s="8">
        <v>17.886602858577039</v>
      </c>
      <c r="M21" s="8">
        <v>17.886602858577039</v>
      </c>
      <c r="N21" s="8">
        <v>17.886602858577039</v>
      </c>
      <c r="O21" s="8">
        <v>17.886602858577039</v>
      </c>
      <c r="P21" s="8">
        <v>17.886602858577039</v>
      </c>
      <c r="Q21" s="8">
        <v>17.886602858577039</v>
      </c>
      <c r="R21" s="8">
        <v>17.886602858577039</v>
      </c>
      <c r="S21" s="8">
        <v>17.886602858577039</v>
      </c>
      <c r="T21" s="8">
        <v>17.886602858577039</v>
      </c>
      <c r="U21" s="8">
        <v>17.886602858577039</v>
      </c>
      <c r="V21" s="8">
        <v>17.886602858577039</v>
      </c>
      <c r="W21" s="8">
        <v>17.886602858577039</v>
      </c>
      <c r="X21" s="8">
        <v>17.886602858577039</v>
      </c>
      <c r="Y21" s="8">
        <v>17.886602858577039</v>
      </c>
      <c r="Z21" s="8">
        <v>17.886602858577039</v>
      </c>
      <c r="AA21" s="8">
        <v>17.886602858577039</v>
      </c>
      <c r="AB21" s="8">
        <v>17.886602858577039</v>
      </c>
      <c r="AC21" s="8">
        <v>17.886602858577039</v>
      </c>
      <c r="AD21" s="8">
        <v>17.886602858577039</v>
      </c>
      <c r="AE21" s="8">
        <v>17.886602858577039</v>
      </c>
      <c r="AF21" s="8">
        <v>17.886602858577039</v>
      </c>
      <c r="AG21" s="8">
        <v>17.886602858577039</v>
      </c>
      <c r="AH21" s="8">
        <v>17.886602858577039</v>
      </c>
      <c r="AI21" s="8">
        <v>17.886602858577039</v>
      </c>
      <c r="AJ21" s="8">
        <v>17.886602858577039</v>
      </c>
      <c r="AK21" s="8">
        <v>17.886602858577039</v>
      </c>
      <c r="AL21" s="8">
        <v>17.886602858577039</v>
      </c>
      <c r="AM21" s="8">
        <v>17.886602858577039</v>
      </c>
      <c r="AN21" s="8">
        <v>17.886602858577039</v>
      </c>
      <c r="AO21" s="8">
        <v>17.886602858577039</v>
      </c>
      <c r="AP21" s="8">
        <v>17.886602858577039</v>
      </c>
      <c r="AQ21" s="8">
        <v>17.886602858577039</v>
      </c>
      <c r="AR21" s="8">
        <v>17.886602858577039</v>
      </c>
      <c r="AS21" s="8">
        <v>17.886602858577039</v>
      </c>
      <c r="AT21" s="8">
        <v>17.886602858577039</v>
      </c>
      <c r="AU21" s="8">
        <v>17.886602858577039</v>
      </c>
      <c r="AV21" s="8">
        <v>17.886602858577039</v>
      </c>
      <c r="AW21" s="8">
        <v>17.886602858577039</v>
      </c>
      <c r="AX21" s="8">
        <v>17.886602858577039</v>
      </c>
      <c r="AY21" s="8">
        <v>17.886602858577039</v>
      </c>
      <c r="AZ21" s="8">
        <v>17.886602858577039</v>
      </c>
      <c r="BA21" s="8">
        <v>17.886602858577039</v>
      </c>
      <c r="BB21" s="8">
        <v>17.886602858577039</v>
      </c>
      <c r="BC21" s="8">
        <v>17.886602858577039</v>
      </c>
      <c r="BD21" s="8">
        <v>17.886602858577039</v>
      </c>
      <c r="BE21" s="8">
        <v>17.886602858577039</v>
      </c>
      <c r="BF21" s="8">
        <v>17.886602858577039</v>
      </c>
      <c r="BG21" s="8">
        <v>17.886602858577039</v>
      </c>
      <c r="BH21" s="8">
        <v>0</v>
      </c>
    </row>
    <row r="22" spans="1:60" ht="15" hidden="1" customHeight="1" outlineLevel="1" x14ac:dyDescent="0.25">
      <c r="A22" s="135">
        <f>C22*1000000/$C$16</f>
        <v>421.60949148357508</v>
      </c>
      <c r="B22" s="139" t="s">
        <v>38</v>
      </c>
      <c r="C22" s="132">
        <f>SUMIF($D$15:$BG$15,1,D22:BG22)</f>
        <v>503.252601972626</v>
      </c>
      <c r="D22" s="138">
        <f t="shared" ref="D22:AJ22" si="1">NPV($C$8,D21:D21)</f>
        <v>4.568760565352135</v>
      </c>
      <c r="E22" s="8">
        <f t="shared" si="1"/>
        <v>4.568760565352135</v>
      </c>
      <c r="F22" s="8">
        <f t="shared" si="1"/>
        <v>4.568760565352135</v>
      </c>
      <c r="G22" s="8">
        <f t="shared" si="1"/>
        <v>16.318210675885645</v>
      </c>
      <c r="H22" s="8">
        <f t="shared" si="1"/>
        <v>16.318210675885645</v>
      </c>
      <c r="I22" s="8">
        <f t="shared" si="1"/>
        <v>16.318210675885645</v>
      </c>
      <c r="J22" s="8">
        <f t="shared" si="1"/>
        <v>16.318210675885645</v>
      </c>
      <c r="K22" s="8">
        <f t="shared" si="1"/>
        <v>16.318210675885645</v>
      </c>
      <c r="L22" s="8">
        <f t="shared" si="1"/>
        <v>16.318210675885645</v>
      </c>
      <c r="M22" s="8">
        <f t="shared" si="1"/>
        <v>16.318210675885645</v>
      </c>
      <c r="N22" s="8">
        <f t="shared" si="1"/>
        <v>16.318210675885645</v>
      </c>
      <c r="O22" s="8">
        <f t="shared" si="1"/>
        <v>16.318210675885645</v>
      </c>
      <c r="P22" s="8">
        <f t="shared" si="1"/>
        <v>16.318210675885645</v>
      </c>
      <c r="Q22" s="8">
        <f t="shared" si="1"/>
        <v>16.318210675885645</v>
      </c>
      <c r="R22" s="8">
        <f t="shared" si="1"/>
        <v>16.318210675885645</v>
      </c>
      <c r="S22" s="8">
        <f t="shared" si="1"/>
        <v>16.318210675885645</v>
      </c>
      <c r="T22" s="8">
        <f t="shared" si="1"/>
        <v>16.318210675885645</v>
      </c>
      <c r="U22" s="8">
        <f t="shared" si="1"/>
        <v>16.318210675885645</v>
      </c>
      <c r="V22" s="8">
        <f t="shared" si="1"/>
        <v>16.318210675885645</v>
      </c>
      <c r="W22" s="8">
        <f t="shared" si="1"/>
        <v>16.318210675885645</v>
      </c>
      <c r="X22" s="8">
        <f t="shared" si="1"/>
        <v>16.318210675885645</v>
      </c>
      <c r="Y22" s="8">
        <f t="shared" si="1"/>
        <v>16.318210675885645</v>
      </c>
      <c r="Z22" s="8">
        <f t="shared" si="1"/>
        <v>16.318210675885645</v>
      </c>
      <c r="AA22" s="8">
        <f t="shared" si="1"/>
        <v>16.318210675885645</v>
      </c>
      <c r="AB22" s="8">
        <f t="shared" si="1"/>
        <v>16.318210675885645</v>
      </c>
      <c r="AC22" s="8">
        <f t="shared" si="1"/>
        <v>16.318210675885645</v>
      </c>
      <c r="AD22" s="8">
        <f t="shared" si="1"/>
        <v>16.318210675885645</v>
      </c>
      <c r="AE22" s="8">
        <f t="shared" si="1"/>
        <v>16.318210675885645</v>
      </c>
      <c r="AF22" s="8">
        <f t="shared" si="1"/>
        <v>16.318210675885645</v>
      </c>
      <c r="AG22" s="8">
        <f t="shared" si="1"/>
        <v>16.318210675885645</v>
      </c>
      <c r="AH22" s="8">
        <f t="shared" si="1"/>
        <v>16.318210675885645</v>
      </c>
      <c r="AI22" s="8">
        <f t="shared" si="1"/>
        <v>16.318210675885645</v>
      </c>
      <c r="AJ22" s="8">
        <f t="shared" si="1"/>
        <v>16.318210675885645</v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</row>
    <row r="23" spans="1:60" ht="15" hidden="1" customHeight="1" outlineLevel="1" x14ac:dyDescent="0.25">
      <c r="A23" s="135"/>
      <c r="C23" s="192">
        <f>C21*1000000/C16</f>
        <v>492.10133175332106</v>
      </c>
      <c r="D23" s="13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4" spans="1:60" ht="15" hidden="1" customHeight="1" outlineLevel="1" x14ac:dyDescent="0.25">
      <c r="A24" s="135">
        <f>C24*1000000/$C$16</f>
        <v>0</v>
      </c>
      <c r="B24" s="136" t="s">
        <v>39</v>
      </c>
      <c r="C24" s="137">
        <f>SUMIF($D$15:$BG$15,1,D24:BG24)</f>
        <v>0</v>
      </c>
      <c r="D24" s="13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</row>
    <row r="25" spans="1:60" ht="15" hidden="1" customHeight="1" outlineLevel="1" x14ac:dyDescent="0.25">
      <c r="A25" s="135">
        <f>C25*1000000/$C$16</f>
        <v>0</v>
      </c>
      <c r="B25" s="139" t="s">
        <v>40</v>
      </c>
      <c r="C25" s="132">
        <f>SUMIF($D$15:$BG$15,1,D25:BG25)</f>
        <v>0</v>
      </c>
      <c r="D25" s="138">
        <f t="shared" ref="D25:AJ25" si="2">NPV($C$8,D24:D24)</f>
        <v>0</v>
      </c>
      <c r="E25" s="8">
        <f t="shared" si="2"/>
        <v>0</v>
      </c>
      <c r="F25" s="8">
        <f t="shared" si="2"/>
        <v>0</v>
      </c>
      <c r="G25" s="8">
        <f t="shared" si="2"/>
        <v>0</v>
      </c>
      <c r="H25" s="8">
        <f t="shared" si="2"/>
        <v>0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8">
        <f t="shared" si="2"/>
        <v>0</v>
      </c>
      <c r="M25" s="8">
        <f t="shared" si="2"/>
        <v>0</v>
      </c>
      <c r="N25" s="8">
        <f t="shared" si="2"/>
        <v>0</v>
      </c>
      <c r="O25" s="8">
        <f t="shared" si="2"/>
        <v>0</v>
      </c>
      <c r="P25" s="8">
        <f t="shared" si="2"/>
        <v>0</v>
      </c>
      <c r="Q25" s="8">
        <f t="shared" si="2"/>
        <v>0</v>
      </c>
      <c r="R25" s="8">
        <f t="shared" si="2"/>
        <v>0</v>
      </c>
      <c r="S25" s="8">
        <f t="shared" si="2"/>
        <v>0</v>
      </c>
      <c r="T25" s="8">
        <f t="shared" si="2"/>
        <v>0</v>
      </c>
      <c r="U25" s="8">
        <f t="shared" si="2"/>
        <v>0</v>
      </c>
      <c r="V25" s="8">
        <f t="shared" si="2"/>
        <v>0</v>
      </c>
      <c r="W25" s="8">
        <f t="shared" si="2"/>
        <v>0</v>
      </c>
      <c r="X25" s="8">
        <f t="shared" si="2"/>
        <v>0</v>
      </c>
      <c r="Y25" s="8">
        <f t="shared" si="2"/>
        <v>0</v>
      </c>
      <c r="Z25" s="8">
        <f t="shared" si="2"/>
        <v>0</v>
      </c>
      <c r="AA25" s="8">
        <f t="shared" si="2"/>
        <v>0</v>
      </c>
      <c r="AB25" s="8">
        <f t="shared" si="2"/>
        <v>0</v>
      </c>
      <c r="AC25" s="8">
        <f t="shared" si="2"/>
        <v>0</v>
      </c>
      <c r="AD25" s="8">
        <f t="shared" si="2"/>
        <v>0</v>
      </c>
      <c r="AE25" s="8">
        <f t="shared" si="2"/>
        <v>0</v>
      </c>
      <c r="AF25" s="8">
        <f t="shared" si="2"/>
        <v>0</v>
      </c>
      <c r="AG25" s="8">
        <f t="shared" si="2"/>
        <v>0</v>
      </c>
      <c r="AH25" s="8">
        <f t="shared" si="2"/>
        <v>0</v>
      </c>
      <c r="AI25" s="8">
        <f t="shared" si="2"/>
        <v>0</v>
      </c>
      <c r="AJ25" s="8">
        <f t="shared" si="2"/>
        <v>0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1:60" ht="15" hidden="1" customHeight="1" outlineLevel="1" x14ac:dyDescent="0.25">
      <c r="A26" s="135"/>
      <c r="C26" s="132"/>
      <c r="D26" s="13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</row>
    <row r="27" spans="1:60" ht="15" hidden="1" customHeight="1" outlineLevel="1" x14ac:dyDescent="0.25">
      <c r="A27" s="135">
        <f>C27*1000000/$C$16</f>
        <v>251.19943332338059</v>
      </c>
      <c r="B27" s="136" t="s">
        <v>432</v>
      </c>
      <c r="C27" s="137">
        <f>SUMIF($D$15:$BG$15,1,D27:BG27)</f>
        <v>299.84326963133691</v>
      </c>
      <c r="D27" s="138">
        <v>7.967523530196317</v>
      </c>
      <c r="E27" s="8">
        <v>8.004970890788238</v>
      </c>
      <c r="F27" s="8">
        <v>8.0425942539749435</v>
      </c>
      <c r="G27" s="8">
        <v>8.0803944469686257</v>
      </c>
      <c r="H27" s="8">
        <v>8.1183723008693764</v>
      </c>
      <c r="I27" s="8">
        <v>8.1565286506834624</v>
      </c>
      <c r="J27" s="8">
        <v>8.1948643353416735</v>
      </c>
      <c r="K27" s="8">
        <v>8.2333801977177803</v>
      </c>
      <c r="L27" s="8">
        <v>8.2720770846470533</v>
      </c>
      <c r="M27" s="8">
        <v>8.3109558469448928</v>
      </c>
      <c r="N27" s="8">
        <v>8.3500173394255324</v>
      </c>
      <c r="O27" s="8">
        <v>8.3892624209208329</v>
      </c>
      <c r="P27" s="8">
        <v>8.4286919542991576</v>
      </c>
      <c r="Q27" s="8">
        <v>8.4683068064843638</v>
      </c>
      <c r="R27" s="8">
        <v>8.5081078484748396</v>
      </c>
      <c r="S27" s="8">
        <v>8.4286919542991576</v>
      </c>
      <c r="T27" s="8">
        <v>8.4683068064843638</v>
      </c>
      <c r="U27" s="8">
        <v>8.5081078484748396</v>
      </c>
      <c r="V27" s="8">
        <v>8.5480959553626725</v>
      </c>
      <c r="W27" s="8">
        <v>8.5882720063528755</v>
      </c>
      <c r="X27" s="8">
        <v>8.6286368847827326</v>
      </c>
      <c r="Y27" s="8">
        <v>8.6691914781412116</v>
      </c>
      <c r="Z27" s="8">
        <v>8.7099366780884715</v>
      </c>
      <c r="AA27" s="8">
        <v>8.7508733804754897</v>
      </c>
      <c r="AB27" s="8">
        <v>8.7920024853637244</v>
      </c>
      <c r="AC27" s="8">
        <v>8.8333248970449318</v>
      </c>
      <c r="AD27" s="8">
        <v>8.8748415240610434</v>
      </c>
      <c r="AE27" s="8">
        <v>8.9165532792241287</v>
      </c>
      <c r="AF27" s="8">
        <v>8.9584610796364821</v>
      </c>
      <c r="AG27" s="8">
        <v>9.0005658467107743</v>
      </c>
      <c r="AH27" s="8">
        <v>9.0428685061903131</v>
      </c>
      <c r="AI27" s="8">
        <v>9.0853699881694059</v>
      </c>
      <c r="AJ27" s="8">
        <v>9.1280712271138</v>
      </c>
      <c r="AK27" s="8">
        <v>9.1709731618812356</v>
      </c>
      <c r="AL27" s="8">
        <v>9.2140767357420774</v>
      </c>
      <c r="AM27" s="8">
        <v>9.2573828964000651</v>
      </c>
      <c r="AN27" s="8">
        <v>9.3008925960131439</v>
      </c>
      <c r="AO27" s="8">
        <v>9.3446067912144066</v>
      </c>
      <c r="AP27" s="8">
        <v>9.388526443133113</v>
      </c>
      <c r="AQ27" s="8">
        <v>9.4326525174158391</v>
      </c>
      <c r="AR27" s="8">
        <v>9.476985984247694</v>
      </c>
      <c r="AS27" s="8">
        <v>9.5215278183736558</v>
      </c>
      <c r="AT27" s="8">
        <v>9.5662789991200103</v>
      </c>
      <c r="AU27" s="8">
        <v>9.6112405104158718</v>
      </c>
      <c r="AV27" s="8">
        <v>9.6564133408148276</v>
      </c>
      <c r="AW27" s="8">
        <v>9.701798483516658</v>
      </c>
      <c r="AX27" s="8">
        <v>9.7473969363891833</v>
      </c>
      <c r="AY27" s="8">
        <v>9.7932097019902109</v>
      </c>
      <c r="AZ27" s="8">
        <v>9.8392377875895676</v>
      </c>
      <c r="BA27" s="8">
        <v>9.8854822051912361</v>
      </c>
      <c r="BB27" s="8">
        <v>9.9319439715556346</v>
      </c>
      <c r="BC27" s="8">
        <v>9.9786241082219469</v>
      </c>
      <c r="BD27" s="8">
        <v>10.02552364153059</v>
      </c>
      <c r="BE27" s="8">
        <v>10.072643602645783</v>
      </c>
      <c r="BF27" s="8">
        <v>10.119985027578219</v>
      </c>
      <c r="BG27" s="8">
        <v>10.167548957207835</v>
      </c>
      <c r="BH27" s="8">
        <v>0</v>
      </c>
    </row>
    <row r="28" spans="1:60" ht="15" hidden="1" customHeight="1" outlineLevel="1" x14ac:dyDescent="0.25">
      <c r="A28" s="135">
        <f>C28*1000000/$C$16</f>
        <v>215.12107435706636</v>
      </c>
      <c r="B28" s="139" t="s">
        <v>41</v>
      </c>
      <c r="C28" s="132">
        <f>SUMIF($D$15:$BG$15,1,D28:BG28)</f>
        <v>256.77847058990596</v>
      </c>
      <c r="D28" s="138">
        <f t="shared" ref="D28:AJ28" si="3">NPV($C$8,D27:D27)</f>
        <v>7.2688888191238661</v>
      </c>
      <c r="E28" s="8">
        <f t="shared" si="3"/>
        <v>7.3030525965737461</v>
      </c>
      <c r="F28" s="8">
        <f t="shared" si="3"/>
        <v>7.3373769437776435</v>
      </c>
      <c r="G28" s="8">
        <f t="shared" si="3"/>
        <v>7.3718626154133986</v>
      </c>
      <c r="H28" s="8">
        <f t="shared" si="3"/>
        <v>7.4065103697058401</v>
      </c>
      <c r="I28" s="8">
        <f t="shared" si="3"/>
        <v>7.4413209684434571</v>
      </c>
      <c r="J28" s="8">
        <f t="shared" si="3"/>
        <v>7.4762951769951407</v>
      </c>
      <c r="K28" s="8">
        <f t="shared" si="3"/>
        <v>7.5114337643270188</v>
      </c>
      <c r="L28" s="8">
        <f t="shared" si="3"/>
        <v>7.5467375030193544</v>
      </c>
      <c r="M28" s="8">
        <f t="shared" si="3"/>
        <v>7.582207169283544</v>
      </c>
      <c r="N28" s="8">
        <f t="shared" si="3"/>
        <v>7.617843542979176</v>
      </c>
      <c r="O28" s="8">
        <f t="shared" si="3"/>
        <v>7.653647407631178</v>
      </c>
      <c r="P28" s="8">
        <f t="shared" si="3"/>
        <v>7.6896195504470422</v>
      </c>
      <c r="Q28" s="8">
        <f t="shared" si="3"/>
        <v>7.7257607623341435</v>
      </c>
      <c r="R28" s="8">
        <f t="shared" si="3"/>
        <v>7.7620718379171132</v>
      </c>
      <c r="S28" s="8">
        <f t="shared" si="3"/>
        <v>7.6896195504470422</v>
      </c>
      <c r="T28" s="8">
        <f t="shared" si="3"/>
        <v>7.7257607623341435</v>
      </c>
      <c r="U28" s="8">
        <f t="shared" si="3"/>
        <v>7.7620718379171132</v>
      </c>
      <c r="V28" s="8">
        <f t="shared" si="3"/>
        <v>7.7985535755553244</v>
      </c>
      <c r="W28" s="8">
        <f t="shared" si="3"/>
        <v>7.8352067773604333</v>
      </c>
      <c r="X28" s="8">
        <f t="shared" si="3"/>
        <v>7.8720322492140262</v>
      </c>
      <c r="Y28" s="8">
        <f t="shared" si="3"/>
        <v>7.9090308007853318</v>
      </c>
      <c r="Z28" s="8">
        <f t="shared" si="3"/>
        <v>7.946203245549019</v>
      </c>
      <c r="AA28" s="8">
        <f t="shared" si="3"/>
        <v>7.983550400803102</v>
      </c>
      <c r="AB28" s="8">
        <f t="shared" si="3"/>
        <v>8.0210730876868759</v>
      </c>
      <c r="AC28" s="8">
        <f t="shared" si="3"/>
        <v>8.058772131199003</v>
      </c>
      <c r="AD28" s="8">
        <f t="shared" si="3"/>
        <v>8.0966483602156387</v>
      </c>
      <c r="AE28" s="8">
        <f t="shared" si="3"/>
        <v>8.1347026075086504</v>
      </c>
      <c r="AF28" s="8">
        <f t="shared" si="3"/>
        <v>8.1729357097639408</v>
      </c>
      <c r="AG28" s="8">
        <f t="shared" si="3"/>
        <v>8.2113485075998334</v>
      </c>
      <c r="AH28" s="8">
        <f t="shared" si="3"/>
        <v>8.2499418455855498</v>
      </c>
      <c r="AI28" s="8">
        <f t="shared" si="3"/>
        <v>8.2887165722598013</v>
      </c>
      <c r="AJ28" s="8">
        <f t="shared" si="3"/>
        <v>8.3276735401494193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</row>
    <row r="29" spans="1:60" ht="15" hidden="1" customHeight="1" outlineLevel="1" x14ac:dyDescent="0.25">
      <c r="A29" s="135"/>
      <c r="B29" s="1"/>
      <c r="C29" s="132"/>
      <c r="D29" s="13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1:60" ht="15" hidden="1" customHeight="1" outlineLevel="1" x14ac:dyDescent="0.25">
      <c r="A30" s="135">
        <f>C30*1000000/$C$16</f>
        <v>66.010975334108764</v>
      </c>
      <c r="B30" s="136" t="s">
        <v>433</v>
      </c>
      <c r="C30" s="137">
        <f>SUMIF($D$15:$BG$15,1,D30:BG30)</f>
        <v>78.793755279902783</v>
      </c>
      <c r="D30" s="138">
        <v>2.0937308347692354</v>
      </c>
      <c r="E30" s="8">
        <v>2.1035713696926508</v>
      </c>
      <c r="F30" s="8">
        <v>2.1134581551302061</v>
      </c>
      <c r="G30" s="8">
        <v>2.1233914084593177</v>
      </c>
      <c r="H30" s="8">
        <v>2.1333713480790766</v>
      </c>
      <c r="I30" s="8">
        <v>2.1433981934150479</v>
      </c>
      <c r="J30" s="8">
        <v>2.1534721649240987</v>
      </c>
      <c r="K30" s="8">
        <v>2.1635934840992417</v>
      </c>
      <c r="L30" s="8">
        <v>2.1737623734745082</v>
      </c>
      <c r="M30" s="8">
        <v>2.183979056629838</v>
      </c>
      <c r="N30" s="8">
        <v>2.1942437581959982</v>
      </c>
      <c r="O30" s="8">
        <v>2.2045567038595193</v>
      </c>
      <c r="P30" s="8">
        <v>2.2149181203676589</v>
      </c>
      <c r="Q30" s="8">
        <v>2.2253282355333868</v>
      </c>
      <c r="R30" s="8">
        <v>2.2357872782403936</v>
      </c>
      <c r="S30" s="8">
        <v>2.2149181203676589</v>
      </c>
      <c r="T30" s="8">
        <v>2.2253282355333868</v>
      </c>
      <c r="U30" s="8">
        <v>2.2357872782403936</v>
      </c>
      <c r="V30" s="8">
        <v>2.2462954784481233</v>
      </c>
      <c r="W30" s="8">
        <v>2.2568530671968294</v>
      </c>
      <c r="X30" s="8">
        <v>2.2674602766126544</v>
      </c>
      <c r="Y30" s="8">
        <v>2.2781173399127335</v>
      </c>
      <c r="Z30" s="8">
        <v>2.2888244914103231</v>
      </c>
      <c r="AA30" s="8">
        <v>2.2995819665199515</v>
      </c>
      <c r="AB30" s="8">
        <v>2.3103900017625949</v>
      </c>
      <c r="AC30" s="8">
        <v>2.3212488347708788</v>
      </c>
      <c r="AD30" s="8">
        <v>2.3321587042943017</v>
      </c>
      <c r="AE30" s="8">
        <v>2.3431198502044848</v>
      </c>
      <c r="AF30" s="8">
        <v>2.3541325135004456</v>
      </c>
      <c r="AG30" s="8">
        <v>2.3651969363138976</v>
      </c>
      <c r="AH30" s="8">
        <v>2.3763133619145727</v>
      </c>
      <c r="AI30" s="8">
        <v>2.3874820347155712</v>
      </c>
      <c r="AJ30" s="8">
        <v>2.3987032002787343</v>
      </c>
      <c r="AK30" s="8">
        <v>2.4099771053200443</v>
      </c>
      <c r="AL30" s="8">
        <v>2.4213039977150483</v>
      </c>
      <c r="AM30" s="8">
        <v>2.4326841265043089</v>
      </c>
      <c r="AN30" s="8">
        <v>2.4441177418988791</v>
      </c>
      <c r="AO30" s="8">
        <v>2.4556050952858035</v>
      </c>
      <c r="AP30" s="8">
        <v>2.4671464392336464</v>
      </c>
      <c r="AQ30" s="8">
        <v>2.4787420274980443</v>
      </c>
      <c r="AR30" s="8">
        <v>2.490392115027285</v>
      </c>
      <c r="AS30" s="8">
        <v>2.5020969579679129</v>
      </c>
      <c r="AT30" s="8">
        <v>2.5138568136703618</v>
      </c>
      <c r="AU30" s="8">
        <v>2.5256719406946124</v>
      </c>
      <c r="AV30" s="8">
        <v>2.5375425988158771</v>
      </c>
      <c r="AW30" s="8">
        <v>2.5494690490303116</v>
      </c>
      <c r="AX30" s="8">
        <v>2.561451553560754</v>
      </c>
      <c r="AY30" s="8">
        <v>2.5734903758624892</v>
      </c>
      <c r="AZ30" s="8">
        <v>2.5855857806290428</v>
      </c>
      <c r="BA30" s="8">
        <v>2.5977380337979992</v>
      </c>
      <c r="BB30" s="8">
        <v>2.6099474025568496</v>
      </c>
      <c r="BC30" s="8">
        <v>2.6222141553488667</v>
      </c>
      <c r="BD30" s="8">
        <v>2.634538561879006</v>
      </c>
      <c r="BE30" s="8">
        <v>2.6469208931198374</v>
      </c>
      <c r="BF30" s="8">
        <v>2.6593614213175005</v>
      </c>
      <c r="BG30" s="8">
        <v>2.6718604199976927</v>
      </c>
      <c r="BH30" s="8">
        <v>0</v>
      </c>
    </row>
    <row r="31" spans="1:60" ht="15" hidden="1" customHeight="1" outlineLevel="1" x14ac:dyDescent="0.25">
      <c r="A31" s="135">
        <f>C31*1000000/$C$16</f>
        <v>56.530190953697435</v>
      </c>
      <c r="B31" s="139" t="s">
        <v>42</v>
      </c>
      <c r="C31" s="132">
        <f>SUMIF($D$15:$BG$15,1,D31:BG31)</f>
        <v>67.477052253615938</v>
      </c>
      <c r="D31" s="138">
        <f t="shared" ref="D31:AJ31" si="4">NPV($C$8,D30:D30)</f>
        <v>1.9101414131291532</v>
      </c>
      <c r="E31" s="8">
        <f t="shared" si="4"/>
        <v>1.9191190777708602</v>
      </c>
      <c r="F31" s="8">
        <f t="shared" si="4"/>
        <v>1.9281389374363831</v>
      </c>
      <c r="G31" s="8">
        <f t="shared" si="4"/>
        <v>1.9372011904423339</v>
      </c>
      <c r="H31" s="8">
        <f t="shared" si="4"/>
        <v>1.9463060360374129</v>
      </c>
      <c r="I31" s="8">
        <f t="shared" si="4"/>
        <v>1.9554536744067885</v>
      </c>
      <c r="J31" s="8">
        <f t="shared" si="4"/>
        <v>1.9646443066765005</v>
      </c>
      <c r="K31" s="8">
        <f t="shared" si="4"/>
        <v>1.9738781349178798</v>
      </c>
      <c r="L31" s="8">
        <f t="shared" si="4"/>
        <v>1.9831553621519937</v>
      </c>
      <c r="M31" s="8">
        <f t="shared" si="4"/>
        <v>1.9924761923541079</v>
      </c>
      <c r="N31" s="8">
        <f t="shared" si="4"/>
        <v>2.0018408304581721</v>
      </c>
      <c r="O31" s="8">
        <f t="shared" si="4"/>
        <v>2.0112494823613254</v>
      </c>
      <c r="P31" s="8">
        <f t="shared" si="4"/>
        <v>2.0207023549284235</v>
      </c>
      <c r="Q31" s="8">
        <f t="shared" si="4"/>
        <v>2.0301996559965869</v>
      </c>
      <c r="R31" s="8">
        <f t="shared" si="4"/>
        <v>2.039741594379771</v>
      </c>
      <c r="S31" s="8">
        <f t="shared" si="4"/>
        <v>2.0207023549284235</v>
      </c>
      <c r="T31" s="8">
        <f t="shared" si="4"/>
        <v>2.0301996559965869</v>
      </c>
      <c r="U31" s="8">
        <f t="shared" si="4"/>
        <v>2.039741594379771</v>
      </c>
      <c r="V31" s="8">
        <f t="shared" si="4"/>
        <v>2.0493283798733555</v>
      </c>
      <c r="W31" s="8">
        <f t="shared" si="4"/>
        <v>2.0589602232587603</v>
      </c>
      <c r="X31" s="8">
        <f t="shared" si="4"/>
        <v>2.0686373363080763</v>
      </c>
      <c r="Y31" s="8">
        <f t="shared" si="4"/>
        <v>2.0783599317887242</v>
      </c>
      <c r="Z31" s="8">
        <f t="shared" si="4"/>
        <v>2.0881282234681309</v>
      </c>
      <c r="AA31" s="8">
        <f t="shared" si="4"/>
        <v>2.097942426118431</v>
      </c>
      <c r="AB31" s="8">
        <f t="shared" si="4"/>
        <v>2.1078027555211873</v>
      </c>
      <c r="AC31" s="8">
        <f t="shared" si="4"/>
        <v>2.1177094284721365</v>
      </c>
      <c r="AD31" s="8">
        <f t="shared" si="4"/>
        <v>2.1276626627859554</v>
      </c>
      <c r="AE31" s="8">
        <f t="shared" si="4"/>
        <v>2.1376626773010492</v>
      </c>
      <c r="AF31" s="8">
        <f t="shared" si="4"/>
        <v>2.1477096918843639</v>
      </c>
      <c r="AG31" s="8">
        <f t="shared" si="4"/>
        <v>2.1578039274362202</v>
      </c>
      <c r="AH31" s="8">
        <f t="shared" si="4"/>
        <v>2.1679456058951705</v>
      </c>
      <c r="AI31" s="8">
        <f t="shared" si="4"/>
        <v>2.1781349502428777</v>
      </c>
      <c r="AJ31" s="8">
        <f t="shared" si="4"/>
        <v>2.1883721845090194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</row>
    <row r="32" spans="1:60" ht="15" hidden="1" customHeight="1" outlineLevel="1" x14ac:dyDescent="0.25">
      <c r="A32" s="135"/>
      <c r="B32" s="1"/>
      <c r="C32" s="132"/>
      <c r="D32" s="13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</row>
    <row r="33" spans="1:60" ht="15" hidden="1" customHeight="1" outlineLevel="1" x14ac:dyDescent="0.25">
      <c r="A33" s="135">
        <f>C33*1000000/$C$16</f>
        <v>-254.80092296398419</v>
      </c>
      <c r="B33" s="136" t="s">
        <v>43</v>
      </c>
      <c r="C33" s="137">
        <f>SUMIF($D$15:$BG$15,1,D33:BG33)</f>
        <v>-304.1421743505677</v>
      </c>
      <c r="D33" s="138">
        <v>-23.835737601358186</v>
      </c>
      <c r="E33" s="8">
        <v>-22.737220702731165</v>
      </c>
      <c r="F33" s="8">
        <v>-33.509100448701233</v>
      </c>
      <c r="G33" s="8">
        <v>-7.6828170031490952</v>
      </c>
      <c r="H33" s="8">
        <v>-7.6348592096285852</v>
      </c>
      <c r="I33" s="8">
        <v>-7.5866760144785275</v>
      </c>
      <c r="J33" s="8">
        <v>-7.538266358311267</v>
      </c>
      <c r="K33" s="8">
        <v>-7.4896291767600172</v>
      </c>
      <c r="L33" s="8">
        <v>-7.4407634004554772</v>
      </c>
      <c r="M33" s="8">
        <v>-7.3916679550023083</v>
      </c>
      <c r="N33" s="8">
        <v>-7.3423417609555077</v>
      </c>
      <c r="O33" s="8">
        <v>-7.2927837337966857</v>
      </c>
      <c r="P33" s="8">
        <v>-7.2429927839102213</v>
      </c>
      <c r="Q33" s="8">
        <v>-7.192967816559289</v>
      </c>
      <c r="R33" s="8">
        <v>-7.1427077318618046</v>
      </c>
      <c r="S33" s="8">
        <v>-7.2429927839102213</v>
      </c>
      <c r="T33" s="8">
        <v>-7.192967816559289</v>
      </c>
      <c r="U33" s="8">
        <v>-7.1427077318618046</v>
      </c>
      <c r="V33" s="8">
        <v>-7.0922114247662424</v>
      </c>
      <c r="W33" s="8">
        <v>-7.0414777850273342</v>
      </c>
      <c r="X33" s="8">
        <v>-6.9905056971816517</v>
      </c>
      <c r="Y33" s="8">
        <v>-6.9392940405230945</v>
      </c>
      <c r="Z33" s="8">
        <v>-6.8878416890782432</v>
      </c>
      <c r="AA33" s="8">
        <v>-6.8361475115815971</v>
      </c>
      <c r="AB33" s="8">
        <v>-6.7842103714507189</v>
      </c>
      <c r="AC33" s="8">
        <v>-6.732029126761228</v>
      </c>
      <c r="AD33" s="8">
        <v>-6.6796026302216944</v>
      </c>
      <c r="AE33" s="8">
        <v>-6.6269297291484257</v>
      </c>
      <c r="AF33" s="8">
        <v>-6.574009265440111</v>
      </c>
      <c r="AG33" s="8">
        <v>-6.5208400755523677</v>
      </c>
      <c r="AH33" s="8">
        <v>-6.4674209904721529</v>
      </c>
      <c r="AI33" s="8">
        <v>-6.4137508356920616</v>
      </c>
      <c r="AJ33" s="8">
        <v>-6.3598284311845035</v>
      </c>
      <c r="AK33" s="8">
        <v>-6.3056525913757593</v>
      </c>
      <c r="AL33" s="8">
        <v>-6.2512221251199129</v>
      </c>
      <c r="AM33" s="8">
        <v>-6.1965358356726643</v>
      </c>
      <c r="AN33" s="8">
        <v>-6.1415925206650162</v>
      </c>
      <c r="AO33" s="8">
        <v>-6.0863909720768277</v>
      </c>
      <c r="AP33" s="8">
        <v>-6.0309299762102793</v>
      </c>
      <c r="AQ33" s="8">
        <v>-5.9752083136631562</v>
      </c>
      <c r="AR33" s="8">
        <v>-5.9192247593020593</v>
      </c>
      <c r="AS33" s="8">
        <v>-5.86297808223547</v>
      </c>
      <c r="AT33" s="8">
        <v>-5.8064670457866665</v>
      </c>
      <c r="AU33" s="8">
        <v>-5.749690407466554</v>
      </c>
      <c r="AV33" s="8">
        <v>-5.692646918946334</v>
      </c>
      <c r="AW33" s="8">
        <v>-5.63533532603007</v>
      </c>
      <c r="AX33" s="8">
        <v>-5.5777543686271009</v>
      </c>
      <c r="AY33" s="8">
        <v>-5.5199027807243386</v>
      </c>
      <c r="AZ33" s="8">
        <v>-5.4617792903584288</v>
      </c>
      <c r="BA33" s="8">
        <v>-5.4033826195878039</v>
      </c>
      <c r="BB33" s="8">
        <v>-5.344711484464554</v>
      </c>
      <c r="BC33" s="8">
        <v>-5.2857645950062242</v>
      </c>
      <c r="BD33" s="8">
        <v>-5.226540655167442</v>
      </c>
      <c r="BE33" s="8">
        <v>-5.167038362811418</v>
      </c>
      <c r="BF33" s="8">
        <v>-5.1072564096813196</v>
      </c>
      <c r="BG33" s="8">
        <v>-5.0471934813715116</v>
      </c>
      <c r="BH33" s="8">
        <v>0</v>
      </c>
    </row>
    <row r="34" spans="1:60" ht="15" hidden="1" customHeight="1" outlineLevel="1" x14ac:dyDescent="0.25">
      <c r="A34" s="135">
        <f>C34*1000000/$C$16</f>
        <v>-222.86129352823181</v>
      </c>
      <c r="B34" s="139" t="s">
        <v>44</v>
      </c>
      <c r="C34" s="132">
        <f>SUMIF($D$15:$BG$15,1,D34:BG34)</f>
        <v>-266.0175544255676</v>
      </c>
      <c r="D34" s="138">
        <f t="shared" ref="D34:AJ34" si="5">NPV($C$8,D33:D33)</f>
        <v>-21.745693739019782</v>
      </c>
      <c r="E34" s="8">
        <f t="shared" si="5"/>
        <v>-20.743500626971095</v>
      </c>
      <c r="F34" s="8">
        <f t="shared" si="5"/>
        <v>-30.570844838717573</v>
      </c>
      <c r="G34" s="8">
        <f t="shared" si="5"/>
        <v>-7.0091468700299115</v>
      </c>
      <c r="H34" s="8">
        <f t="shared" si="5"/>
        <v>-6.9653942701423901</v>
      </c>
      <c r="I34" s="8">
        <f t="shared" si="5"/>
        <v>-6.9214360330353975</v>
      </c>
      <c r="J34" s="8">
        <f t="shared" si="5"/>
        <v>-6.8772711922140033</v>
      </c>
      <c r="K34" s="8">
        <f t="shared" si="5"/>
        <v>-6.8328987766407456</v>
      </c>
      <c r="L34" s="8">
        <f t="shared" si="5"/>
        <v>-6.788317810714295</v>
      </c>
      <c r="M34" s="8">
        <f t="shared" si="5"/>
        <v>-6.7435273142479915</v>
      </c>
      <c r="N34" s="8">
        <f t="shared" si="5"/>
        <v>-6.6985263024482951</v>
      </c>
      <c r="O34" s="8">
        <f t="shared" si="5"/>
        <v>-6.6533137858931388</v>
      </c>
      <c r="P34" s="8">
        <f t="shared" si="5"/>
        <v>-6.6078887705101774</v>
      </c>
      <c r="Q34" s="8">
        <f t="shared" si="5"/>
        <v>-6.562250257554914</v>
      </c>
      <c r="R34" s="8">
        <f t="shared" si="5"/>
        <v>-6.5163972435887594</v>
      </c>
      <c r="S34" s="8">
        <f t="shared" si="5"/>
        <v>-6.6078887705101774</v>
      </c>
      <c r="T34" s="8">
        <f t="shared" si="5"/>
        <v>-6.562250257554914</v>
      </c>
      <c r="U34" s="8">
        <f t="shared" si="5"/>
        <v>-6.5163972435887594</v>
      </c>
      <c r="V34" s="8">
        <f t="shared" si="5"/>
        <v>-6.4703287204569628</v>
      </c>
      <c r="W34" s="8">
        <f t="shared" si="5"/>
        <v>-6.4240436752664509</v>
      </c>
      <c r="X34" s="8">
        <f t="shared" si="5"/>
        <v>-6.3775410903635414</v>
      </c>
      <c r="Y34" s="8">
        <f t="shared" si="5"/>
        <v>-6.3308199433115888</v>
      </c>
      <c r="Z34" s="8">
        <f t="shared" si="5"/>
        <v>-6.2838792068684928</v>
      </c>
      <c r="AA34" s="8">
        <f t="shared" si="5"/>
        <v>-6.2367178489641102</v>
      </c>
      <c r="AB34" s="8">
        <f t="shared" si="5"/>
        <v>-6.189334832677579</v>
      </c>
      <c r="AC34" s="8">
        <f t="shared" si="5"/>
        <v>-6.1417291162145045</v>
      </c>
      <c r="AD34" s="8">
        <f t="shared" si="5"/>
        <v>-6.0938996528840503</v>
      </c>
      <c r="AE34" s="8">
        <f t="shared" si="5"/>
        <v>-6.045845391075944</v>
      </c>
      <c r="AF34" s="8">
        <f t="shared" si="5"/>
        <v>-5.9975652742373384</v>
      </c>
      <c r="AG34" s="8">
        <f t="shared" si="5"/>
        <v>-5.9490582408495918</v>
      </c>
      <c r="AH34" s="8">
        <f t="shared" si="5"/>
        <v>-5.9003232244049233</v>
      </c>
      <c r="AI34" s="8">
        <f t="shared" si="5"/>
        <v>-5.8513591533829654</v>
      </c>
      <c r="AJ34" s="8">
        <f t="shared" si="5"/>
        <v>-5.802164951227204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</row>
    <row r="35" spans="1:60" ht="15" hidden="1" customHeight="1" outlineLevel="1" x14ac:dyDescent="0.25">
      <c r="A35" s="135"/>
      <c r="B35" s="1"/>
      <c r="C35" s="140"/>
      <c r="D35" s="13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</row>
    <row r="36" spans="1:60" ht="15" hidden="1" customHeight="1" outlineLevel="1" x14ac:dyDescent="0.25">
      <c r="A36" s="135">
        <f>C36*1000000/$C$16</f>
        <v>0</v>
      </c>
      <c r="B36" s="141" t="s">
        <v>45</v>
      </c>
      <c r="C36" s="137">
        <f>SUMIF($D$15:$BG$15,1,D36:BG36)</f>
        <v>0</v>
      </c>
      <c r="D36" s="138">
        <f>IF(D33&gt;0,D33*0.34,0)</f>
        <v>0</v>
      </c>
      <c r="E36" s="8">
        <f t="shared" ref="E36:BG36" si="6">IF(E33&gt;0,E33*0.34,0)</f>
        <v>0</v>
      </c>
      <c r="F36" s="8">
        <f t="shared" si="6"/>
        <v>0</v>
      </c>
      <c r="G36" s="8">
        <f t="shared" si="6"/>
        <v>0</v>
      </c>
      <c r="H36" s="8">
        <f t="shared" si="6"/>
        <v>0</v>
      </c>
      <c r="I36" s="8">
        <f t="shared" si="6"/>
        <v>0</v>
      </c>
      <c r="J36" s="8">
        <f t="shared" si="6"/>
        <v>0</v>
      </c>
      <c r="K36" s="8">
        <f t="shared" si="6"/>
        <v>0</v>
      </c>
      <c r="L36" s="8">
        <f t="shared" si="6"/>
        <v>0</v>
      </c>
      <c r="M36" s="8">
        <f t="shared" si="6"/>
        <v>0</v>
      </c>
      <c r="N36" s="8">
        <f t="shared" si="6"/>
        <v>0</v>
      </c>
      <c r="O36" s="8">
        <f t="shared" si="6"/>
        <v>0</v>
      </c>
      <c r="P36" s="8">
        <f>IF(P33&gt;0,P33*0.34,0)</f>
        <v>0</v>
      </c>
      <c r="Q36" s="8">
        <f>IF(Q33&gt;0,Q33*0.34,0)</f>
        <v>0</v>
      </c>
      <c r="R36" s="8">
        <f>IF(R33&gt;0,R33*0.34,0)</f>
        <v>0</v>
      </c>
      <c r="S36" s="8">
        <f t="shared" si="6"/>
        <v>0</v>
      </c>
      <c r="T36" s="8">
        <f t="shared" si="6"/>
        <v>0</v>
      </c>
      <c r="U36" s="8">
        <f t="shared" si="6"/>
        <v>0</v>
      </c>
      <c r="V36" s="8">
        <f t="shared" si="6"/>
        <v>0</v>
      </c>
      <c r="W36" s="8">
        <f t="shared" si="6"/>
        <v>0</v>
      </c>
      <c r="X36" s="8">
        <f t="shared" si="6"/>
        <v>0</v>
      </c>
      <c r="Y36" s="8">
        <f t="shared" si="6"/>
        <v>0</v>
      </c>
      <c r="Z36" s="8">
        <f t="shared" si="6"/>
        <v>0</v>
      </c>
      <c r="AA36" s="8">
        <f t="shared" si="6"/>
        <v>0</v>
      </c>
      <c r="AB36" s="8">
        <f t="shared" si="6"/>
        <v>0</v>
      </c>
      <c r="AC36" s="8">
        <f t="shared" si="6"/>
        <v>0</v>
      </c>
      <c r="AD36" s="8">
        <f t="shared" si="6"/>
        <v>0</v>
      </c>
      <c r="AE36" s="8">
        <f t="shared" si="6"/>
        <v>0</v>
      </c>
      <c r="AF36" s="8">
        <f t="shared" si="6"/>
        <v>0</v>
      </c>
      <c r="AG36" s="8">
        <f t="shared" si="6"/>
        <v>0</v>
      </c>
      <c r="AH36" s="8">
        <f t="shared" si="6"/>
        <v>0</v>
      </c>
      <c r="AI36" s="8">
        <f t="shared" si="6"/>
        <v>0</v>
      </c>
      <c r="AJ36" s="8">
        <f t="shared" si="6"/>
        <v>0</v>
      </c>
      <c r="AK36" s="8">
        <f t="shared" si="6"/>
        <v>0</v>
      </c>
      <c r="AL36" s="8">
        <f t="shared" si="6"/>
        <v>0</v>
      </c>
      <c r="AM36" s="8">
        <f t="shared" si="6"/>
        <v>0</v>
      </c>
      <c r="AN36" s="8">
        <f t="shared" si="6"/>
        <v>0</v>
      </c>
      <c r="AO36" s="8">
        <f t="shared" si="6"/>
        <v>0</v>
      </c>
      <c r="AP36" s="8">
        <f t="shared" si="6"/>
        <v>0</v>
      </c>
      <c r="AQ36" s="8">
        <f t="shared" si="6"/>
        <v>0</v>
      </c>
      <c r="AR36" s="8">
        <f t="shared" si="6"/>
        <v>0</v>
      </c>
      <c r="AS36" s="8">
        <f t="shared" si="6"/>
        <v>0</v>
      </c>
      <c r="AT36" s="8">
        <f t="shared" si="6"/>
        <v>0</v>
      </c>
      <c r="AU36" s="8">
        <f t="shared" si="6"/>
        <v>0</v>
      </c>
      <c r="AV36" s="8">
        <f t="shared" si="6"/>
        <v>0</v>
      </c>
      <c r="AW36" s="8">
        <f t="shared" si="6"/>
        <v>0</v>
      </c>
      <c r="AX36" s="8">
        <f t="shared" si="6"/>
        <v>0</v>
      </c>
      <c r="AY36" s="8">
        <f t="shared" si="6"/>
        <v>0</v>
      </c>
      <c r="AZ36" s="8">
        <f t="shared" si="6"/>
        <v>0</v>
      </c>
      <c r="BA36" s="8">
        <f t="shared" si="6"/>
        <v>0</v>
      </c>
      <c r="BB36" s="8">
        <f t="shared" si="6"/>
        <v>0</v>
      </c>
      <c r="BC36" s="8">
        <f t="shared" si="6"/>
        <v>0</v>
      </c>
      <c r="BD36" s="8">
        <f t="shared" si="6"/>
        <v>0</v>
      </c>
      <c r="BE36" s="8">
        <f t="shared" si="6"/>
        <v>0</v>
      </c>
      <c r="BF36" s="8">
        <f t="shared" si="6"/>
        <v>0</v>
      </c>
      <c r="BG36" s="8">
        <f t="shared" si="6"/>
        <v>0</v>
      </c>
      <c r="BH36" s="8">
        <f>BH33*0.34</f>
        <v>0</v>
      </c>
    </row>
    <row r="37" spans="1:60" ht="15" hidden="1" customHeight="1" outlineLevel="1" x14ac:dyDescent="0.25">
      <c r="A37" s="135">
        <f>C37*1000000/$C$16</f>
        <v>0</v>
      </c>
      <c r="B37" s="139" t="s">
        <v>46</v>
      </c>
      <c r="C37" s="132">
        <f>SUMIF($D$15:$BG$15,1,D37:BG37)</f>
        <v>0</v>
      </c>
      <c r="D37" s="138">
        <f t="shared" ref="D37:AJ37" si="7">NPV($C$8,D36:D36)</f>
        <v>0</v>
      </c>
      <c r="E37" s="8">
        <f t="shared" si="7"/>
        <v>0</v>
      </c>
      <c r="F37" s="8">
        <f t="shared" si="7"/>
        <v>0</v>
      </c>
      <c r="G37" s="8">
        <f t="shared" si="7"/>
        <v>0</v>
      </c>
      <c r="H37" s="8">
        <f t="shared" si="7"/>
        <v>0</v>
      </c>
      <c r="I37" s="8">
        <f t="shared" si="7"/>
        <v>0</v>
      </c>
      <c r="J37" s="8">
        <f t="shared" si="7"/>
        <v>0</v>
      </c>
      <c r="K37" s="8">
        <f t="shared" si="7"/>
        <v>0</v>
      </c>
      <c r="L37" s="8">
        <f t="shared" si="7"/>
        <v>0</v>
      </c>
      <c r="M37" s="8">
        <f t="shared" si="7"/>
        <v>0</v>
      </c>
      <c r="N37" s="8">
        <f t="shared" si="7"/>
        <v>0</v>
      </c>
      <c r="O37" s="8">
        <f t="shared" si="7"/>
        <v>0</v>
      </c>
      <c r="P37" s="8">
        <f t="shared" si="7"/>
        <v>0</v>
      </c>
      <c r="Q37" s="8">
        <f t="shared" si="7"/>
        <v>0</v>
      </c>
      <c r="R37" s="8">
        <f t="shared" si="7"/>
        <v>0</v>
      </c>
      <c r="S37" s="8">
        <f t="shared" si="7"/>
        <v>0</v>
      </c>
      <c r="T37" s="8">
        <f t="shared" si="7"/>
        <v>0</v>
      </c>
      <c r="U37" s="8">
        <f t="shared" si="7"/>
        <v>0</v>
      </c>
      <c r="V37" s="8">
        <f t="shared" si="7"/>
        <v>0</v>
      </c>
      <c r="W37" s="8">
        <f t="shared" si="7"/>
        <v>0</v>
      </c>
      <c r="X37" s="8">
        <f t="shared" si="7"/>
        <v>0</v>
      </c>
      <c r="Y37" s="8">
        <f t="shared" si="7"/>
        <v>0</v>
      </c>
      <c r="Z37" s="8">
        <f t="shared" si="7"/>
        <v>0</v>
      </c>
      <c r="AA37" s="8">
        <f t="shared" si="7"/>
        <v>0</v>
      </c>
      <c r="AB37" s="8">
        <f t="shared" si="7"/>
        <v>0</v>
      </c>
      <c r="AC37" s="8">
        <f t="shared" si="7"/>
        <v>0</v>
      </c>
      <c r="AD37" s="8">
        <f t="shared" si="7"/>
        <v>0</v>
      </c>
      <c r="AE37" s="8">
        <f t="shared" si="7"/>
        <v>0</v>
      </c>
      <c r="AF37" s="8">
        <f t="shared" si="7"/>
        <v>0</v>
      </c>
      <c r="AG37" s="8">
        <f t="shared" si="7"/>
        <v>0</v>
      </c>
      <c r="AH37" s="8">
        <f t="shared" si="7"/>
        <v>0</v>
      </c>
      <c r="AI37" s="8">
        <f t="shared" si="7"/>
        <v>0</v>
      </c>
      <c r="AJ37" s="8">
        <f t="shared" si="7"/>
        <v>0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</row>
    <row r="38" spans="1:60" ht="15" hidden="1" customHeight="1" outlineLevel="1" x14ac:dyDescent="0.25">
      <c r="A38" s="135"/>
      <c r="B38" s="1"/>
      <c r="C38" s="132"/>
      <c r="D38" s="13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</row>
    <row r="39" spans="1:60" ht="15" hidden="1" customHeight="1" outlineLevel="1" x14ac:dyDescent="0.25">
      <c r="A39" s="135">
        <f>C39*1000000/$C$16</f>
        <v>-254.80092296398419</v>
      </c>
      <c r="B39" s="136" t="s">
        <v>47</v>
      </c>
      <c r="C39" s="137">
        <f>SUMIF($D$15:$BG$15,1,D39:BG39)</f>
        <v>-304.1421743505677</v>
      </c>
      <c r="D39" s="138">
        <v>-23.835737601358186</v>
      </c>
      <c r="E39" s="8">
        <v>-22.737220702731165</v>
      </c>
      <c r="F39" s="8">
        <v>-33.509100448701233</v>
      </c>
      <c r="G39" s="8">
        <v>-7.6828170031490952</v>
      </c>
      <c r="H39" s="8">
        <v>-7.6348592096285852</v>
      </c>
      <c r="I39" s="8">
        <v>-7.5866760144785275</v>
      </c>
      <c r="J39" s="8">
        <v>-7.538266358311267</v>
      </c>
      <c r="K39" s="8">
        <v>-7.4896291767600172</v>
      </c>
      <c r="L39" s="8">
        <v>-7.4407634004554772</v>
      </c>
      <c r="M39" s="8">
        <v>-7.3916679550023083</v>
      </c>
      <c r="N39" s="8">
        <v>-7.3423417609555077</v>
      </c>
      <c r="O39" s="8">
        <v>-7.2927837337966857</v>
      </c>
      <c r="P39" s="8">
        <v>-7.2429927839102213</v>
      </c>
      <c r="Q39" s="8">
        <v>-7.192967816559289</v>
      </c>
      <c r="R39" s="8">
        <v>-7.1427077318618046</v>
      </c>
      <c r="S39" s="8">
        <v>-7.2429927839102213</v>
      </c>
      <c r="T39" s="8">
        <v>-7.192967816559289</v>
      </c>
      <c r="U39" s="8">
        <v>-7.1427077318618046</v>
      </c>
      <c r="V39" s="8">
        <v>-7.0922114247662424</v>
      </c>
      <c r="W39" s="8">
        <v>-7.0414777850273342</v>
      </c>
      <c r="X39" s="8">
        <v>-6.9905056971816517</v>
      </c>
      <c r="Y39" s="8">
        <v>-6.9392940405230945</v>
      </c>
      <c r="Z39" s="8">
        <v>-6.8878416890782432</v>
      </c>
      <c r="AA39" s="8">
        <v>-6.8361475115815971</v>
      </c>
      <c r="AB39" s="8">
        <v>-6.7842103714507189</v>
      </c>
      <c r="AC39" s="8">
        <v>-6.732029126761228</v>
      </c>
      <c r="AD39" s="8">
        <v>-6.6796026302216944</v>
      </c>
      <c r="AE39" s="8">
        <v>-6.6269297291484257</v>
      </c>
      <c r="AF39" s="8">
        <v>-6.574009265440111</v>
      </c>
      <c r="AG39" s="8">
        <v>-6.5208400755523677</v>
      </c>
      <c r="AH39" s="8">
        <v>-6.4674209904721529</v>
      </c>
      <c r="AI39" s="8">
        <v>-6.4137508356920616</v>
      </c>
      <c r="AJ39" s="8">
        <v>-6.3598284311845035</v>
      </c>
      <c r="AK39" s="8">
        <v>-6.3056525913757593</v>
      </c>
      <c r="AL39" s="8">
        <v>-6.2512221251199129</v>
      </c>
      <c r="AM39" s="8">
        <v>-6.1965358356726643</v>
      </c>
      <c r="AN39" s="8">
        <v>-6.1415925206650162</v>
      </c>
      <c r="AO39" s="8">
        <v>-6.0863909720768277</v>
      </c>
      <c r="AP39" s="8">
        <v>-6.0309299762102793</v>
      </c>
      <c r="AQ39" s="8">
        <v>-5.9752083136631562</v>
      </c>
      <c r="AR39" s="8">
        <v>-5.9192247593020593</v>
      </c>
      <c r="AS39" s="8">
        <v>-5.86297808223547</v>
      </c>
      <c r="AT39" s="8">
        <v>-5.8064670457866665</v>
      </c>
      <c r="AU39" s="8">
        <v>-5.749690407466554</v>
      </c>
      <c r="AV39" s="8">
        <v>-5.692646918946334</v>
      </c>
      <c r="AW39" s="8">
        <v>-5.63533532603007</v>
      </c>
      <c r="AX39" s="8">
        <v>-5.5777543686271009</v>
      </c>
      <c r="AY39" s="8">
        <v>-5.5199027807243386</v>
      </c>
      <c r="AZ39" s="8">
        <v>-5.4617792903584288</v>
      </c>
      <c r="BA39" s="8">
        <v>-5.4033826195878039</v>
      </c>
      <c r="BB39" s="8">
        <v>-5.344711484464554</v>
      </c>
      <c r="BC39" s="8">
        <v>-5.2857645950062242</v>
      </c>
      <c r="BD39" s="8">
        <v>-5.226540655167442</v>
      </c>
      <c r="BE39" s="8">
        <v>-5.167038362811418</v>
      </c>
      <c r="BF39" s="8">
        <v>-5.1072564096813196</v>
      </c>
      <c r="BG39" s="8">
        <v>-5.0471934813715116</v>
      </c>
      <c r="BH39" s="8">
        <v>0</v>
      </c>
    </row>
    <row r="40" spans="1:60" ht="15" hidden="1" customHeight="1" outlineLevel="1" x14ac:dyDescent="0.25">
      <c r="A40" s="135">
        <f>C40*1000000/$C$16</f>
        <v>-227.68076108992722</v>
      </c>
      <c r="B40" s="139" t="s">
        <v>48</v>
      </c>
      <c r="C40" s="132">
        <f>SUMIF($D$15:$BG$15,1,D40:BG40)</f>
        <v>-271.77029396188891</v>
      </c>
      <c r="D40" s="138">
        <f t="shared" ref="D40:AK40" si="8">NPV($C$8,D39:D39)</f>
        <v>-21.745693739019782</v>
      </c>
      <c r="E40" s="8">
        <f t="shared" si="8"/>
        <v>-20.743500626971095</v>
      </c>
      <c r="F40" s="8">
        <f t="shared" si="8"/>
        <v>-30.570844838717573</v>
      </c>
      <c r="G40" s="8">
        <f t="shared" si="8"/>
        <v>-7.0091468700299115</v>
      </c>
      <c r="H40" s="8">
        <f t="shared" si="8"/>
        <v>-6.9653942701423901</v>
      </c>
      <c r="I40" s="8">
        <f t="shared" si="8"/>
        <v>-6.9214360330353975</v>
      </c>
      <c r="J40" s="8">
        <f t="shared" si="8"/>
        <v>-6.8772711922140033</v>
      </c>
      <c r="K40" s="8">
        <f t="shared" si="8"/>
        <v>-6.8328987766407456</v>
      </c>
      <c r="L40" s="8">
        <f t="shared" si="8"/>
        <v>-6.788317810714295</v>
      </c>
      <c r="M40" s="8">
        <f t="shared" si="8"/>
        <v>-6.7435273142479915</v>
      </c>
      <c r="N40" s="8">
        <f t="shared" si="8"/>
        <v>-6.6985263024482951</v>
      </c>
      <c r="O40" s="8">
        <f t="shared" si="8"/>
        <v>-6.6533137858931388</v>
      </c>
      <c r="P40" s="8">
        <f t="shared" si="8"/>
        <v>-6.6078887705101774</v>
      </c>
      <c r="Q40" s="8">
        <f t="shared" si="8"/>
        <v>-6.562250257554914</v>
      </c>
      <c r="R40" s="8">
        <f t="shared" si="8"/>
        <v>-6.5163972435887594</v>
      </c>
      <c r="S40" s="8">
        <f t="shared" si="8"/>
        <v>-6.6078887705101774</v>
      </c>
      <c r="T40" s="8">
        <f t="shared" si="8"/>
        <v>-6.562250257554914</v>
      </c>
      <c r="U40" s="8">
        <f t="shared" si="8"/>
        <v>-6.5163972435887594</v>
      </c>
      <c r="V40" s="8">
        <f t="shared" si="8"/>
        <v>-6.4703287204569628</v>
      </c>
      <c r="W40" s="8">
        <f t="shared" si="8"/>
        <v>-6.4240436752664509</v>
      </c>
      <c r="X40" s="8">
        <f t="shared" si="8"/>
        <v>-6.3775410903635414</v>
      </c>
      <c r="Y40" s="8">
        <f t="shared" si="8"/>
        <v>-6.3308199433115888</v>
      </c>
      <c r="Z40" s="8">
        <f t="shared" si="8"/>
        <v>-6.2838792068684928</v>
      </c>
      <c r="AA40" s="8">
        <f t="shared" si="8"/>
        <v>-6.2367178489641102</v>
      </c>
      <c r="AB40" s="8">
        <f t="shared" si="8"/>
        <v>-6.189334832677579</v>
      </c>
      <c r="AC40" s="8">
        <f t="shared" si="8"/>
        <v>-6.1417291162145045</v>
      </c>
      <c r="AD40" s="8">
        <f t="shared" si="8"/>
        <v>-6.0938996528840503</v>
      </c>
      <c r="AE40" s="8">
        <f t="shared" si="8"/>
        <v>-6.045845391075944</v>
      </c>
      <c r="AF40" s="8">
        <f t="shared" si="8"/>
        <v>-5.9975652742373384</v>
      </c>
      <c r="AG40" s="8">
        <f t="shared" si="8"/>
        <v>-5.9490582408495918</v>
      </c>
      <c r="AH40" s="8">
        <f t="shared" si="8"/>
        <v>-5.9003232244049233</v>
      </c>
      <c r="AI40" s="8">
        <f t="shared" si="8"/>
        <v>-5.8513591533829654</v>
      </c>
      <c r="AJ40" s="8">
        <f t="shared" si="8"/>
        <v>-5.802164951227204</v>
      </c>
      <c r="AK40" s="8">
        <f t="shared" si="8"/>
        <v>-5.7527395363213101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</row>
    <row r="41" spans="1:60" ht="15" hidden="1" customHeight="1" outlineLevel="1" x14ac:dyDescent="0.25">
      <c r="A41" s="105"/>
      <c r="B41" s="1"/>
      <c r="C41" s="132"/>
      <c r="D41" s="13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</row>
    <row r="42" spans="1:60" ht="15" hidden="1" customHeight="1" outlineLevel="1" x14ac:dyDescent="0.25">
      <c r="A42" s="135">
        <f>A24+A27+A30</f>
        <v>317.21040865748932</v>
      </c>
      <c r="B42" s="104" t="s">
        <v>49</v>
      </c>
      <c r="C42" s="132"/>
      <c r="D42" s="138">
        <v>-23.835737601358186</v>
      </c>
      <c r="E42" s="8">
        <v>-46.572958304089354</v>
      </c>
      <c r="F42" s="8">
        <v>-80.082058752790587</v>
      </c>
      <c r="G42" s="8">
        <v>-87.764875755939684</v>
      </c>
      <c r="H42" s="8">
        <v>-95.399734965568271</v>
      </c>
      <c r="I42" s="8">
        <v>-102.9864109800468</v>
      </c>
      <c r="J42" s="8">
        <v>-110.52467733835806</v>
      </c>
      <c r="K42" s="8">
        <v>-118.01430651511808</v>
      </c>
      <c r="L42" s="8">
        <v>-125.45506991557356</v>
      </c>
      <c r="M42" s="8">
        <v>-132.84673787057588</v>
      </c>
      <c r="N42" s="8">
        <v>-140.1890796315314</v>
      </c>
      <c r="O42" s="8">
        <v>-147.48186336532808</v>
      </c>
      <c r="P42" s="8">
        <v>-154.72485614923829</v>
      </c>
      <c r="Q42" s="8">
        <v>-161.9178239657976</v>
      </c>
      <c r="R42" s="8">
        <v>-169.0605316976594</v>
      </c>
      <c r="S42" s="8">
        <v>-154.72485614923829</v>
      </c>
      <c r="T42" s="8">
        <v>-161.9178239657976</v>
      </c>
      <c r="U42" s="8">
        <v>-169.0605316976594</v>
      </c>
      <c r="V42" s="8">
        <v>-176.15274312242565</v>
      </c>
      <c r="W42" s="8">
        <v>-183.19422090745297</v>
      </c>
      <c r="X42" s="8">
        <v>-190.18472660463462</v>
      </c>
      <c r="Y42" s="8">
        <v>-197.12402064515771</v>
      </c>
      <c r="Z42" s="8">
        <v>-204.01186233423596</v>
      </c>
      <c r="AA42" s="8">
        <v>-210.84800984581756</v>
      </c>
      <c r="AB42" s="8">
        <v>-217.63222021726827</v>
      </c>
      <c r="AC42" s="8">
        <v>-224.3642493440295</v>
      </c>
      <c r="AD42" s="8">
        <v>-231.0438519742512</v>
      </c>
      <c r="AE42" s="8">
        <v>-237.67078170339963</v>
      </c>
      <c r="AF42" s="8">
        <v>-244.24479096883974</v>
      </c>
      <c r="AG42" s="8">
        <v>-250.76563104439211</v>
      </c>
      <c r="AH42" s="8">
        <v>-257.23305203486427</v>
      </c>
      <c r="AI42" s="8">
        <v>-263.64680287055631</v>
      </c>
      <c r="AJ42" s="8">
        <v>-270.00663130174081</v>
      </c>
      <c r="AK42" s="8">
        <v>-276.31228389311656</v>
      </c>
      <c r="AL42" s="8">
        <v>-282.56350601823647</v>
      </c>
      <c r="AM42" s="8">
        <v>-288.76004185390912</v>
      </c>
      <c r="AN42" s="8">
        <v>-294.90163437457414</v>
      </c>
      <c r="AO42" s="8">
        <v>-300.98802534665094</v>
      </c>
      <c r="AP42" s="8">
        <v>-307.01895532286125</v>
      </c>
      <c r="AQ42" s="8">
        <v>-312.99416363652438</v>
      </c>
      <c r="AR42" s="8">
        <v>-318.91338839582642</v>
      </c>
      <c r="AS42" s="8">
        <v>-324.7763664780619</v>
      </c>
      <c r="AT42" s="8">
        <v>-330.58283352384859</v>
      </c>
      <c r="AU42" s="8">
        <v>-336.33252393131517</v>
      </c>
      <c r="AV42" s="8">
        <v>-342.02517085026147</v>
      </c>
      <c r="AW42" s="8">
        <v>-347.66050617629156</v>
      </c>
      <c r="AX42" s="8">
        <v>-353.23826054491866</v>
      </c>
      <c r="AY42" s="8">
        <v>-358.75816332564301</v>
      </c>
      <c r="AZ42" s="8">
        <v>-364.21994261600145</v>
      </c>
      <c r="BA42" s="8">
        <v>-369.62332523558928</v>
      </c>
      <c r="BB42" s="8">
        <v>-374.96803672005382</v>
      </c>
      <c r="BC42" s="8">
        <v>-380.25380131506006</v>
      </c>
      <c r="BD42" s="8">
        <v>-385.48034197022753</v>
      </c>
      <c r="BE42" s="8">
        <v>-390.64738033303894</v>
      </c>
      <c r="BF42" s="8">
        <v>-395.75463674272027</v>
      </c>
      <c r="BG42" s="8">
        <v>-400.80183022409176</v>
      </c>
      <c r="BH42" s="8">
        <v>0</v>
      </c>
    </row>
    <row r="43" spans="1:60" ht="15" hidden="1" customHeight="1" outlineLevel="1" x14ac:dyDescent="0.25">
      <c r="A43" s="135">
        <f>A18+A21+A36</f>
        <v>572.01133162147335</v>
      </c>
      <c r="B43" s="104" t="s">
        <v>50</v>
      </c>
      <c r="C43" s="140">
        <v>35</v>
      </c>
      <c r="D43" s="127" t="s">
        <v>3</v>
      </c>
    </row>
    <row r="44" spans="1:60" ht="15" hidden="1" customHeight="1" outlineLevel="1" x14ac:dyDescent="0.25">
      <c r="A44" s="135">
        <f>A42-A43</f>
        <v>-254.80092296398402</v>
      </c>
      <c r="B44" s="104" t="s">
        <v>30</v>
      </c>
      <c r="C44" s="1"/>
      <c r="F44" s="142"/>
      <c r="G44" s="142"/>
    </row>
    <row r="45" spans="1:60" ht="15" hidden="1" customHeight="1" outlineLevel="1" x14ac:dyDescent="0.25">
      <c r="A45" s="135"/>
      <c r="B45" s="104" t="s">
        <v>397</v>
      </c>
      <c r="C45" s="17">
        <v>160</v>
      </c>
      <c r="D45" s="1" t="s">
        <v>8</v>
      </c>
      <c r="F45" s="142"/>
      <c r="G45" s="142"/>
    </row>
    <row r="46" spans="1:60" ht="15" hidden="1" customHeight="1" outlineLevel="1" x14ac:dyDescent="0.25">
      <c r="B46" s="143" t="s">
        <v>51</v>
      </c>
      <c r="C46" s="137">
        <f>F46*$C$16/1000000</f>
        <v>299.84326963133691</v>
      </c>
      <c r="D46" s="144" t="s">
        <v>52</v>
      </c>
      <c r="E46" s="144"/>
      <c r="F46" s="145">
        <f>A27</f>
        <v>251.19943332338059</v>
      </c>
      <c r="G46" s="144" t="s">
        <v>8</v>
      </c>
      <c r="H46" s="144"/>
    </row>
    <row r="47" spans="1:60" ht="15" hidden="1" customHeight="1" outlineLevel="1" x14ac:dyDescent="0.25">
      <c r="B47" s="146" t="s">
        <v>53</v>
      </c>
      <c r="C47" s="147">
        <f>F47*$C$16/1000000</f>
        <v>0</v>
      </c>
      <c r="D47" s="148" t="s">
        <v>52</v>
      </c>
      <c r="E47" s="148"/>
      <c r="F47" s="149">
        <f>A24</f>
        <v>0</v>
      </c>
      <c r="G47" s="148" t="s">
        <v>8</v>
      </c>
      <c r="H47" s="148"/>
    </row>
    <row r="48" spans="1:60" ht="15" hidden="1" customHeight="1" outlineLevel="1" thickBot="1" x14ac:dyDescent="0.3">
      <c r="B48" s="143" t="s">
        <v>54</v>
      </c>
      <c r="C48" s="137">
        <f>F48*$C$16/1000000</f>
        <v>78.793755279902783</v>
      </c>
      <c r="D48" s="144" t="s">
        <v>52</v>
      </c>
      <c r="E48" s="144"/>
      <c r="F48" s="145">
        <f>A30</f>
        <v>66.010975334108764</v>
      </c>
      <c r="G48" s="144" t="s">
        <v>8</v>
      </c>
      <c r="H48" s="144"/>
    </row>
    <row r="49" spans="1:8" s="118" customFormat="1" ht="15" hidden="1" customHeight="1" outlineLevel="1" thickTop="1" x14ac:dyDescent="0.25">
      <c r="B49" s="150" t="s">
        <v>55</v>
      </c>
      <c r="C49" s="151">
        <f>C46+C47+C48</f>
        <v>378.63702491123968</v>
      </c>
      <c r="D49" s="152" t="s">
        <v>52</v>
      </c>
      <c r="E49" s="152"/>
      <c r="F49" s="153">
        <f>F46+F47+F48</f>
        <v>317.21040865748932</v>
      </c>
      <c r="G49" s="152" t="s">
        <v>8</v>
      </c>
      <c r="H49" s="152"/>
    </row>
    <row r="50" spans="1:8" ht="15" hidden="1" customHeight="1" outlineLevel="1" x14ac:dyDescent="0.25">
      <c r="B50" s="146" t="s">
        <v>56</v>
      </c>
      <c r="C50" s="147">
        <f>F50*$C$16/1000000</f>
        <v>682.77919926180721</v>
      </c>
      <c r="D50" s="148" t="s">
        <v>52</v>
      </c>
      <c r="E50" s="148"/>
      <c r="F50" s="149">
        <f>A18+A21</f>
        <v>572.01133162147335</v>
      </c>
      <c r="G50" s="148" t="s">
        <v>8</v>
      </c>
      <c r="H50" s="148"/>
    </row>
    <row r="51" spans="1:8" ht="15" hidden="1" customHeight="1" outlineLevel="1" x14ac:dyDescent="0.25">
      <c r="B51" s="143" t="s">
        <v>57</v>
      </c>
      <c r="C51" s="154">
        <f>F51*$C$16/1000000</f>
        <v>0</v>
      </c>
      <c r="D51" s="144" t="s">
        <v>52</v>
      </c>
      <c r="E51" s="144"/>
      <c r="F51" s="155">
        <f>A36</f>
        <v>0</v>
      </c>
      <c r="G51" s="144" t="s">
        <v>8</v>
      </c>
      <c r="H51" s="144"/>
    </row>
    <row r="52" spans="1:8" s="127" customFormat="1" ht="15" hidden="1" customHeight="1" outlineLevel="1" thickBot="1" x14ac:dyDescent="0.3">
      <c r="B52" s="156"/>
      <c r="C52" s="157"/>
      <c r="D52" s="158"/>
      <c r="E52" s="158"/>
      <c r="F52" s="158"/>
      <c r="G52" s="158"/>
      <c r="H52" s="158"/>
    </row>
    <row r="53" spans="1:8" s="131" customFormat="1" ht="15" hidden="1" customHeight="1" outlineLevel="1" thickTop="1" x14ac:dyDescent="0.25">
      <c r="B53" s="159" t="s">
        <v>58</v>
      </c>
      <c r="C53" s="160">
        <f>C49-C50-C51</f>
        <v>-304.14217435056753</v>
      </c>
      <c r="D53" s="161" t="s">
        <v>52</v>
      </c>
      <c r="E53" s="161"/>
      <c r="F53" s="162">
        <f>F49-F50-F51</f>
        <v>-254.80092296398402</v>
      </c>
      <c r="G53" s="161" t="s">
        <v>8</v>
      </c>
      <c r="H53" s="161"/>
    </row>
    <row r="54" spans="1:8" ht="15" customHeight="1" thickTop="1" thickBot="1" x14ac:dyDescent="0.3">
      <c r="A54" s="135"/>
      <c r="C54" s="17"/>
      <c r="F54" s="142"/>
      <c r="G54" s="142"/>
    </row>
    <row r="55" spans="1:8" s="163" customFormat="1" ht="25.15" customHeight="1" collapsed="1" thickTop="1" thickBot="1" x14ac:dyDescent="0.3">
      <c r="B55" s="789" t="s">
        <v>59</v>
      </c>
      <c r="C55" s="790"/>
      <c r="D55" s="790"/>
      <c r="E55" s="790"/>
      <c r="F55" s="790"/>
      <c r="G55" s="790"/>
      <c r="H55" s="791"/>
    </row>
    <row r="56" spans="1:8" s="127" customFormat="1" ht="15" hidden="1" customHeight="1" outlineLevel="1" thickTop="1" x14ac:dyDescent="0.25">
      <c r="B56" s="164"/>
      <c r="C56" s="165"/>
      <c r="D56" s="166"/>
      <c r="E56" s="166"/>
      <c r="F56" s="167"/>
      <c r="G56" s="166"/>
      <c r="H56" s="18"/>
    </row>
    <row r="57" spans="1:8" s="131" customFormat="1" ht="15" hidden="1" customHeight="1" outlineLevel="1" x14ac:dyDescent="0.25">
      <c r="B57" s="168" t="s">
        <v>60</v>
      </c>
      <c r="C57" s="169">
        <f>C58*C59</f>
        <v>3435328.7819116493</v>
      </c>
      <c r="D57" s="170" t="s">
        <v>9</v>
      </c>
      <c r="E57" s="170"/>
      <c r="F57" s="171">
        <v>108.30876620887024</v>
      </c>
      <c r="G57" s="170" t="s">
        <v>8</v>
      </c>
      <c r="H57" s="19">
        <f>F57/$F$99</f>
        <v>0.28268457161665672</v>
      </c>
    </row>
    <row r="58" spans="1:8" s="127" customFormat="1" ht="15" hidden="1" customHeight="1" outlineLevel="1" x14ac:dyDescent="0.25">
      <c r="B58" s="172" t="s">
        <v>61</v>
      </c>
      <c r="C58" s="173">
        <v>20622.357225599997</v>
      </c>
      <c r="D58" s="166" t="s">
        <v>5</v>
      </c>
      <c r="E58" s="166"/>
      <c r="F58" s="167"/>
      <c r="G58" s="166"/>
      <c r="H58" s="18"/>
    </row>
    <row r="59" spans="1:8" s="127" customFormat="1" ht="15" hidden="1" customHeight="1" outlineLevel="1" x14ac:dyDescent="0.25">
      <c r="B59" s="174" t="s">
        <v>62</v>
      </c>
      <c r="C59" s="175">
        <v>166.58274048551209</v>
      </c>
      <c r="D59" s="176" t="s">
        <v>8</v>
      </c>
      <c r="E59" s="176"/>
      <c r="F59" s="177"/>
      <c r="G59" s="176"/>
      <c r="H59" s="20"/>
    </row>
    <row r="60" spans="1:8" s="127" customFormat="1" ht="15" hidden="1" customHeight="1" outlineLevel="1" x14ac:dyDescent="0.25">
      <c r="B60" s="178"/>
      <c r="C60" s="179"/>
      <c r="D60" s="180"/>
      <c r="E60" s="180"/>
      <c r="F60" s="181"/>
      <c r="G60" s="180"/>
      <c r="H60" s="21"/>
    </row>
    <row r="61" spans="1:8" s="131" customFormat="1" ht="15" hidden="1" customHeight="1" outlineLevel="1" x14ac:dyDescent="0.25">
      <c r="B61" s="143" t="s">
        <v>63</v>
      </c>
      <c r="C61" s="182">
        <f>IF(C68="Sim",(C62*C71+C63*C72+C64*C73+C65*C74+C66*C76+C67*C75)*C69*((1-C93)+(1-C70)*(1-C89)),0)</f>
        <v>2469594.509672855</v>
      </c>
      <c r="D61" s="183" t="s">
        <v>9</v>
      </c>
      <c r="E61" s="183"/>
      <c r="F61" s="184">
        <v>77.861174682099431</v>
      </c>
      <c r="G61" s="183" t="s">
        <v>8</v>
      </c>
      <c r="H61" s="22">
        <f>F61/$F$99</f>
        <v>0.20321672548769534</v>
      </c>
    </row>
    <row r="62" spans="1:8" s="127" customFormat="1" ht="15" hidden="1" customHeight="1" outlineLevel="1" x14ac:dyDescent="0.25">
      <c r="B62" s="185" t="s">
        <v>414</v>
      </c>
      <c r="C62" s="186">
        <v>1126.2160567302833</v>
      </c>
      <c r="D62" s="180" t="s">
        <v>5</v>
      </c>
      <c r="E62" s="180"/>
      <c r="F62" s="181"/>
      <c r="G62" s="180"/>
      <c r="H62" s="21"/>
    </row>
    <row r="63" spans="1:8" s="127" customFormat="1" ht="15" hidden="1" customHeight="1" outlineLevel="1" x14ac:dyDescent="0.25">
      <c r="B63" s="172" t="s">
        <v>415</v>
      </c>
      <c r="C63" s="173">
        <v>765.13915304576494</v>
      </c>
      <c r="D63" s="166" t="s">
        <v>5</v>
      </c>
      <c r="E63" s="166"/>
      <c r="F63" s="167"/>
      <c r="G63" s="166"/>
      <c r="H63" s="18"/>
    </row>
    <row r="64" spans="1:8" s="127" customFormat="1" ht="15" hidden="1" customHeight="1" outlineLevel="1" x14ac:dyDescent="0.25">
      <c r="B64" s="172" t="s">
        <v>416</v>
      </c>
      <c r="C64" s="173">
        <v>395.46518022590095</v>
      </c>
      <c r="D64" s="166" t="s">
        <v>5</v>
      </c>
      <c r="E64" s="166"/>
      <c r="F64" s="167"/>
      <c r="G64" s="166"/>
      <c r="H64" s="18"/>
    </row>
    <row r="65" spans="2:8" s="127" customFormat="1" ht="15" hidden="1" customHeight="1" outlineLevel="1" x14ac:dyDescent="0.25">
      <c r="B65" s="172" t="s">
        <v>417</v>
      </c>
      <c r="C65" s="173">
        <v>206.32965924829614</v>
      </c>
      <c r="D65" s="166" t="s">
        <v>5</v>
      </c>
      <c r="E65" s="166"/>
      <c r="F65" s="167"/>
      <c r="G65" s="166"/>
      <c r="H65" s="18"/>
    </row>
    <row r="66" spans="2:8" s="127" customFormat="1" ht="15" hidden="1" customHeight="1" outlineLevel="1" x14ac:dyDescent="0.25">
      <c r="B66" s="172" t="s">
        <v>418</v>
      </c>
      <c r="C66" s="173">
        <v>51.582414812074035</v>
      </c>
      <c r="D66" s="166" t="s">
        <v>5</v>
      </c>
      <c r="E66" s="166"/>
      <c r="F66" s="167"/>
      <c r="G66" s="166"/>
      <c r="H66" s="18"/>
    </row>
    <row r="67" spans="2:8" s="127" customFormat="1" ht="15" hidden="1" customHeight="1" outlineLevel="1" x14ac:dyDescent="0.25">
      <c r="B67" s="172" t="s">
        <v>419</v>
      </c>
      <c r="C67" s="173">
        <v>197.73259011295048</v>
      </c>
      <c r="D67" s="166" t="s">
        <v>5</v>
      </c>
      <c r="E67" s="166"/>
      <c r="F67" s="167"/>
      <c r="G67" s="166"/>
      <c r="H67" s="18"/>
    </row>
    <row r="68" spans="2:8" s="127" customFormat="1" ht="15" hidden="1" customHeight="1" outlineLevel="1" x14ac:dyDescent="0.25">
      <c r="B68" s="172" t="s">
        <v>420</v>
      </c>
      <c r="C68" s="173" t="s">
        <v>122</v>
      </c>
      <c r="D68" s="166" t="s">
        <v>64</v>
      </c>
      <c r="E68" s="166"/>
      <c r="F68" s="167"/>
      <c r="G68" s="166"/>
      <c r="H68" s="18"/>
    </row>
    <row r="69" spans="2:8" s="127" customFormat="1" ht="15" hidden="1" customHeight="1" outlineLevel="1" x14ac:dyDescent="0.25">
      <c r="B69" s="172" t="s">
        <v>203</v>
      </c>
      <c r="C69" s="23">
        <v>1</v>
      </c>
      <c r="D69" s="166" t="s">
        <v>1</v>
      </c>
      <c r="E69" s="166"/>
      <c r="F69" s="167"/>
      <c r="G69" s="166"/>
      <c r="H69" s="18"/>
    </row>
    <row r="70" spans="2:8" s="127" customFormat="1" ht="15" hidden="1" customHeight="1" outlineLevel="1" x14ac:dyDescent="0.25">
      <c r="B70" s="172" t="s">
        <v>421</v>
      </c>
      <c r="C70" s="23">
        <v>0.25</v>
      </c>
      <c r="D70" s="166" t="s">
        <v>1</v>
      </c>
      <c r="E70" s="166"/>
      <c r="F70" s="167"/>
      <c r="G70" s="166"/>
      <c r="H70" s="18"/>
    </row>
    <row r="71" spans="2:8" s="127" customFormat="1" ht="15" hidden="1" customHeight="1" outlineLevel="1" x14ac:dyDescent="0.25">
      <c r="B71" s="172" t="s">
        <v>422</v>
      </c>
      <c r="C71" s="173">
        <v>300</v>
      </c>
      <c r="D71" s="166" t="s">
        <v>8</v>
      </c>
      <c r="E71" s="166"/>
      <c r="F71" s="167"/>
      <c r="G71" s="166"/>
      <c r="H71" s="18"/>
    </row>
    <row r="72" spans="2:8" s="127" customFormat="1" ht="15" hidden="1" customHeight="1" outlineLevel="1" x14ac:dyDescent="0.25">
      <c r="B72" s="172" t="s">
        <v>423</v>
      </c>
      <c r="C72" s="173">
        <v>750</v>
      </c>
      <c r="D72" s="166" t="s">
        <v>8</v>
      </c>
      <c r="E72" s="166"/>
      <c r="F72" s="167"/>
      <c r="G72" s="166"/>
      <c r="H72" s="18"/>
    </row>
    <row r="73" spans="2:8" s="127" customFormat="1" ht="15" hidden="1" customHeight="1" outlineLevel="1" x14ac:dyDescent="0.25">
      <c r="B73" s="172" t="s">
        <v>424</v>
      </c>
      <c r="C73" s="173">
        <v>1250</v>
      </c>
      <c r="D73" s="166" t="s">
        <v>8</v>
      </c>
      <c r="E73" s="166"/>
      <c r="F73" s="167"/>
      <c r="G73" s="166"/>
      <c r="H73" s="18"/>
    </row>
    <row r="74" spans="2:8" s="127" customFormat="1" ht="15" hidden="1" customHeight="1" outlineLevel="1" x14ac:dyDescent="0.25">
      <c r="B74" s="172" t="s">
        <v>425</v>
      </c>
      <c r="C74" s="173">
        <v>50</v>
      </c>
      <c r="D74" s="166" t="s">
        <v>8</v>
      </c>
      <c r="E74" s="166"/>
      <c r="F74" s="167"/>
      <c r="G74" s="166"/>
      <c r="H74" s="18"/>
    </row>
    <row r="75" spans="2:8" s="127" customFormat="1" ht="15" hidden="1" customHeight="1" outlineLevel="1" x14ac:dyDescent="0.25">
      <c r="B75" s="172" t="s">
        <v>426</v>
      </c>
      <c r="C75" s="173">
        <v>570</v>
      </c>
      <c r="D75" s="166" t="s">
        <v>8</v>
      </c>
      <c r="E75" s="166"/>
      <c r="F75" s="167"/>
      <c r="G75" s="166"/>
      <c r="H75" s="18"/>
    </row>
    <row r="76" spans="2:8" s="127" customFormat="1" ht="15" hidden="1" customHeight="1" outlineLevel="1" x14ac:dyDescent="0.25">
      <c r="B76" s="172" t="s">
        <v>427</v>
      </c>
      <c r="C76" s="173">
        <v>900</v>
      </c>
      <c r="D76" s="166" t="s">
        <v>8</v>
      </c>
      <c r="E76" s="166"/>
      <c r="F76" s="167"/>
      <c r="G76" s="166"/>
      <c r="H76" s="18"/>
    </row>
    <row r="77" spans="2:8" s="127" customFormat="1" ht="15" hidden="1" customHeight="1" outlineLevel="1" x14ac:dyDescent="0.25">
      <c r="B77" s="164"/>
      <c r="C77" s="165"/>
      <c r="D77" s="166"/>
      <c r="E77" s="166"/>
      <c r="F77" s="167"/>
      <c r="G77" s="166"/>
      <c r="H77" s="18"/>
    </row>
    <row r="78" spans="2:8" ht="15" hidden="1" customHeight="1" outlineLevel="1" x14ac:dyDescent="0.25">
      <c r="B78" s="143" t="s">
        <v>65</v>
      </c>
      <c r="C78" s="182">
        <v>1980914.674916042</v>
      </c>
      <c r="D78" s="144" t="s">
        <v>9</v>
      </c>
      <c r="E78" s="144"/>
      <c r="F78" s="155">
        <v>62.454116629212827</v>
      </c>
      <c r="G78" s="144" t="s">
        <v>8</v>
      </c>
      <c r="H78" s="24">
        <f>F78/$F$99</f>
        <v>0.16300449006111803</v>
      </c>
    </row>
    <row r="79" spans="2:8" ht="15" hidden="1" customHeight="1" outlineLevel="1" x14ac:dyDescent="0.25">
      <c r="B79" s="143" t="s">
        <v>66</v>
      </c>
      <c r="C79" s="182">
        <v>2773280.5448824586</v>
      </c>
      <c r="D79" s="144" t="s">
        <v>9</v>
      </c>
      <c r="E79" s="144"/>
      <c r="F79" s="155">
        <v>87.435763280897959</v>
      </c>
      <c r="G79" s="144" t="s">
        <v>8</v>
      </c>
      <c r="H79" s="24">
        <f>F79/$F$99</f>
        <v>0.22820628608556526</v>
      </c>
    </row>
    <row r="80" spans="2:8" s="127" customFormat="1" ht="15" hidden="1" customHeight="1" outlineLevel="1" x14ac:dyDescent="0.25">
      <c r="B80" s="164"/>
      <c r="C80" s="165"/>
      <c r="D80" s="166"/>
      <c r="E80" s="166"/>
      <c r="F80" s="167"/>
      <c r="G80" s="166"/>
      <c r="H80" s="18"/>
    </row>
    <row r="81" spans="2:8" ht="15" hidden="1" customHeight="1" outlineLevel="1" x14ac:dyDescent="0.25">
      <c r="B81" s="187" t="s">
        <v>67</v>
      </c>
      <c r="C81" s="188">
        <f>(C82*C83+C84*C85)*C86</f>
        <v>586662.06209711684</v>
      </c>
      <c r="D81" s="189" t="s">
        <v>9</v>
      </c>
      <c r="E81" s="189"/>
      <c r="F81" s="190">
        <v>18.496233740961479</v>
      </c>
      <c r="G81" s="189" t="s">
        <v>8</v>
      </c>
      <c r="H81" s="25">
        <f>F81/$F$99</f>
        <v>4.8274946660384337E-2</v>
      </c>
    </row>
    <row r="82" spans="2:8" ht="15" hidden="1" customHeight="1" outlineLevel="1" x14ac:dyDescent="0.25">
      <c r="B82" s="191" t="s">
        <v>68</v>
      </c>
      <c r="C82" s="192">
        <v>31717.919999999998</v>
      </c>
      <c r="D82" s="127" t="s">
        <v>5</v>
      </c>
      <c r="E82" s="127"/>
      <c r="F82" s="193"/>
      <c r="G82" s="127"/>
      <c r="H82" s="26"/>
    </row>
    <row r="83" spans="2:8" ht="15" hidden="1" customHeight="1" outlineLevel="1" x14ac:dyDescent="0.25">
      <c r="B83" s="191" t="s">
        <v>69</v>
      </c>
      <c r="C83" s="192">
        <v>292.94394556662456</v>
      </c>
      <c r="D83" s="127" t="s">
        <v>8</v>
      </c>
      <c r="E83" s="127"/>
      <c r="F83" s="193"/>
      <c r="G83" s="127"/>
      <c r="H83" s="26"/>
    </row>
    <row r="84" spans="2:8" ht="15" hidden="1" customHeight="1" outlineLevel="1" x14ac:dyDescent="0.25">
      <c r="B84" s="191" t="s">
        <v>70</v>
      </c>
      <c r="C84" s="192">
        <v>15756</v>
      </c>
      <c r="D84" s="127" t="s">
        <v>5</v>
      </c>
      <c r="E84" s="127"/>
      <c r="F84" s="193"/>
      <c r="G84" s="127"/>
      <c r="H84" s="26"/>
    </row>
    <row r="85" spans="2:8" ht="15" hidden="1" customHeight="1" outlineLevel="1" x14ac:dyDescent="0.25">
      <c r="B85" s="191" t="s">
        <v>71</v>
      </c>
      <c r="C85" s="192">
        <v>154.96754328356084</v>
      </c>
      <c r="D85" s="127" t="s">
        <v>8</v>
      </c>
      <c r="E85" s="127"/>
      <c r="F85" s="193"/>
      <c r="G85" s="127"/>
      <c r="H85" s="26"/>
    </row>
    <row r="86" spans="2:8" ht="15" hidden="1" customHeight="1" outlineLevel="1" x14ac:dyDescent="0.25">
      <c r="B86" s="194" t="s">
        <v>72</v>
      </c>
      <c r="C86" s="27">
        <v>0.05</v>
      </c>
      <c r="D86" s="195" t="s">
        <v>1</v>
      </c>
      <c r="E86" s="195"/>
      <c r="F86" s="196"/>
      <c r="G86" s="195"/>
      <c r="H86" s="28"/>
    </row>
    <row r="87" spans="2:8" s="127" customFormat="1" ht="15" hidden="1" customHeight="1" outlineLevel="1" x14ac:dyDescent="0.25">
      <c r="B87" s="164"/>
      <c r="C87" s="165"/>
      <c r="D87" s="166"/>
      <c r="E87" s="166"/>
      <c r="F87" s="167"/>
      <c r="G87" s="166"/>
      <c r="H87" s="18"/>
    </row>
    <row r="88" spans="2:8" ht="15" hidden="1" customHeight="1" outlineLevel="1" x14ac:dyDescent="0.25">
      <c r="B88" s="187" t="s">
        <v>73</v>
      </c>
      <c r="C88" s="188">
        <f>(C62*C71+C63*C72+C64*C73+C65*C74+C66*C76+C67*C75)*C89*C90</f>
        <v>47264.966692303446</v>
      </c>
      <c r="D88" s="189" t="s">
        <v>9</v>
      </c>
      <c r="E88" s="189"/>
      <c r="F88" s="190">
        <v>1.4901660226239126</v>
      </c>
      <c r="G88" s="189" t="s">
        <v>8</v>
      </c>
      <c r="H88" s="25">
        <f>F88/$F$99</f>
        <v>3.889315320338667E-3</v>
      </c>
    </row>
    <row r="89" spans="2:8" ht="15" hidden="1" customHeight="1" outlineLevel="1" x14ac:dyDescent="0.25">
      <c r="B89" s="194" t="s">
        <v>74</v>
      </c>
      <c r="C89" s="27">
        <v>0.12</v>
      </c>
      <c r="D89" s="195" t="s">
        <v>1</v>
      </c>
      <c r="E89" s="195"/>
      <c r="F89" s="196"/>
      <c r="G89" s="195"/>
      <c r="H89" s="28"/>
    </row>
    <row r="90" spans="2:8" ht="15" hidden="1" customHeight="1" outlineLevel="1" x14ac:dyDescent="0.25">
      <c r="B90" s="194" t="s">
        <v>421</v>
      </c>
      <c r="C90" s="27">
        <v>0.25</v>
      </c>
      <c r="D90" s="195" t="s">
        <v>1</v>
      </c>
      <c r="E90" s="195"/>
      <c r="F90" s="196"/>
      <c r="G90" s="195"/>
      <c r="H90" s="28"/>
    </row>
    <row r="91" spans="2:8" s="127" customFormat="1" ht="15" hidden="1" customHeight="1" outlineLevel="1" x14ac:dyDescent="0.25">
      <c r="B91" s="164"/>
      <c r="C91" s="165"/>
      <c r="D91" s="166"/>
      <c r="E91" s="166"/>
      <c r="F91" s="167"/>
      <c r="G91" s="166"/>
      <c r="H91" s="18"/>
    </row>
    <row r="92" spans="2:8" ht="15" hidden="1" customHeight="1" outlineLevel="1" x14ac:dyDescent="0.25">
      <c r="B92" s="187" t="s">
        <v>75</v>
      </c>
      <c r="C92" s="188">
        <v>859470.46827190602</v>
      </c>
      <c r="D92" s="189" t="s">
        <v>9</v>
      </c>
      <c r="E92" s="197"/>
      <c r="F92" s="198">
        <v>27.097314964912769</v>
      </c>
      <c r="G92" s="197" t="s">
        <v>8</v>
      </c>
      <c r="H92" s="29">
        <f>F92/$F$99</f>
        <v>7.0723664768241559E-2</v>
      </c>
    </row>
    <row r="93" spans="2:8" ht="15" hidden="1" customHeight="1" outlineLevel="1" x14ac:dyDescent="0.25">
      <c r="B93" s="194" t="s">
        <v>76</v>
      </c>
      <c r="C93" s="30">
        <v>9.2499999999999999E-2</v>
      </c>
      <c r="D93" s="195" t="s">
        <v>1</v>
      </c>
      <c r="E93" s="195"/>
      <c r="F93" s="196"/>
      <c r="G93" s="195"/>
      <c r="H93" s="28"/>
    </row>
    <row r="94" spans="2:8" ht="15" hidden="1" customHeight="1" outlineLevel="1" x14ac:dyDescent="0.25">
      <c r="B94" s="191" t="s">
        <v>68</v>
      </c>
      <c r="C94" s="192">
        <f>C82</f>
        <v>31717.919999999998</v>
      </c>
      <c r="D94" s="127" t="s">
        <v>5</v>
      </c>
      <c r="E94" s="127"/>
      <c r="F94" s="193"/>
      <c r="G94" s="127"/>
      <c r="H94" s="26"/>
    </row>
    <row r="95" spans="2:8" ht="15" hidden="1" customHeight="1" outlineLevel="1" x14ac:dyDescent="0.25">
      <c r="B95" s="191" t="s">
        <v>69</v>
      </c>
      <c r="C95" s="192">
        <f>C83</f>
        <v>292.94394556662456</v>
      </c>
      <c r="D95" s="127" t="s">
        <v>8</v>
      </c>
      <c r="E95" s="127"/>
      <c r="F95" s="193"/>
      <c r="G95" s="127"/>
      <c r="H95" s="26"/>
    </row>
    <row r="96" spans="2:8" ht="15" hidden="1" customHeight="1" outlineLevel="1" x14ac:dyDescent="0.25">
      <c r="B96" s="191" t="s">
        <v>70</v>
      </c>
      <c r="C96" s="192">
        <f>C84</f>
        <v>15756</v>
      </c>
      <c r="D96" s="127" t="s">
        <v>5</v>
      </c>
      <c r="E96" s="127"/>
      <c r="F96" s="193"/>
      <c r="G96" s="127"/>
      <c r="H96" s="26"/>
    </row>
    <row r="97" spans="2:8" ht="15" hidden="1" customHeight="1" outlineLevel="1" x14ac:dyDescent="0.25">
      <c r="B97" s="191" t="s">
        <v>71</v>
      </c>
      <c r="C97" s="192">
        <f>C85</f>
        <v>154.96754328356084</v>
      </c>
      <c r="D97" s="127" t="s">
        <v>8</v>
      </c>
      <c r="E97" s="127"/>
      <c r="F97" s="193"/>
      <c r="G97" s="127"/>
      <c r="H97" s="26"/>
    </row>
    <row r="98" spans="2:8" s="127" customFormat="1" ht="15" hidden="1" customHeight="1" outlineLevel="1" thickBot="1" x14ac:dyDescent="0.3">
      <c r="B98" s="156"/>
      <c r="C98" s="157"/>
      <c r="D98" s="158"/>
      <c r="E98" s="158"/>
      <c r="F98" s="158"/>
      <c r="G98" s="158"/>
      <c r="H98" s="158"/>
    </row>
    <row r="99" spans="2:8" s="118" customFormat="1" ht="15" hidden="1" customHeight="1" outlineLevel="1" thickTop="1" x14ac:dyDescent="0.25">
      <c r="B99" s="199" t="s">
        <v>77</v>
      </c>
      <c r="C99" s="200">
        <f>C57+C61+C78+C79+C81+C88+C92</f>
        <v>12152516.008444332</v>
      </c>
      <c r="D99" s="201" t="s">
        <v>9</v>
      </c>
      <c r="E99" s="202"/>
      <c r="F99" s="203">
        <v>383.14353552957863</v>
      </c>
      <c r="G99" s="202" t="s">
        <v>8</v>
      </c>
      <c r="H99" s="31">
        <f>F99/$F$99</f>
        <v>1</v>
      </c>
    </row>
    <row r="100" spans="2:8" ht="15" customHeight="1" thickTop="1" thickBot="1" x14ac:dyDescent="0.3">
      <c r="D100" s="127"/>
      <c r="E100" s="127"/>
      <c r="F100" s="127"/>
      <c r="G100" s="127"/>
      <c r="H100" s="127"/>
    </row>
    <row r="101" spans="2:8" ht="25.15" customHeight="1" collapsed="1" thickTop="1" thickBot="1" x14ac:dyDescent="0.3">
      <c r="B101" s="789" t="s">
        <v>78</v>
      </c>
      <c r="C101" s="790"/>
      <c r="D101" s="790"/>
      <c r="E101" s="790"/>
      <c r="F101" s="790"/>
      <c r="G101" s="790"/>
      <c r="H101" s="791"/>
    </row>
    <row r="102" spans="2:8" ht="15" hidden="1" customHeight="1" outlineLevel="1" thickTop="1" x14ac:dyDescent="0.25">
      <c r="B102" s="122" t="s">
        <v>349</v>
      </c>
      <c r="C102" s="33">
        <v>96866</v>
      </c>
      <c r="D102" s="127" t="s">
        <v>350</v>
      </c>
      <c r="F102" s="5"/>
      <c r="G102" s="204"/>
    </row>
    <row r="103" spans="2:8" ht="15" hidden="1" customHeight="1" outlineLevel="1" x14ac:dyDescent="0.25">
      <c r="B103" s="32" t="s">
        <v>79</v>
      </c>
      <c r="C103" s="33">
        <v>31717.919999999998</v>
      </c>
      <c r="D103" s="34" t="s">
        <v>5</v>
      </c>
      <c r="E103" s="205"/>
      <c r="F103" s="205"/>
      <c r="G103" s="205"/>
      <c r="H103" s="205"/>
    </row>
    <row r="104" spans="2:8" ht="15" hidden="1" customHeight="1" outlineLevel="1" x14ac:dyDescent="0.25">
      <c r="B104" s="32" t="s">
        <v>79</v>
      </c>
      <c r="C104" s="33">
        <f>C103/312</f>
        <v>101.66</v>
      </c>
      <c r="D104" s="34" t="s">
        <v>29</v>
      </c>
      <c r="E104" s="205"/>
      <c r="F104" s="205"/>
      <c r="G104" s="205"/>
      <c r="H104" s="205"/>
    </row>
    <row r="105" spans="2:8" ht="15" hidden="1" customHeight="1" outlineLevel="1" x14ac:dyDescent="0.25">
      <c r="B105" s="35" t="s">
        <v>80</v>
      </c>
      <c r="C105" s="33">
        <v>34388.276541382686</v>
      </c>
      <c r="D105" s="34" t="s">
        <v>5</v>
      </c>
      <c r="E105" s="205"/>
      <c r="F105" s="205"/>
      <c r="G105" s="205"/>
      <c r="H105" s="205"/>
    </row>
    <row r="106" spans="2:8" ht="15" hidden="1" customHeight="1" outlineLevel="1" x14ac:dyDescent="0.25">
      <c r="B106" s="35" t="s">
        <v>81</v>
      </c>
      <c r="C106" s="33">
        <f>C105/312</f>
        <v>110.21883506853425</v>
      </c>
      <c r="D106" s="34" t="s">
        <v>29</v>
      </c>
      <c r="E106" s="205"/>
      <c r="F106" s="205"/>
      <c r="G106" s="205"/>
      <c r="H106" s="205"/>
    </row>
    <row r="107" spans="2:8" ht="15" hidden="1" customHeight="1" outlineLevel="1" x14ac:dyDescent="0.25">
      <c r="B107" s="35" t="s">
        <v>137</v>
      </c>
      <c r="C107" s="658">
        <v>0.48399999999999999</v>
      </c>
      <c r="D107" s="34" t="s">
        <v>1</v>
      </c>
      <c r="E107" s="205"/>
      <c r="F107" s="205"/>
      <c r="G107" s="205"/>
      <c r="H107" s="205"/>
    </row>
    <row r="108" spans="2:8" ht="15" hidden="1" customHeight="1" outlineLevel="1" x14ac:dyDescent="0.25">
      <c r="B108" s="36" t="s">
        <v>82</v>
      </c>
      <c r="C108" s="206">
        <v>1068.6593513476564</v>
      </c>
      <c r="D108" s="37" t="s">
        <v>20</v>
      </c>
      <c r="E108" s="205"/>
      <c r="F108" s="205"/>
      <c r="G108" s="205"/>
      <c r="H108" s="205"/>
    </row>
    <row r="109" spans="2:8" ht="15" hidden="1" customHeight="1" outlineLevel="1" x14ac:dyDescent="0.25">
      <c r="B109" s="36" t="s">
        <v>83</v>
      </c>
      <c r="C109" s="38">
        <v>450</v>
      </c>
      <c r="D109" s="39" t="s">
        <v>0</v>
      </c>
      <c r="E109" s="205"/>
      <c r="F109" s="205"/>
      <c r="G109" s="205"/>
      <c r="H109" s="205"/>
    </row>
    <row r="110" spans="2:8" ht="15" hidden="1" customHeight="1" outlineLevel="1" thickBot="1" x14ac:dyDescent="0.3">
      <c r="B110" s="104" t="s">
        <v>398</v>
      </c>
      <c r="C110" s="105">
        <f>C103*1000/C102/365</f>
        <v>0.8970991984690615</v>
      </c>
      <c r="D110" s="1" t="s">
        <v>399</v>
      </c>
    </row>
    <row r="111" spans="2:8" ht="15" hidden="1" customHeight="1" outlineLevel="1" thickTop="1" x14ac:dyDescent="0.25">
      <c r="B111" s="40" t="s">
        <v>84</v>
      </c>
      <c r="C111" s="207"/>
      <c r="D111" s="6"/>
      <c r="E111" s="6"/>
      <c r="F111" s="6"/>
      <c r="G111" s="6"/>
      <c r="H111" s="6"/>
    </row>
    <row r="112" spans="2:8" s="127" customFormat="1" ht="15" hidden="1" customHeight="1" outlineLevel="1" x14ac:dyDescent="0.25">
      <c r="B112" s="208"/>
      <c r="C112" s="209">
        <v>22.781751849999988</v>
      </c>
      <c r="D112" s="37" t="s">
        <v>22</v>
      </c>
      <c r="E112" s="210"/>
      <c r="F112" s="210"/>
      <c r="G112" s="210"/>
      <c r="H112" s="210"/>
    </row>
    <row r="113" spans="2:8" ht="15" hidden="1" customHeight="1" outlineLevel="1" x14ac:dyDescent="0.25">
      <c r="C113" s="137">
        <f>C112*312*$C$106/$C$104/1000</f>
        <v>7.7063268022325024</v>
      </c>
      <c r="D113" s="41" t="s">
        <v>19</v>
      </c>
    </row>
    <row r="114" spans="2:8" ht="15" hidden="1" customHeight="1" outlineLevel="1" x14ac:dyDescent="0.25">
      <c r="B114" s="42" t="s">
        <v>85</v>
      </c>
      <c r="C114" s="211"/>
      <c r="D114" s="212"/>
      <c r="E114" s="212"/>
      <c r="F114" s="212"/>
      <c r="G114" s="212"/>
      <c r="H114" s="212"/>
    </row>
    <row r="115" spans="2:8" s="127" customFormat="1" ht="15" hidden="1" customHeight="1" outlineLevel="1" x14ac:dyDescent="0.25">
      <c r="B115" s="208"/>
      <c r="C115" s="209">
        <v>35.562701200000006</v>
      </c>
      <c r="D115" s="37" t="s">
        <v>22</v>
      </c>
      <c r="E115" s="210"/>
      <c r="F115" s="210"/>
      <c r="G115" s="210"/>
      <c r="H115" s="210"/>
    </row>
    <row r="116" spans="2:8" ht="15" hidden="1" customHeight="1" outlineLevel="1" x14ac:dyDescent="0.25">
      <c r="B116" s="213"/>
      <c r="C116" s="137">
        <f>C115*312*$C$106/$C$104/1000</f>
        <v>12.029706899706493</v>
      </c>
      <c r="D116" s="43" t="s">
        <v>19</v>
      </c>
      <c r="E116" s="215"/>
      <c r="F116" s="215"/>
      <c r="G116" s="215"/>
      <c r="H116" s="215"/>
    </row>
    <row r="117" spans="2:8" ht="15" hidden="1" customHeight="1" outlineLevel="1" x14ac:dyDescent="0.25">
      <c r="B117" s="44" t="s">
        <v>86</v>
      </c>
      <c r="C117" s="192"/>
    </row>
    <row r="118" spans="2:8" s="127" customFormat="1" ht="15" hidden="1" customHeight="1" outlineLevel="1" x14ac:dyDescent="0.25">
      <c r="B118" s="208"/>
      <c r="C118" s="209">
        <v>43.315546950000012</v>
      </c>
      <c r="D118" s="37" t="s">
        <v>22</v>
      </c>
      <c r="E118" s="210"/>
      <c r="F118" s="210"/>
      <c r="G118" s="210"/>
      <c r="H118" s="210"/>
    </row>
    <row r="119" spans="2:8" ht="15" hidden="1" customHeight="1" outlineLevel="1" thickBot="1" x14ac:dyDescent="0.3">
      <c r="B119" s="216"/>
      <c r="C119" s="659">
        <f>C118*312*$C$106/$C$104/1000</f>
        <v>14.652242839443693</v>
      </c>
      <c r="D119" s="45" t="s">
        <v>19</v>
      </c>
      <c r="E119" s="218"/>
      <c r="F119" s="218"/>
      <c r="G119" s="218"/>
      <c r="H119" s="218"/>
    </row>
    <row r="120" spans="2:8" ht="15" hidden="1" customHeight="1" outlineLevel="1" thickTop="1" thickBot="1" x14ac:dyDescent="0.3">
      <c r="B120" s="104" t="s">
        <v>403</v>
      </c>
      <c r="C120" s="130"/>
    </row>
    <row r="121" spans="2:8" ht="15" hidden="1" customHeight="1" outlineLevel="1" thickTop="1" x14ac:dyDescent="0.25">
      <c r="B121" s="810" t="s">
        <v>87</v>
      </c>
      <c r="C121" s="219"/>
      <c r="D121" s="6"/>
      <c r="E121" s="6"/>
      <c r="F121" s="6"/>
      <c r="G121" s="6"/>
      <c r="H121" s="6"/>
    </row>
    <row r="122" spans="2:8" ht="15" hidden="1" customHeight="1" outlineLevel="1" x14ac:dyDescent="0.25">
      <c r="B122" s="793"/>
      <c r="C122" s="220">
        <v>8.1073850000000007</v>
      </c>
      <c r="D122" s="37" t="s">
        <v>22</v>
      </c>
      <c r="E122" s="205"/>
      <c r="F122" s="205"/>
      <c r="G122" s="205"/>
      <c r="H122" s="205"/>
    </row>
    <row r="123" spans="2:8" ht="15" hidden="1" customHeight="1" outlineLevel="1" x14ac:dyDescent="0.25">
      <c r="B123" s="811"/>
      <c r="C123" s="137">
        <f>C122*312*$C$106/$C$104/1000</f>
        <v>2.7424650541752689</v>
      </c>
      <c r="D123" s="41" t="s">
        <v>19</v>
      </c>
    </row>
    <row r="124" spans="2:8" ht="15" hidden="1" customHeight="1" outlineLevel="1" x14ac:dyDescent="0.25">
      <c r="B124" s="792" t="s">
        <v>88</v>
      </c>
      <c r="C124" s="211"/>
      <c r="D124" s="212"/>
      <c r="E124" s="212"/>
      <c r="F124" s="212"/>
      <c r="G124" s="212"/>
      <c r="H124" s="212"/>
    </row>
    <row r="125" spans="2:8" ht="15" hidden="1" customHeight="1" outlineLevel="1" x14ac:dyDescent="0.25">
      <c r="B125" s="793"/>
      <c r="C125" s="220">
        <v>35.208161950000012</v>
      </c>
      <c r="D125" s="37" t="s">
        <v>22</v>
      </c>
      <c r="E125" s="205"/>
      <c r="F125" s="205"/>
      <c r="G125" s="205"/>
      <c r="H125" s="205"/>
    </row>
    <row r="126" spans="2:8" ht="15" hidden="1" customHeight="1" outlineLevel="1" x14ac:dyDescent="0.25">
      <c r="B126" s="811"/>
      <c r="C126" s="137">
        <f>C125*312*$C$106/$C$104/1000</f>
        <v>11.909777785268423</v>
      </c>
      <c r="D126" s="41" t="s">
        <v>19</v>
      </c>
    </row>
    <row r="127" spans="2:8" ht="15" hidden="1" customHeight="1" outlineLevel="1" x14ac:dyDescent="0.25">
      <c r="B127" s="792" t="s">
        <v>11</v>
      </c>
      <c r="C127" s="211"/>
      <c r="D127" s="212"/>
      <c r="E127" s="212"/>
      <c r="F127" s="212"/>
      <c r="G127" s="212"/>
      <c r="H127" s="212"/>
    </row>
    <row r="128" spans="2:8" ht="15" hidden="1" customHeight="1" outlineLevel="1" x14ac:dyDescent="0.25">
      <c r="B128" s="793"/>
      <c r="C128" s="220">
        <v>0</v>
      </c>
      <c r="D128" s="37" t="s">
        <v>22</v>
      </c>
      <c r="E128" s="205"/>
      <c r="F128" s="205"/>
      <c r="G128" s="205"/>
      <c r="H128" s="205"/>
    </row>
    <row r="129" spans="2:8" ht="15" hidden="1" customHeight="1" outlineLevel="1" x14ac:dyDescent="0.25">
      <c r="B129" s="811"/>
      <c r="C129" s="137">
        <f>C128*312*$C$106/$C$104/1000</f>
        <v>0</v>
      </c>
      <c r="D129" s="43" t="s">
        <v>19</v>
      </c>
      <c r="E129" s="215"/>
      <c r="F129" s="215"/>
      <c r="G129" s="215"/>
      <c r="H129" s="215"/>
    </row>
    <row r="130" spans="2:8" ht="15" hidden="1" customHeight="1" outlineLevel="1" x14ac:dyDescent="0.25">
      <c r="B130" s="792" t="s">
        <v>366</v>
      </c>
      <c r="C130" s="730">
        <v>0</v>
      </c>
      <c r="D130" s="127" t="s">
        <v>365</v>
      </c>
    </row>
    <row r="131" spans="2:8" ht="15" hidden="1" customHeight="1" outlineLevel="1" x14ac:dyDescent="0.25">
      <c r="B131" s="793"/>
      <c r="C131" s="731">
        <f>C130*C106</f>
        <v>0</v>
      </c>
      <c r="D131" s="37" t="s">
        <v>23</v>
      </c>
      <c r="E131" s="205"/>
      <c r="F131" s="205"/>
      <c r="G131" s="205"/>
      <c r="H131" s="205"/>
    </row>
    <row r="132" spans="2:8" ht="15" hidden="1" customHeight="1" outlineLevel="1" x14ac:dyDescent="0.25">
      <c r="B132" s="811"/>
      <c r="C132" s="214">
        <f>C130*C105/1000</f>
        <v>0</v>
      </c>
      <c r="D132" s="43" t="s">
        <v>20</v>
      </c>
      <c r="E132" s="215"/>
      <c r="F132" s="215"/>
      <c r="G132" s="215"/>
      <c r="H132" s="215"/>
    </row>
    <row r="133" spans="2:8" ht="15" hidden="1" customHeight="1" outlineLevel="1" x14ac:dyDescent="0.25">
      <c r="B133" s="792" t="s">
        <v>367</v>
      </c>
      <c r="C133" s="192">
        <v>0</v>
      </c>
      <c r="D133" s="127" t="s">
        <v>140</v>
      </c>
    </row>
    <row r="134" spans="2:8" ht="15" hidden="1" customHeight="1" outlineLevel="1" x14ac:dyDescent="0.25">
      <c r="B134" s="793"/>
      <c r="C134" s="660">
        <f>C133*C106*C107</f>
        <v>0</v>
      </c>
      <c r="D134" s="37" t="s">
        <v>23</v>
      </c>
      <c r="E134" s="205"/>
      <c r="F134" s="205"/>
      <c r="G134" s="205"/>
      <c r="H134" s="205"/>
    </row>
    <row r="135" spans="2:8" ht="15" hidden="1" customHeight="1" outlineLevel="1" x14ac:dyDescent="0.25">
      <c r="B135" s="811"/>
      <c r="C135" s="214">
        <f>C133*C105*C107/1000</f>
        <v>0</v>
      </c>
      <c r="D135" s="43" t="s">
        <v>20</v>
      </c>
      <c r="E135" s="215"/>
      <c r="F135" s="215"/>
      <c r="G135" s="215"/>
      <c r="H135" s="215"/>
    </row>
    <row r="136" spans="2:8" ht="15" hidden="1" customHeight="1" outlineLevel="1" x14ac:dyDescent="0.25">
      <c r="B136" s="792" t="s">
        <v>7</v>
      </c>
      <c r="C136" s="192">
        <v>0</v>
      </c>
      <c r="D136" s="37" t="s">
        <v>400</v>
      </c>
    </row>
    <row r="137" spans="2:8" ht="15" hidden="1" customHeight="1" outlineLevel="1" x14ac:dyDescent="0.25">
      <c r="B137" s="793"/>
      <c r="C137" s="660">
        <f>C136*C106*C107</f>
        <v>0</v>
      </c>
      <c r="D137" s="37" t="s">
        <v>401</v>
      </c>
      <c r="E137" s="205"/>
      <c r="F137" s="205"/>
      <c r="G137" s="205"/>
      <c r="H137" s="205"/>
    </row>
    <row r="138" spans="2:8" ht="15" hidden="1" customHeight="1" outlineLevel="1" x14ac:dyDescent="0.25">
      <c r="B138" s="793"/>
      <c r="C138" s="214">
        <f>C136*C105*C107</f>
        <v>0</v>
      </c>
      <c r="D138" s="37" t="s">
        <v>181</v>
      </c>
      <c r="E138" s="205"/>
      <c r="F138" s="205"/>
      <c r="G138" s="205"/>
      <c r="H138" s="205"/>
    </row>
    <row r="139" spans="2:8" ht="15" hidden="1" customHeight="1" outlineLevel="1" thickBot="1" x14ac:dyDescent="0.3">
      <c r="B139" s="46" t="s">
        <v>89</v>
      </c>
      <c r="C139" s="217">
        <f>(C138*90%)/1000</f>
        <v>0</v>
      </c>
      <c r="D139" s="45" t="s">
        <v>90</v>
      </c>
      <c r="E139" s="218"/>
      <c r="F139" s="218"/>
      <c r="G139" s="218"/>
      <c r="H139" s="218"/>
    </row>
    <row r="140" spans="2:8" ht="15" customHeight="1" thickTop="1" x14ac:dyDescent="0.25">
      <c r="B140" s="747" t="s">
        <v>403</v>
      </c>
      <c r="C140" s="748">
        <v>97</v>
      </c>
    </row>
    <row r="141" spans="2:8" x14ac:dyDescent="0.25">
      <c r="B141" s="747" t="s">
        <v>406</v>
      </c>
      <c r="C141" s="749">
        <v>161122.19511908133</v>
      </c>
    </row>
    <row r="142" spans="2:8" x14ac:dyDescent="0.25">
      <c r="B142" s="747" t="s">
        <v>410</v>
      </c>
      <c r="C142" s="749">
        <v>-34836.778343970363</v>
      </c>
    </row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8.85546875" style="6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13" t="s">
        <v>13</v>
      </c>
      <c r="C3" s="813"/>
      <c r="D3" s="813"/>
      <c r="E3" s="813"/>
      <c r="F3" s="813"/>
      <c r="G3" s="813"/>
      <c r="H3" s="813"/>
      <c r="L3" s="814" t="s">
        <v>144</v>
      </c>
      <c r="M3" s="815"/>
      <c r="N3" s="263"/>
      <c r="O3" s="816" t="s">
        <v>154</v>
      </c>
      <c r="P3" s="816"/>
      <c r="Q3" s="816"/>
      <c r="R3" s="816"/>
      <c r="S3" s="816"/>
      <c r="T3" s="816"/>
      <c r="U3" s="816"/>
      <c r="V3" s="816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17" t="s">
        <v>91</v>
      </c>
      <c r="C5" s="817"/>
      <c r="D5" s="49"/>
      <c r="E5" s="49"/>
      <c r="F5" s="303"/>
      <c r="G5" s="49"/>
      <c r="H5" s="303"/>
      <c r="L5" s="818" t="s">
        <v>156</v>
      </c>
      <c r="M5" s="819"/>
      <c r="N5"/>
      <c r="O5" s="822" t="s">
        <v>143</v>
      </c>
      <c r="P5" s="823"/>
      <c r="Q5" s="823"/>
      <c r="R5" s="823"/>
      <c r="S5" s="823"/>
      <c r="T5" s="823"/>
      <c r="U5" s="823"/>
      <c r="V5" s="824"/>
    </row>
    <row r="6" spans="2:22" s="53" customFormat="1" ht="15" hidden="1" customHeight="1" outlineLevel="1" thickTop="1" thickBot="1" x14ac:dyDescent="0.3">
      <c r="B6" s="817"/>
      <c r="C6" s="817"/>
      <c r="D6" s="50"/>
      <c r="E6" s="52"/>
      <c r="F6" s="51" t="s">
        <v>10</v>
      </c>
      <c r="G6" s="52"/>
      <c r="H6" s="51" t="s">
        <v>10</v>
      </c>
      <c r="L6" s="820"/>
      <c r="M6" s="821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318.85362727861343</v>
      </c>
      <c r="N7" s="234"/>
      <c r="O7" s="237">
        <f>M7</f>
        <v>318.85362727861343</v>
      </c>
      <c r="P7" s="238"/>
      <c r="Q7" s="239">
        <f>M7</f>
        <v>318.85362727861343</v>
      </c>
      <c r="R7" s="239"/>
      <c r="S7" s="239"/>
      <c r="T7" s="239"/>
      <c r="U7" s="239"/>
      <c r="V7" s="240">
        <f>Q7</f>
        <v>318.85362727861343</v>
      </c>
    </row>
    <row r="8" spans="2:22" s="47" customFormat="1" ht="15" hidden="1" customHeight="1" outlineLevel="1" x14ac:dyDescent="0.25">
      <c r="C8" s="54"/>
      <c r="D8" s="41"/>
      <c r="E8" s="56"/>
      <c r="F8" s="269"/>
      <c r="G8" s="269"/>
      <c r="H8" s="269"/>
      <c r="I8" s="54"/>
      <c r="L8" s="686" t="s">
        <v>353</v>
      </c>
      <c r="M8" s="256">
        <f>'RESUMO GERAL Valoriz. RT´s'!G29+'RESUMO GERAL Valoriz. RT´s'!G30</f>
        <v>432.58</v>
      </c>
      <c r="N8" s="236"/>
      <c r="O8" s="241"/>
      <c r="P8" s="242"/>
      <c r="Q8" s="243">
        <f>Q7+M8</f>
        <v>751.43362727861336</v>
      </c>
      <c r="R8" s="243">
        <f>M7</f>
        <v>318.85362727861343</v>
      </c>
      <c r="S8" s="243">
        <f>IF(R8&gt;=0,IF(M8&gt;=0,Q7,Q8),IF(M8&gt;=0,S7,Q8))</f>
        <v>318.85362727861343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25" t="s">
        <v>92</v>
      </c>
      <c r="C9" s="47" t="s">
        <v>4</v>
      </c>
      <c r="D9" s="41" t="s">
        <v>20</v>
      </c>
      <c r="E9" s="60"/>
      <c r="F9" s="57">
        <f>'C-Dados RT3 Simplif.'!C108</f>
        <v>1068.6593513476564</v>
      </c>
      <c r="G9" s="57"/>
      <c r="H9" s="365">
        <v>0</v>
      </c>
      <c r="L9" s="686" t="s">
        <v>354</v>
      </c>
      <c r="M9" s="256">
        <f>'RESUMO GERAL Valoriz. RT´s'!G31</f>
        <v>0.71</v>
      </c>
      <c r="N9" s="236"/>
      <c r="O9" s="241"/>
      <c r="P9" s="242"/>
      <c r="Q9" s="243">
        <f>Q8+M9</f>
        <v>752.14362727861339</v>
      </c>
      <c r="R9" s="243">
        <f>M8</f>
        <v>432.58</v>
      </c>
      <c r="S9" s="243">
        <f>IF(R9&gt;=0,IF(M9&gt;=0,Q8,Q9),IF(M9&gt;=0,S8,Q9))</f>
        <v>751.43362727861336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25"/>
      <c r="C10" s="61" t="s">
        <v>27</v>
      </c>
      <c r="D10" s="41" t="s">
        <v>28</v>
      </c>
      <c r="E10" s="60"/>
      <c r="F10" s="365">
        <v>0</v>
      </c>
      <c r="G10" s="62"/>
      <c r="H10" s="365">
        <v>0</v>
      </c>
      <c r="L10" s="249" t="s">
        <v>352</v>
      </c>
      <c r="M10" s="257">
        <f>SUM(M7:M9)</f>
        <v>752.14362727861339</v>
      </c>
      <c r="N10" s="234"/>
      <c r="O10" s="237">
        <f>M10</f>
        <v>752.14362727861339</v>
      </c>
      <c r="P10" s="238"/>
      <c r="Q10" s="239">
        <f>M10</f>
        <v>752.14362727861339</v>
      </c>
      <c r="R10" s="239"/>
      <c r="S10" s="239"/>
      <c r="T10" s="239"/>
      <c r="U10" s="239"/>
      <c r="V10" s="240">
        <f>Q10</f>
        <v>752.14362727861339</v>
      </c>
    </row>
    <row r="11" spans="2:22" s="47" customFormat="1" ht="15" hidden="1" customHeight="1" outlineLevel="1" x14ac:dyDescent="0.25">
      <c r="B11" s="44"/>
      <c r="D11" s="41"/>
      <c r="E11" s="60"/>
      <c r="F11" s="64"/>
      <c r="G11" s="60"/>
      <c r="H11" s="60"/>
      <c r="L11" s="235" t="s">
        <v>157</v>
      </c>
      <c r="M11" s="256">
        <f>J33</f>
        <v>0</v>
      </c>
      <c r="N11" s="236"/>
      <c r="O11" s="241"/>
      <c r="P11" s="242"/>
      <c r="Q11" s="243">
        <f>Q10+M11</f>
        <v>752.14362727861339</v>
      </c>
      <c r="R11" s="243">
        <f t="shared" ref="R11:R22" si="0">M10</f>
        <v>752.14362727861339</v>
      </c>
      <c r="S11" s="243">
        <f>IF(R11&gt;=0,IF(M11&gt;=0,Q10,Q11),IF(M11&gt;=0,S10,Q11))</f>
        <v>752.14362727861339</v>
      </c>
      <c r="T11" s="243">
        <f>IF(M11&gt;=0,M11,0)</f>
        <v>0</v>
      </c>
      <c r="U11" s="243">
        <f t="shared" ref="U11:U22" si="1">IF(M11&lt;0,M11*-1,0)</f>
        <v>0</v>
      </c>
      <c r="V11" s="244">
        <f>SUM(T11:U11)</f>
        <v>0</v>
      </c>
    </row>
    <row r="12" spans="2:22" s="47" customFormat="1" ht="15" hidden="1" customHeight="1" outlineLevel="1" x14ac:dyDescent="0.25">
      <c r="B12" s="825" t="s">
        <v>93</v>
      </c>
      <c r="C12" s="47" t="s">
        <v>4</v>
      </c>
      <c r="D12" s="41" t="s">
        <v>20</v>
      </c>
      <c r="E12" s="60"/>
      <c r="F12" s="365">
        <v>0</v>
      </c>
      <c r="G12" s="57"/>
      <c r="H12" s="365">
        <v>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752.14362727861339</v>
      </c>
      <c r="R12" s="243">
        <f t="shared" si="0"/>
        <v>0</v>
      </c>
      <c r="S12" s="243">
        <f>IF(R12&gt;=0,IF(M12&gt;=0,Q11,Q12),IF(M12&gt;=0,S11,Q12))</f>
        <v>752.14362727861339</v>
      </c>
      <c r="T12" s="243">
        <f>IF(M12&gt;=0,M12,0)</f>
        <v>0</v>
      </c>
      <c r="U12" s="243">
        <f t="shared" si="1"/>
        <v>0</v>
      </c>
      <c r="V12" s="244">
        <f>SUM(T12:U12)</f>
        <v>0</v>
      </c>
    </row>
    <row r="13" spans="2:22" s="47" customFormat="1" ht="15" hidden="1" customHeight="1" outlineLevel="1" x14ac:dyDescent="0.25">
      <c r="B13" s="825"/>
      <c r="C13" s="61" t="s">
        <v>27</v>
      </c>
      <c r="D13" s="41" t="s">
        <v>28</v>
      </c>
      <c r="E13" s="60"/>
      <c r="F13" s="365">
        <v>0</v>
      </c>
      <c r="G13" s="62"/>
      <c r="H13" s="365">
        <v>0</v>
      </c>
      <c r="L13" s="250" t="s">
        <v>155</v>
      </c>
      <c r="M13" s="257">
        <f>SUM(M10:M12)</f>
        <v>752.14362727861339</v>
      </c>
      <c r="N13" s="234"/>
      <c r="O13" s="245">
        <f>M13</f>
        <v>752.14362727861339</v>
      </c>
      <c r="P13" s="246"/>
      <c r="Q13" s="247">
        <f>Q12+M13-O13</f>
        <v>752.14362727861339</v>
      </c>
      <c r="R13" s="247">
        <f t="shared" si="0"/>
        <v>0</v>
      </c>
      <c r="S13" s="247">
        <v>0</v>
      </c>
      <c r="T13" s="247">
        <v>0</v>
      </c>
      <c r="U13" s="247">
        <f t="shared" si="1"/>
        <v>0</v>
      </c>
      <c r="V13" s="248">
        <f>Q13</f>
        <v>752.14362727861339</v>
      </c>
    </row>
    <row r="14" spans="2:22" s="47" customFormat="1" ht="15" hidden="1" customHeight="1" outlineLevel="1" x14ac:dyDescent="0.25">
      <c r="B14" s="44"/>
      <c r="D14" s="41"/>
      <c r="E14" s="66"/>
      <c r="F14" s="65"/>
      <c r="G14" s="66"/>
      <c r="H14" s="66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752.14362727861339</v>
      </c>
      <c r="R14" s="243">
        <f t="shared" si="0"/>
        <v>752.14362727861339</v>
      </c>
      <c r="S14" s="243">
        <f>IF(R14&gt;=0,IF(M14&gt;=0,Q13,Q14),IF(M14&gt;=0,S13,Q14))</f>
        <v>752.14362727861339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25" t="s">
        <v>94</v>
      </c>
      <c r="C15" s="47" t="s">
        <v>4</v>
      </c>
      <c r="D15" s="41" t="s">
        <v>20</v>
      </c>
      <c r="E15" s="66"/>
      <c r="F15" s="365">
        <v>0</v>
      </c>
      <c r="G15" s="57"/>
      <c r="H15" s="365">
        <v>0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752.14362727861339</v>
      </c>
      <c r="R15" s="243">
        <f t="shared" si="0"/>
        <v>0</v>
      </c>
      <c r="S15" s="243">
        <f>IF(R15&gt;=0,IF(M15&gt;=0,Q14,Q15),IF(M15&gt;=0,S14,Q15))</f>
        <v>752.14362727861339</v>
      </c>
      <c r="T15" s="243">
        <f>IF(M15&gt;=0,M15,0)</f>
        <v>0</v>
      </c>
      <c r="U15" s="243">
        <f t="shared" si="1"/>
        <v>0</v>
      </c>
      <c r="V15" s="244">
        <f>SUM(T15:U15)</f>
        <v>0</v>
      </c>
    </row>
    <row r="16" spans="2:22" s="47" customFormat="1" ht="15" hidden="1" customHeight="1" outlineLevel="1" x14ac:dyDescent="0.25">
      <c r="B16" s="825"/>
      <c r="C16" s="61" t="s">
        <v>27</v>
      </c>
      <c r="D16" s="41" t="s">
        <v>28</v>
      </c>
      <c r="E16" s="66"/>
      <c r="F16" s="365">
        <v>0</v>
      </c>
      <c r="G16" s="62"/>
      <c r="H16" s="365">
        <v>0</v>
      </c>
      <c r="L16" s="250" t="s">
        <v>152</v>
      </c>
      <c r="M16" s="258">
        <f>SUM(M13:M15)</f>
        <v>752.14362727861339</v>
      </c>
      <c r="N16" s="234"/>
      <c r="O16" s="245">
        <f>M16</f>
        <v>752.14362727861339</v>
      </c>
      <c r="P16" s="246"/>
      <c r="Q16" s="247">
        <f>Q15+M16-O16</f>
        <v>752.14362727861339</v>
      </c>
      <c r="R16" s="247">
        <f t="shared" si="0"/>
        <v>0</v>
      </c>
      <c r="S16" s="247">
        <v>0</v>
      </c>
      <c r="T16" s="247">
        <v>0</v>
      </c>
      <c r="U16" s="247">
        <f t="shared" si="1"/>
        <v>0</v>
      </c>
      <c r="V16" s="248">
        <f>Q16</f>
        <v>752.14362727861339</v>
      </c>
    </row>
    <row r="17" spans="2:22" s="47" customFormat="1" ht="15" hidden="1" customHeight="1" outlineLevel="1" x14ac:dyDescent="0.25">
      <c r="B17" s="825"/>
      <c r="C17" s="47" t="s">
        <v>12</v>
      </c>
      <c r="D17" s="41" t="s">
        <v>19</v>
      </c>
      <c r="E17" s="66"/>
      <c r="F17" s="62">
        <f>F23</f>
        <v>11.909777785268423</v>
      </c>
      <c r="G17" s="62"/>
      <c r="H17" s="57">
        <f>'Demanda Preço &amp; Quantidade'!C27</f>
        <v>150</v>
      </c>
      <c r="L17" s="235" t="s">
        <v>161</v>
      </c>
      <c r="M17" s="256">
        <f>J39*C53</f>
        <v>0</v>
      </c>
      <c r="N17" s="236"/>
      <c r="O17" s="241"/>
      <c r="P17" s="242"/>
      <c r="Q17" s="243">
        <f>Q16+M17</f>
        <v>752.14362727861339</v>
      </c>
      <c r="R17" s="243">
        <f t="shared" si="0"/>
        <v>752.14362727861339</v>
      </c>
      <c r="S17" s="243">
        <f>IF(R17&gt;=0,IF(M17&gt;=0,Q16,Q17),IF(M17&gt;=0,S16,Q17))</f>
        <v>752.14362727861339</v>
      </c>
      <c r="T17" s="243">
        <f>IF(M17&gt;=0,M17,0)</f>
        <v>0</v>
      </c>
      <c r="U17" s="243">
        <f t="shared" si="1"/>
        <v>0</v>
      </c>
      <c r="V17" s="244">
        <f>SUM(T17:U17)</f>
        <v>0</v>
      </c>
    </row>
    <row r="18" spans="2:22" s="47" customFormat="1" ht="15" hidden="1" customHeight="1" outlineLevel="1" x14ac:dyDescent="0.25">
      <c r="B18" s="825"/>
      <c r="C18" s="47" t="s">
        <v>11</v>
      </c>
      <c r="D18" s="41" t="s">
        <v>19</v>
      </c>
      <c r="E18" s="66"/>
      <c r="F18" s="62">
        <f>F24</f>
        <v>0</v>
      </c>
      <c r="G18" s="62"/>
      <c r="H18" s="57">
        <f>'Demanda Preço &amp; Quantidade'!C28</f>
        <v>0</v>
      </c>
      <c r="L18" s="235" t="s">
        <v>162</v>
      </c>
      <c r="M18" s="256">
        <f>J40*C53</f>
        <v>0</v>
      </c>
      <c r="N18" s="236"/>
      <c r="O18" s="241"/>
      <c r="P18" s="242"/>
      <c r="Q18" s="243">
        <f>Q17+M18</f>
        <v>752.14362727861339</v>
      </c>
      <c r="R18" s="243">
        <f t="shared" si="0"/>
        <v>0</v>
      </c>
      <c r="S18" s="243">
        <f>IF(R18&gt;=0,IF(M18&gt;=0,Q17,Q18),IF(M18&gt;=0,S17,Q18))</f>
        <v>752.14362727861339</v>
      </c>
      <c r="T18" s="243">
        <f>IF(M18&gt;=0,M18,0)</f>
        <v>0</v>
      </c>
      <c r="U18" s="243">
        <f t="shared" si="1"/>
        <v>0</v>
      </c>
      <c r="V18" s="244">
        <f>SUM(T18:U18)</f>
        <v>0</v>
      </c>
    </row>
    <row r="19" spans="2:22" s="47" customFormat="1" ht="15" hidden="1" customHeight="1" outlineLevel="1" x14ac:dyDescent="0.25">
      <c r="B19" s="298"/>
      <c r="C19" s="318" t="s">
        <v>87</v>
      </c>
      <c r="D19" s="41" t="s">
        <v>19</v>
      </c>
      <c r="E19" s="66"/>
      <c r="F19" s="62">
        <f>F25</f>
        <v>2.7424650541752702</v>
      </c>
      <c r="G19" s="62"/>
      <c r="H19" s="57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5" t="s">
        <v>163</v>
      </c>
      <c r="M19" s="256">
        <f>J41*C53</f>
        <v>-41.487170175000017</v>
      </c>
      <c r="N19" s="236"/>
      <c r="O19" s="241"/>
      <c r="P19" s="242"/>
      <c r="Q19" s="243">
        <f>Q18+M19</f>
        <v>710.65645710361332</v>
      </c>
      <c r="R19" s="243">
        <f t="shared" si="0"/>
        <v>0</v>
      </c>
      <c r="S19" s="243">
        <f>IF(R19&gt;=0,IF(M19&gt;=0,Q18,Q19),IF(M19&gt;=0,S18,Q19))</f>
        <v>710.65645710361332</v>
      </c>
      <c r="T19" s="243">
        <f>IF(M19&gt;=0,M19,0)</f>
        <v>0</v>
      </c>
      <c r="U19" s="243">
        <f t="shared" si="1"/>
        <v>41.487170175000017</v>
      </c>
      <c r="V19" s="244">
        <f>SUM(T19:U19)</f>
        <v>41.487170175000017</v>
      </c>
    </row>
    <row r="20" spans="2:22" s="47" customFormat="1" ht="15" hidden="1" customHeight="1" outlineLevel="1" x14ac:dyDescent="0.25">
      <c r="D20" s="41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710.65645710361332</v>
      </c>
      <c r="R20" s="243">
        <f t="shared" si="0"/>
        <v>-41.487170175000017</v>
      </c>
      <c r="S20" s="243">
        <f>IF(R20&gt;=0,IF(M20&gt;=0,Q19,Q20),IF(M20&gt;=0,S19,Q20))</f>
        <v>710.65645710361332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25" t="s">
        <v>95</v>
      </c>
      <c r="C21" s="54" t="s">
        <v>24</v>
      </c>
      <c r="D21" s="41" t="s">
        <v>21</v>
      </c>
      <c r="F21" s="365">
        <v>0</v>
      </c>
      <c r="H21" s="69"/>
      <c r="L21" s="235" t="s">
        <v>165</v>
      </c>
      <c r="M21" s="256">
        <f>J43*C53</f>
        <v>-112.45235203125</v>
      </c>
      <c r="N21" s="236"/>
      <c r="O21" s="241"/>
      <c r="P21" s="242"/>
      <c r="Q21" s="243">
        <f>Q20+M21</f>
        <v>598.20410507236329</v>
      </c>
      <c r="R21" s="243">
        <f t="shared" si="0"/>
        <v>0</v>
      </c>
      <c r="S21" s="243">
        <f>IF(R21&gt;=0,IF(M21&gt;=0,Q20,Q21),IF(M21&gt;=0,S20,Q21))</f>
        <v>598.20410507236329</v>
      </c>
      <c r="T21" s="243">
        <f>IF(M21&gt;=0,M21,0)</f>
        <v>0</v>
      </c>
      <c r="U21" s="243">
        <f t="shared" si="1"/>
        <v>112.45235203125</v>
      </c>
      <c r="V21" s="244">
        <f>SUM(T21:U21)</f>
        <v>112.45235203125</v>
      </c>
    </row>
    <row r="22" spans="2:22" ht="15" hidden="1" customHeight="1" outlineLevel="1" thickBot="1" x14ac:dyDescent="0.3">
      <c r="B22" s="825"/>
      <c r="C22" s="54" t="s">
        <v>25</v>
      </c>
      <c r="D22" s="41" t="s">
        <v>28</v>
      </c>
      <c r="F22" s="365">
        <v>0</v>
      </c>
      <c r="H22" s="69"/>
      <c r="L22" s="250" t="s">
        <v>153</v>
      </c>
      <c r="M22" s="259">
        <f>M16+M17+M18+M19+M20+M21</f>
        <v>598.20410507236329</v>
      </c>
      <c r="N22" s="234"/>
      <c r="O22" s="251">
        <f>M22</f>
        <v>598.20410507236329</v>
      </c>
      <c r="P22" s="252"/>
      <c r="Q22" s="253">
        <f>Q21+M22-O22</f>
        <v>598.20410507236329</v>
      </c>
      <c r="R22" s="253">
        <f t="shared" si="0"/>
        <v>-112.45235203125</v>
      </c>
      <c r="S22" s="253">
        <v>0</v>
      </c>
      <c r="T22" s="253">
        <v>0</v>
      </c>
      <c r="U22" s="253">
        <f t="shared" si="1"/>
        <v>0</v>
      </c>
      <c r="V22" s="254">
        <f>Q22</f>
        <v>598.20410507236329</v>
      </c>
    </row>
    <row r="23" spans="2:22" ht="15" hidden="1" customHeight="1" outlineLevel="1" thickTop="1" x14ac:dyDescent="0.25">
      <c r="B23" s="825"/>
      <c r="C23" s="54" t="s">
        <v>26</v>
      </c>
      <c r="D23" s="41" t="s">
        <v>19</v>
      </c>
      <c r="F23" s="62">
        <f>'C-Dados RT3 Simplif.'!C126</f>
        <v>11.909777785268423</v>
      </c>
      <c r="H23" s="70"/>
    </row>
    <row r="24" spans="2:22" ht="15" hidden="1" customHeight="1" outlineLevel="1" x14ac:dyDescent="0.25">
      <c r="B24" s="825"/>
      <c r="C24" s="54" t="s">
        <v>96</v>
      </c>
      <c r="D24" s="41" t="s">
        <v>19</v>
      </c>
      <c r="F24" s="62">
        <f>'C-Dados RT3 Simplif.'!C129</f>
        <v>0</v>
      </c>
      <c r="H24" s="69"/>
    </row>
    <row r="25" spans="2:22" ht="15.75" hidden="1" outlineLevel="1" x14ac:dyDescent="0.25">
      <c r="B25" s="298"/>
      <c r="C25" s="54" t="s">
        <v>87</v>
      </c>
      <c r="D25" s="41" t="s">
        <v>19</v>
      </c>
      <c r="F25" s="62">
        <f>('C-Dados RT3 Simplif.'!C62+'C-Dados RT3 Simplif.'!C63+'C-Dados RT3 Simplif.'!C64+'C-Dados RT3 Simplif.'!C65+'C-Dados RT3 Simplif.'!C66+'C-Dados RT3 Simplif.'!C67)/1000</f>
        <v>2.7424650541752702</v>
      </c>
    </row>
    <row r="26" spans="2:22" s="47" customFormat="1" ht="15.75" thickTop="1" x14ac:dyDescent="0.25">
      <c r="B26" s="53"/>
      <c r="C26" s="53"/>
      <c r="D26" s="41"/>
      <c r="F26" s="55"/>
      <c r="I26" s="54"/>
      <c r="N26" s="61"/>
    </row>
    <row r="27" spans="2:22" x14ac:dyDescent="0.25">
      <c r="F27" s="72"/>
      <c r="K27" s="47"/>
    </row>
    <row r="28" spans="2:22" s="47" customFormat="1" ht="40.15" customHeight="1" collapsed="1" x14ac:dyDescent="0.25">
      <c r="B28" s="826" t="s">
        <v>97</v>
      </c>
      <c r="C28" s="826"/>
      <c r="D28" s="826"/>
      <c r="E28" s="826"/>
      <c r="F28" s="826"/>
      <c r="G28" s="826"/>
      <c r="H28" s="826"/>
      <c r="I28" s="826"/>
      <c r="J28" s="826"/>
    </row>
    <row r="29" spans="2:22" s="47" customFormat="1" ht="4.9000000000000004" hidden="1" customHeight="1" outlineLevel="1" x14ac:dyDescent="0.25">
      <c r="D29" s="41"/>
    </row>
    <row r="30" spans="2:22" s="74" customFormat="1" ht="15.75" hidden="1" outlineLevel="1" x14ac:dyDescent="0.25">
      <c r="B30" s="812" t="s">
        <v>17</v>
      </c>
      <c r="C30" s="812"/>
      <c r="D30" s="73"/>
      <c r="F30" s="847" t="s">
        <v>10</v>
      </c>
      <c r="H30" s="847" t="s">
        <v>10</v>
      </c>
      <c r="J30" s="847" t="s">
        <v>10</v>
      </c>
    </row>
    <row r="31" spans="2:22" s="73" customFormat="1" ht="15.75" hidden="1" outlineLevel="1" x14ac:dyDescent="0.25">
      <c r="B31" s="812"/>
      <c r="C31" s="812"/>
      <c r="F31" s="847"/>
      <c r="H31" s="847"/>
      <c r="J31" s="847"/>
    </row>
    <row r="32" spans="2:22" ht="4.9000000000000004" hidden="1" customHeight="1" outlineLevel="1" x14ac:dyDescent="0.25"/>
    <row r="33" spans="2:11" hidden="1" outlineLevel="1" x14ac:dyDescent="0.25">
      <c r="B33" s="828" t="s">
        <v>14</v>
      </c>
      <c r="C33" s="61" t="s">
        <v>4</v>
      </c>
      <c r="D33" s="76" t="s">
        <v>20</v>
      </c>
      <c r="E33" s="66"/>
      <c r="F33" s="77">
        <f>'C-Dados RT3 Simplif.'!C108</f>
        <v>1068.6593513476564</v>
      </c>
      <c r="G33" s="66"/>
      <c r="H33" s="67">
        <f>H9</f>
        <v>0</v>
      </c>
      <c r="I33" s="78"/>
      <c r="J33" s="79">
        <f>($F$33)*$H$33*(1-'C-Dados RT3 Simplif.'!$C$93)*(1-'C-Dados RT3 Simplif.'!$C$86)/'C-Dados RT3 Simplif.'!$C$105</f>
        <v>0</v>
      </c>
      <c r="K33" s="78"/>
    </row>
    <row r="34" spans="2:11" hidden="1" outlineLevel="1" x14ac:dyDescent="0.25">
      <c r="B34" s="828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0</v>
      </c>
      <c r="I34" s="78"/>
      <c r="J34" s="79">
        <f>-($F$34)*$H$34*(1+'C-Dados RT3 Simplif.'!$C$93)/'C-Dados RT3 Simplif.'!$C$105</f>
        <v>0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28" t="s">
        <v>15</v>
      </c>
      <c r="C36" s="61" t="s">
        <v>4</v>
      </c>
      <c r="D36" s="76" t="s">
        <v>20</v>
      </c>
      <c r="E36" s="66"/>
      <c r="F36" s="81">
        <f t="shared" ref="F36:F43" si="2">F12</f>
        <v>0</v>
      </c>
      <c r="G36" s="66"/>
      <c r="H36" s="67">
        <f>H12</f>
        <v>0</v>
      </c>
      <c r="I36" s="78"/>
      <c r="J36" s="79">
        <f>-F36*$H$36*(1+'C-Dados RT3 Simplif.'!$C$93)/'C-Dados RT3 Simplif.'!$C$105</f>
        <v>0</v>
      </c>
      <c r="K36" s="78"/>
    </row>
    <row r="37" spans="2:11" hidden="1" outlineLevel="1" x14ac:dyDescent="0.25">
      <c r="B37" s="828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0</v>
      </c>
      <c r="I37" s="78"/>
      <c r="J37" s="79">
        <f>-F37*$H$37*(1+'C-Dados RT3 Simplif.'!$C$93)/'C-Dados RT3 Simplif.'!$C$105</f>
        <v>0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28" t="s">
        <v>16</v>
      </c>
      <c r="C39" s="61" t="s">
        <v>4</v>
      </c>
      <c r="D39" s="76" t="s">
        <v>20</v>
      </c>
      <c r="E39" s="66"/>
      <c r="F39" s="86">
        <f>F15</f>
        <v>0</v>
      </c>
      <c r="G39" s="66"/>
      <c r="H39" s="67">
        <f>H15</f>
        <v>0</v>
      </c>
      <c r="I39" s="78"/>
      <c r="J39" s="79">
        <f>-($F$39)*$H$39*(1+'C-Dados RT3 Simplif.'!$C$93)*(1+'C-Dados RT3 Simplif.'!$C$86)/'C-Dados RT3 Simplif.'!$C$105</f>
        <v>0</v>
      </c>
      <c r="K39" s="78"/>
    </row>
    <row r="40" spans="2:11" hidden="1" outlineLevel="1" x14ac:dyDescent="0.25">
      <c r="B40" s="828"/>
      <c r="C40" s="61" t="s">
        <v>27</v>
      </c>
      <c r="D40" s="80" t="s">
        <v>28</v>
      </c>
      <c r="E40" s="66"/>
      <c r="F40" s="87">
        <f>F16</f>
        <v>0</v>
      </c>
      <c r="G40" s="66"/>
      <c r="H40" s="82">
        <f>H16</f>
        <v>0</v>
      </c>
      <c r="I40" s="78"/>
      <c r="J40" s="79">
        <f>-($F$40)*$H$40*1000*(1+'C-Dados RT3 Simplif.'!$C$93)/'C-Dados RT3 Simplif.'!$C$105</f>
        <v>0</v>
      </c>
      <c r="K40" s="78"/>
    </row>
    <row r="41" spans="2:11" hidden="1" outlineLevel="1" x14ac:dyDescent="0.25">
      <c r="B41" s="828"/>
      <c r="C41" s="61" t="s">
        <v>12</v>
      </c>
      <c r="D41" s="88" t="s">
        <v>19</v>
      </c>
      <c r="E41" s="66"/>
      <c r="F41" s="81">
        <f t="shared" si="2"/>
        <v>11.909777785268423</v>
      </c>
      <c r="G41" s="66"/>
      <c r="H41" s="67">
        <f>H17</f>
        <v>150</v>
      </c>
      <c r="I41" s="78"/>
      <c r="J41" s="79">
        <f>-F41*$H$41*1000*(1-'C-Dados RT3 Simplif.'!$C$93)*(1-'C-Dados RT3 Simplif.'!$C$89)/'C-Dados RT3 Simplif.'!$C$105</f>
        <v>-41.487170175000017</v>
      </c>
      <c r="K41" s="78"/>
    </row>
    <row r="42" spans="2:11" hidden="1" outlineLevel="1" x14ac:dyDescent="0.25">
      <c r="B42" s="828"/>
      <c r="C42" s="61" t="s">
        <v>11</v>
      </c>
      <c r="D42" s="80" t="s">
        <v>19</v>
      </c>
      <c r="E42" s="66"/>
      <c r="F42" s="81">
        <f t="shared" si="2"/>
        <v>0</v>
      </c>
      <c r="G42" s="66"/>
      <c r="H42" s="67">
        <f>H18</f>
        <v>0</v>
      </c>
      <c r="I42" s="78"/>
      <c r="J42" s="79">
        <f>-F42*$H$42*1000*(1-'C-Dados RT3 Simplif.'!$C$93)*(1-'C-Dados RT3 Simplif.'!$C$89)/'C-Dados RT3 Simplif.'!$C$105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2.7424650541752702</v>
      </c>
      <c r="G43" s="66"/>
      <c r="H43" s="67">
        <f>H19</f>
        <v>1557.6802507836985</v>
      </c>
      <c r="I43" s="78"/>
      <c r="J43" s="79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</f>
        <v>-112.45235203125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6" customHeight="1" x14ac:dyDescent="0.25">
      <c r="B46" s="848" t="s">
        <v>98</v>
      </c>
      <c r="C46" s="849"/>
      <c r="D46" s="849"/>
      <c r="E46" s="849"/>
      <c r="F46" s="849"/>
      <c r="G46" s="849"/>
      <c r="H46" s="849"/>
      <c r="I46" s="89"/>
      <c r="J46" s="847" t="s">
        <v>10</v>
      </c>
      <c r="K46" s="89"/>
    </row>
    <row r="47" spans="2:11" s="73" customFormat="1" ht="15.6" customHeight="1" x14ac:dyDescent="0.25">
      <c r="B47" s="850"/>
      <c r="C47" s="851"/>
      <c r="D47" s="851"/>
      <c r="E47" s="851"/>
      <c r="F47" s="851"/>
      <c r="G47" s="851"/>
      <c r="H47" s="851"/>
      <c r="I47" s="49"/>
      <c r="J47" s="847"/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11" ht="25.15" customHeight="1" x14ac:dyDescent="0.25">
      <c r="B49" s="356" t="s">
        <v>99</v>
      </c>
      <c r="C49" s="357"/>
      <c r="D49" s="90"/>
      <c r="E49" s="90"/>
      <c r="F49" s="48"/>
      <c r="H49" s="357"/>
      <c r="I49" s="89"/>
      <c r="J49" s="91">
        <f>SUM(J33:J37)+SUM(J39:J43)*C53</f>
        <v>-153.93952220625002</v>
      </c>
      <c r="K49" s="49"/>
    </row>
    <row r="50" spans="2:11" ht="4.9000000000000004" customHeight="1" x14ac:dyDescent="0.25">
      <c r="B50" s="48"/>
      <c r="C50" s="48"/>
      <c r="D50" s="90"/>
      <c r="E50" s="48"/>
      <c r="F50" s="48"/>
      <c r="H50" s="48"/>
      <c r="I50" s="89"/>
      <c r="J50" s="91"/>
      <c r="K50" s="49"/>
    </row>
    <row r="51" spans="2:11" ht="25.15" customHeight="1" x14ac:dyDescent="0.25">
      <c r="B51" s="358" t="s">
        <v>100</v>
      </c>
      <c r="C51" s="359"/>
      <c r="D51" s="90"/>
      <c r="E51" s="90"/>
      <c r="F51" s="48"/>
      <c r="H51" s="359"/>
      <c r="I51" s="92"/>
      <c r="J51" s="300">
        <f>'C-Dados RT3 Simplif.'!C6+J33</f>
        <v>318.85362727861343</v>
      </c>
      <c r="K51" s="355"/>
    </row>
    <row r="52" spans="2:11" ht="4.9000000000000004" customHeight="1" x14ac:dyDescent="0.25">
      <c r="B52" s="48"/>
      <c r="C52" s="48"/>
      <c r="D52" s="90"/>
      <c r="E52" s="48"/>
      <c r="F52" s="48"/>
      <c r="H52" s="48"/>
      <c r="I52" s="89"/>
      <c r="J52" s="94"/>
      <c r="K52" s="95"/>
    </row>
    <row r="53" spans="2:11" ht="25.15" customHeight="1" x14ac:dyDescent="0.25">
      <c r="B53" s="360" t="s">
        <v>101</v>
      </c>
      <c r="C53" s="580">
        <f>'Demanda Preço &amp; Quantidade'!D10</f>
        <v>1</v>
      </c>
      <c r="D53" s="90"/>
      <c r="E53" s="90"/>
      <c r="F53" s="48"/>
      <c r="H53" s="362"/>
      <c r="I53" s="89"/>
      <c r="J53" s="827"/>
      <c r="K53" s="827"/>
    </row>
    <row r="54" spans="2:11" ht="4.9000000000000004" customHeight="1" x14ac:dyDescent="0.25">
      <c r="B54" s="48"/>
      <c r="C54" s="48"/>
      <c r="D54" s="90"/>
      <c r="E54" s="48"/>
      <c r="F54" s="48"/>
      <c r="H54" s="93"/>
      <c r="I54" s="96"/>
      <c r="J54" s="97"/>
      <c r="K54" s="98"/>
    </row>
    <row r="55" spans="2:11" ht="25.15" customHeight="1" x14ac:dyDescent="0.25">
      <c r="B55" s="363" t="s">
        <v>102</v>
      </c>
      <c r="C55" s="364"/>
      <c r="D55" s="90"/>
      <c r="E55" s="90"/>
      <c r="F55" s="48"/>
      <c r="H55" s="364"/>
      <c r="I55" s="49"/>
      <c r="J55" s="99">
        <f>$J$51+J49+M8+M9</f>
        <v>598.2041050723634</v>
      </c>
      <c r="K55" s="100"/>
    </row>
    <row r="56" spans="2:11" ht="12.4" customHeight="1" x14ac:dyDescent="0.25">
      <c r="B56" s="47"/>
      <c r="C56" s="48"/>
      <c r="D56" s="41"/>
      <c r="E56" s="48"/>
      <c r="F56" s="47"/>
      <c r="H56" s="48"/>
      <c r="I56" s="48"/>
      <c r="J56" s="101"/>
      <c r="K56" s="102"/>
    </row>
    <row r="57" spans="2:11" ht="18.75" x14ac:dyDescent="0.3">
      <c r="E57" s="103"/>
      <c r="G57" s="103"/>
      <c r="H57" s="103"/>
      <c r="I57" s="103"/>
      <c r="J57" s="103"/>
      <c r="K57" s="103"/>
    </row>
    <row r="58" spans="2:11" customFormat="1" x14ac:dyDescent="0.25">
      <c r="B58" s="61"/>
      <c r="C58" s="61"/>
      <c r="D58" s="71"/>
      <c r="E58" s="61"/>
      <c r="F58" s="61"/>
      <c r="G58" s="61"/>
      <c r="H58" s="61"/>
      <c r="I58" s="61"/>
    </row>
    <row r="59" spans="2:11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</row>
    <row r="60" spans="2:11" s="233" customFormat="1" ht="15.75" x14ac:dyDescent="0.25"/>
    <row r="61" spans="2:11" customFormat="1" x14ac:dyDescent="0.25">
      <c r="B61" s="61"/>
      <c r="C61" s="61"/>
      <c r="D61" s="71"/>
      <c r="E61" s="61"/>
      <c r="F61" s="61"/>
      <c r="G61" s="61"/>
      <c r="H61" s="61"/>
      <c r="I61" s="61"/>
    </row>
    <row r="62" spans="2:11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11" s="233" customFormat="1" ht="15.75" x14ac:dyDescent="0.25"/>
    <row r="64" spans="2:11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sheetProtection formatRows="0" insertRows="0" sort="0" autoFilter="0"/>
  <mergeCells count="21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2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4" customWidth="1"/>
    <col min="3" max="3" width="13.7109375" style="105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6"/>
      <c r="E1" s="106"/>
      <c r="F1" s="106"/>
      <c r="G1" s="106"/>
      <c r="H1" s="106"/>
    </row>
    <row r="2" spans="1:60" ht="22.5" thickTop="1" thickBot="1" x14ac:dyDescent="0.3">
      <c r="B2" s="11" t="s">
        <v>103</v>
      </c>
      <c r="C2" s="794" t="s">
        <v>413</v>
      </c>
      <c r="D2" s="795"/>
      <c r="E2" s="795"/>
      <c r="F2" s="795"/>
      <c r="G2" s="795"/>
      <c r="H2" s="796"/>
    </row>
    <row r="3" spans="1:60" ht="4.9000000000000004" customHeight="1" thickTop="1" thickBot="1" x14ac:dyDescent="0.3"/>
    <row r="4" spans="1:60" ht="19.5" thickTop="1" x14ac:dyDescent="0.25">
      <c r="B4" s="107" t="str">
        <f>B104</f>
        <v>Quant. RSU (Ano 1)</v>
      </c>
      <c r="C4" s="108">
        <f>C104</f>
        <v>101.66</v>
      </c>
      <c r="D4" s="109" t="str">
        <f>D104</f>
        <v>t/d</v>
      </c>
      <c r="E4" s="110"/>
      <c r="F4" s="110"/>
      <c r="G4" s="110"/>
      <c r="H4" s="111"/>
    </row>
    <row r="5" spans="1:60" ht="19.899999999999999" customHeight="1" x14ac:dyDescent="0.25">
      <c r="B5" s="12" t="s">
        <v>358</v>
      </c>
      <c r="C5" s="13">
        <v>545.44961638466214</v>
      </c>
      <c r="D5" s="14" t="s">
        <v>8</v>
      </c>
      <c r="E5" s="112"/>
      <c r="F5" s="112"/>
      <c r="G5" s="112"/>
      <c r="H5" s="113"/>
    </row>
    <row r="6" spans="1:60" ht="19.899999999999999" customHeight="1" x14ac:dyDescent="0.25">
      <c r="B6" s="12" t="s">
        <v>359</v>
      </c>
      <c r="C6" s="13">
        <v>607.24899876865459</v>
      </c>
      <c r="D6" s="14" t="s">
        <v>8</v>
      </c>
      <c r="E6" s="112"/>
      <c r="F6" s="112"/>
      <c r="G6" s="112"/>
      <c r="H6" s="113"/>
    </row>
    <row r="7" spans="1:60" ht="18.75" x14ac:dyDescent="0.25">
      <c r="B7" s="12" t="s">
        <v>18</v>
      </c>
      <c r="C7" s="13">
        <v>35</v>
      </c>
      <c r="D7" s="14" t="s">
        <v>3</v>
      </c>
      <c r="E7" s="112"/>
      <c r="F7" s="112"/>
      <c r="G7" s="112"/>
      <c r="H7" s="113"/>
    </row>
    <row r="8" spans="1:60" ht="19.5" thickBot="1" x14ac:dyDescent="0.3">
      <c r="B8" s="15" t="s">
        <v>30</v>
      </c>
      <c r="C8" s="230">
        <v>9.611299999999999E-2</v>
      </c>
      <c r="D8" s="16" t="s">
        <v>1</v>
      </c>
      <c r="E8" s="114"/>
      <c r="F8" s="114"/>
      <c r="G8" s="114"/>
      <c r="H8" s="115"/>
    </row>
    <row r="9" spans="1:60" ht="4.9000000000000004" customHeight="1" thickTop="1" thickBot="1" x14ac:dyDescent="0.3"/>
    <row r="10" spans="1:60" s="116" customFormat="1" ht="19.899999999999999" customHeight="1" thickTop="1" x14ac:dyDescent="0.25">
      <c r="B10" s="797" t="s">
        <v>396</v>
      </c>
      <c r="C10" s="798"/>
      <c r="D10" s="801" t="s">
        <v>33</v>
      </c>
      <c r="E10" s="802"/>
      <c r="F10" s="802"/>
      <c r="G10" s="802"/>
      <c r="H10" s="803"/>
      <c r="J10" s="117" t="s">
        <v>104</v>
      </c>
      <c r="K10" s="117" t="s">
        <v>32</v>
      </c>
      <c r="L10" s="117" t="s">
        <v>31</v>
      </c>
      <c r="M10" s="117" t="s">
        <v>33</v>
      </c>
    </row>
    <row r="11" spans="1:60" s="116" customFormat="1" ht="19.899999999999999" customHeight="1" thickBot="1" x14ac:dyDescent="0.3">
      <c r="B11" s="799"/>
      <c r="C11" s="800"/>
      <c r="D11" s="804"/>
      <c r="E11" s="805"/>
      <c r="F11" s="805"/>
      <c r="G11" s="805"/>
      <c r="H11" s="806"/>
    </row>
    <row r="12" spans="1:60" ht="4.9000000000000004" customHeight="1" thickTop="1" thickBot="1" x14ac:dyDescent="0.3"/>
    <row r="13" spans="1:60" s="118" customFormat="1" ht="25.15" customHeight="1" collapsed="1" thickTop="1" thickBot="1" x14ac:dyDescent="0.3">
      <c r="B13" s="807" t="s">
        <v>34</v>
      </c>
      <c r="C13" s="808"/>
      <c r="D13" s="808"/>
      <c r="E13" s="808"/>
      <c r="F13" s="808"/>
      <c r="G13" s="808"/>
      <c r="H13" s="809"/>
      <c r="I13" s="1"/>
      <c r="J13" s="1"/>
    </row>
    <row r="14" spans="1:60" s="119" customFormat="1" ht="15" hidden="1" customHeight="1" outlineLevel="1" thickTop="1" x14ac:dyDescent="0.25">
      <c r="B14" s="119" t="s">
        <v>428</v>
      </c>
      <c r="C14" s="120"/>
      <c r="D14" s="121">
        <v>0</v>
      </c>
      <c r="E14" s="119">
        <v>1</v>
      </c>
      <c r="F14" s="119">
        <v>2</v>
      </c>
      <c r="G14" s="119">
        <v>3</v>
      </c>
      <c r="H14" s="119">
        <v>4</v>
      </c>
      <c r="I14" s="119">
        <v>5</v>
      </c>
      <c r="J14" s="119">
        <v>6</v>
      </c>
      <c r="K14" s="119">
        <v>7</v>
      </c>
      <c r="L14" s="119">
        <v>8</v>
      </c>
      <c r="M14" s="119">
        <v>9</v>
      </c>
      <c r="N14" s="119">
        <v>10</v>
      </c>
      <c r="O14" s="119">
        <v>11</v>
      </c>
      <c r="P14" s="119">
        <v>12</v>
      </c>
      <c r="Q14" s="119">
        <v>13</v>
      </c>
      <c r="R14" s="119">
        <v>14</v>
      </c>
      <c r="S14" s="119">
        <v>15</v>
      </c>
      <c r="T14" s="119">
        <v>16</v>
      </c>
      <c r="U14" s="119">
        <v>17</v>
      </c>
      <c r="V14" s="119">
        <v>18</v>
      </c>
      <c r="W14" s="119">
        <v>19</v>
      </c>
      <c r="X14" s="119">
        <v>20</v>
      </c>
      <c r="Y14" s="119">
        <v>21</v>
      </c>
      <c r="Z14" s="119">
        <v>22</v>
      </c>
      <c r="AA14" s="119">
        <v>23</v>
      </c>
      <c r="AB14" s="119">
        <v>24</v>
      </c>
      <c r="AC14" s="119">
        <v>25</v>
      </c>
      <c r="AD14" s="119">
        <v>26</v>
      </c>
      <c r="AE14" s="119">
        <v>27</v>
      </c>
      <c r="AF14" s="119">
        <v>28</v>
      </c>
      <c r="AG14" s="119">
        <v>29</v>
      </c>
      <c r="AH14" s="119">
        <v>30</v>
      </c>
      <c r="AI14" s="119">
        <v>31</v>
      </c>
      <c r="AJ14" s="119">
        <v>32</v>
      </c>
      <c r="AK14" s="119">
        <v>33</v>
      </c>
      <c r="AL14" s="119">
        <v>34</v>
      </c>
      <c r="AM14" s="119">
        <v>35</v>
      </c>
      <c r="AN14" s="119">
        <v>36</v>
      </c>
      <c r="AO14" s="119">
        <v>37</v>
      </c>
      <c r="AP14" s="119">
        <v>38</v>
      </c>
      <c r="AQ14" s="119">
        <v>39</v>
      </c>
      <c r="AR14" s="119">
        <v>40</v>
      </c>
      <c r="AS14" s="119">
        <v>41</v>
      </c>
      <c r="AT14" s="119">
        <v>42</v>
      </c>
      <c r="AU14" s="119">
        <v>43</v>
      </c>
      <c r="AV14" s="119">
        <v>44</v>
      </c>
      <c r="AW14" s="119">
        <v>45</v>
      </c>
      <c r="AX14" s="119">
        <v>46</v>
      </c>
      <c r="AY14" s="119">
        <v>47</v>
      </c>
      <c r="AZ14" s="119">
        <v>48</v>
      </c>
      <c r="BA14" s="119">
        <v>49</v>
      </c>
      <c r="BB14" s="119">
        <v>50</v>
      </c>
      <c r="BC14" s="119">
        <v>51</v>
      </c>
      <c r="BD14" s="119">
        <v>52</v>
      </c>
      <c r="BE14" s="119">
        <v>0</v>
      </c>
      <c r="BF14" s="119">
        <v>0</v>
      </c>
      <c r="BG14" s="119">
        <v>0</v>
      </c>
      <c r="BH14" s="119">
        <v>0</v>
      </c>
    </row>
    <row r="15" spans="1:60" s="127" customFormat="1" ht="15" hidden="1" customHeight="1" outlineLevel="1" x14ac:dyDescent="0.25">
      <c r="A15" s="788" t="s">
        <v>35</v>
      </c>
      <c r="B15" s="122" t="s">
        <v>36</v>
      </c>
      <c r="C15" s="123"/>
      <c r="D15" s="124">
        <v>1</v>
      </c>
      <c r="E15" s="125">
        <v>1</v>
      </c>
      <c r="F15" s="125">
        <v>1</v>
      </c>
      <c r="G15" s="125">
        <v>1</v>
      </c>
      <c r="H15" s="125">
        <v>1</v>
      </c>
      <c r="I15" s="125">
        <v>1</v>
      </c>
      <c r="J15" s="125">
        <v>1</v>
      </c>
      <c r="K15" s="125">
        <v>1</v>
      </c>
      <c r="L15" s="125">
        <v>1</v>
      </c>
      <c r="M15" s="125">
        <v>1</v>
      </c>
      <c r="N15" s="125">
        <v>1</v>
      </c>
      <c r="O15" s="125">
        <v>1</v>
      </c>
      <c r="P15" s="125">
        <v>1</v>
      </c>
      <c r="Q15" s="125">
        <v>1</v>
      </c>
      <c r="R15" s="125">
        <v>1</v>
      </c>
      <c r="S15" s="125">
        <v>1</v>
      </c>
      <c r="T15" s="125">
        <v>1</v>
      </c>
      <c r="U15" s="125">
        <v>1</v>
      </c>
      <c r="V15" s="125">
        <v>1</v>
      </c>
      <c r="W15" s="125">
        <v>1</v>
      </c>
      <c r="X15" s="125">
        <v>1</v>
      </c>
      <c r="Y15" s="125">
        <v>1</v>
      </c>
      <c r="Z15" s="125">
        <v>1</v>
      </c>
      <c r="AA15" s="125">
        <v>1</v>
      </c>
      <c r="AB15" s="125">
        <v>1</v>
      </c>
      <c r="AC15" s="125">
        <v>1</v>
      </c>
      <c r="AD15" s="125">
        <v>1</v>
      </c>
      <c r="AE15" s="125">
        <v>1</v>
      </c>
      <c r="AF15" s="125">
        <v>1</v>
      </c>
      <c r="AG15" s="125">
        <v>1</v>
      </c>
      <c r="AH15" s="125">
        <v>1</v>
      </c>
      <c r="AI15" s="125">
        <v>1</v>
      </c>
      <c r="AJ15" s="125">
        <v>1</v>
      </c>
      <c r="AK15" s="125">
        <v>1</v>
      </c>
      <c r="AL15" s="125">
        <v>1</v>
      </c>
      <c r="AM15" s="125">
        <v>0</v>
      </c>
      <c r="AN15" s="125">
        <v>0</v>
      </c>
      <c r="AO15" s="125">
        <v>0</v>
      </c>
      <c r="AP15" s="125">
        <v>0</v>
      </c>
      <c r="AQ15" s="125">
        <v>0</v>
      </c>
      <c r="AR15" s="125">
        <v>0</v>
      </c>
      <c r="AS15" s="125">
        <v>0</v>
      </c>
      <c r="AT15" s="125">
        <v>0</v>
      </c>
      <c r="AU15" s="125">
        <v>0</v>
      </c>
      <c r="AV15" s="125">
        <v>0</v>
      </c>
      <c r="AW15" s="125">
        <v>0</v>
      </c>
      <c r="AX15" s="125">
        <v>0</v>
      </c>
      <c r="AY15" s="125">
        <v>0</v>
      </c>
      <c r="AZ15" s="125">
        <v>0</v>
      </c>
      <c r="BA15" s="125">
        <v>0</v>
      </c>
      <c r="BB15" s="125">
        <v>0</v>
      </c>
      <c r="BC15" s="125">
        <v>0</v>
      </c>
      <c r="BD15" s="125">
        <v>0</v>
      </c>
      <c r="BE15" s="125">
        <v>0</v>
      </c>
      <c r="BF15" s="125">
        <v>0</v>
      </c>
      <c r="BG15" s="125">
        <v>0</v>
      </c>
      <c r="BH15" s="126">
        <v>0</v>
      </c>
    </row>
    <row r="16" spans="1:60" s="131" customFormat="1" ht="15" hidden="1" customHeight="1" outlineLevel="1" x14ac:dyDescent="0.25">
      <c r="A16" s="788"/>
      <c r="B16" s="104" t="s">
        <v>429</v>
      </c>
      <c r="C16" s="128">
        <f>SUMIF($D$15:$BG$15,1,D16:BG16)</f>
        <v>1193646.2820174235</v>
      </c>
      <c r="D16" s="129">
        <v>31717.919999999998</v>
      </c>
      <c r="E16" s="130">
        <v>31866.994223999995</v>
      </c>
      <c r="F16" s="130">
        <v>32016.769096852793</v>
      </c>
      <c r="G16" s="130">
        <v>32167.247911607999</v>
      </c>
      <c r="H16" s="130">
        <v>32318.433976792556</v>
      </c>
      <c r="I16" s="130">
        <v>32470.330616483479</v>
      </c>
      <c r="J16" s="130">
        <v>32622.941170380949</v>
      </c>
      <c r="K16" s="130">
        <v>32776.268993881735</v>
      </c>
      <c r="L16" s="130">
        <v>32930.317458152975</v>
      </c>
      <c r="M16" s="130">
        <v>33085.089950206289</v>
      </c>
      <c r="N16" s="130">
        <v>33240.589872972254</v>
      </c>
      <c r="O16" s="130">
        <v>33396.820645375221</v>
      </c>
      <c r="P16" s="130">
        <v>33553.785702408481</v>
      </c>
      <c r="Q16" s="130">
        <v>33711.4884952098</v>
      </c>
      <c r="R16" s="130">
        <v>33869.932491137282</v>
      </c>
      <c r="S16" s="130">
        <v>33553.785702408481</v>
      </c>
      <c r="T16" s="130">
        <v>33711.4884952098</v>
      </c>
      <c r="U16" s="130">
        <v>33869.932491137282</v>
      </c>
      <c r="V16" s="130">
        <v>34029.121173845626</v>
      </c>
      <c r="W16" s="130">
        <v>34189.058043362696</v>
      </c>
      <c r="X16" s="130">
        <v>34349.7466161665</v>
      </c>
      <c r="Y16" s="130">
        <v>34511.190425262481</v>
      </c>
      <c r="Z16" s="130">
        <v>34673.39302026121</v>
      </c>
      <c r="AA16" s="130">
        <v>34836.357967456432</v>
      </c>
      <c r="AB16" s="130">
        <v>35000.088849903477</v>
      </c>
      <c r="AC16" s="130">
        <v>35164.58926749802</v>
      </c>
      <c r="AD16" s="130">
        <v>35329.862837055261</v>
      </c>
      <c r="AE16" s="130">
        <v>35495.913192389417</v>
      </c>
      <c r="AF16" s="130">
        <v>35662.743984393644</v>
      </c>
      <c r="AG16" s="130">
        <v>35830.358881120294</v>
      </c>
      <c r="AH16" s="130">
        <v>35998.761567861555</v>
      </c>
      <c r="AI16" s="130">
        <v>36167.955747230502</v>
      </c>
      <c r="AJ16" s="130">
        <v>36337.945139242482</v>
      </c>
      <c r="AK16" s="130">
        <v>36508.733481396921</v>
      </c>
      <c r="AL16" s="130">
        <v>36680.324528759484</v>
      </c>
      <c r="AM16" s="130">
        <v>36852.722054044651</v>
      </c>
      <c r="AN16" s="130">
        <v>37025.929847698659</v>
      </c>
      <c r="AO16" s="130">
        <v>37199.95171798284</v>
      </c>
      <c r="AP16" s="130">
        <v>37374.79149105736</v>
      </c>
      <c r="AQ16" s="130">
        <v>37550.453011065329</v>
      </c>
      <c r="AR16" s="130">
        <v>37726.940140217332</v>
      </c>
      <c r="AS16" s="130">
        <v>37904.256758876349</v>
      </c>
      <c r="AT16" s="130">
        <v>38082.406765643063</v>
      </c>
      <c r="AU16" s="130">
        <v>38261.394077441582</v>
      </c>
      <c r="AV16" s="130">
        <v>38441.222629605552</v>
      </c>
      <c r="AW16" s="130">
        <v>38621.896375964694</v>
      </c>
      <c r="AX16" s="130">
        <v>38803.419288931727</v>
      </c>
      <c r="AY16" s="130">
        <v>38985.795359589705</v>
      </c>
      <c r="AZ16" s="130">
        <v>39169.028597779776</v>
      </c>
      <c r="BA16" s="130">
        <v>39353.123032189338</v>
      </c>
      <c r="BB16" s="130">
        <v>39538.082710440627</v>
      </c>
      <c r="BC16" s="130">
        <v>39723.911699179698</v>
      </c>
      <c r="BD16" s="130">
        <v>39910.614084165842</v>
      </c>
      <c r="BE16" s="130">
        <v>40098.193970361419</v>
      </c>
      <c r="BF16" s="130">
        <v>40286.655482022114</v>
      </c>
      <c r="BG16" s="130">
        <v>40476.002762787612</v>
      </c>
      <c r="BH16" s="130">
        <v>0</v>
      </c>
    </row>
    <row r="17" spans="1:60" ht="15" hidden="1" customHeight="1" outlineLevel="1" x14ac:dyDescent="0.25">
      <c r="A17" s="105"/>
      <c r="C17" s="132"/>
      <c r="D17" s="133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</row>
    <row r="18" spans="1:60" ht="15" hidden="1" customHeight="1" outlineLevel="1" x14ac:dyDescent="0.25">
      <c r="A18" s="135">
        <f>C18*1000000/$C$16</f>
        <v>77.628196475090391</v>
      </c>
      <c r="B18" s="136" t="s">
        <v>430</v>
      </c>
      <c r="C18" s="137">
        <f>SUMIF($D$15:$BG$15,1,D18:BG18)</f>
        <v>92.660608102209721</v>
      </c>
      <c r="D18" s="138">
        <v>28.146383253966345</v>
      </c>
      <c r="E18" s="8">
        <v>26.72354908980946</v>
      </c>
      <c r="F18" s="8">
        <v>37.79067575843392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</row>
    <row r="19" spans="1:60" ht="15" hidden="1" customHeight="1" outlineLevel="1" x14ac:dyDescent="0.25">
      <c r="A19" s="135">
        <f>C19*1000000/$C$16</f>
        <v>70.821344583168354</v>
      </c>
      <c r="B19" s="139" t="s">
        <v>37</v>
      </c>
      <c r="C19" s="132">
        <f>SUMIF($D$15:$BG$15,1,D19:BG19)</f>
        <v>84.535634649173701</v>
      </c>
      <c r="D19" s="138">
        <f t="shared" ref="D19:AJ19" si="0">NPV($C$8,D18:D18)</f>
        <v>25.678359123526814</v>
      </c>
      <c r="E19" s="8">
        <f t="shared" si="0"/>
        <v>24.380286603488383</v>
      </c>
      <c r="F19" s="8">
        <f t="shared" si="0"/>
        <v>34.476988922158505</v>
      </c>
      <c r="G19" s="8">
        <f t="shared" si="0"/>
        <v>0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8">
        <f t="shared" si="0"/>
        <v>0</v>
      </c>
      <c r="N19" s="8">
        <f t="shared" si="0"/>
        <v>0</v>
      </c>
      <c r="O19" s="8">
        <f t="shared" si="0"/>
        <v>0</v>
      </c>
      <c r="P19" s="8">
        <f t="shared" si="0"/>
        <v>0</v>
      </c>
      <c r="Q19" s="8">
        <f t="shared" si="0"/>
        <v>0</v>
      </c>
      <c r="R19" s="8">
        <f t="shared" si="0"/>
        <v>0</v>
      </c>
      <c r="S19" s="8">
        <f t="shared" si="0"/>
        <v>0</v>
      </c>
      <c r="T19" s="8">
        <f t="shared" si="0"/>
        <v>0</v>
      </c>
      <c r="U19" s="8">
        <f t="shared" si="0"/>
        <v>0</v>
      </c>
      <c r="V19" s="8">
        <f t="shared" si="0"/>
        <v>0</v>
      </c>
      <c r="W19" s="8">
        <f t="shared" si="0"/>
        <v>0</v>
      </c>
      <c r="X19" s="8">
        <f t="shared" si="0"/>
        <v>0</v>
      </c>
      <c r="Y19" s="8">
        <f t="shared" si="0"/>
        <v>0</v>
      </c>
      <c r="Z19" s="8">
        <f t="shared" si="0"/>
        <v>0</v>
      </c>
      <c r="AA19" s="8">
        <f t="shared" si="0"/>
        <v>0</v>
      </c>
      <c r="AB19" s="8">
        <f t="shared" si="0"/>
        <v>0</v>
      </c>
      <c r="AC19" s="8">
        <f t="shared" si="0"/>
        <v>0</v>
      </c>
      <c r="AD19" s="8">
        <f t="shared" si="0"/>
        <v>0</v>
      </c>
      <c r="AE19" s="8">
        <f t="shared" si="0"/>
        <v>0</v>
      </c>
      <c r="AF19" s="8">
        <f t="shared" si="0"/>
        <v>0</v>
      </c>
      <c r="AG19" s="8">
        <f t="shared" si="0"/>
        <v>0</v>
      </c>
      <c r="AH19" s="8">
        <f t="shared" si="0"/>
        <v>0</v>
      </c>
      <c r="AI19" s="8">
        <f t="shared" si="0"/>
        <v>0</v>
      </c>
      <c r="AJ19" s="8">
        <f t="shared" si="0"/>
        <v>0</v>
      </c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1:60" ht="15" hidden="1" customHeight="1" outlineLevel="1" x14ac:dyDescent="0.25">
      <c r="A20" s="135"/>
      <c r="B20" s="1"/>
      <c r="C20" s="732">
        <f>C18*1000000/(C16/C43)</f>
        <v>2716.9868766281638</v>
      </c>
      <c r="D20" s="13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</row>
    <row r="21" spans="1:60" ht="15" hidden="1" customHeight="1" outlineLevel="1" x14ac:dyDescent="0.25">
      <c r="A21" s="135">
        <f>C21*1000000/$C$16</f>
        <v>480.10168456668544</v>
      </c>
      <c r="B21" s="136" t="s">
        <v>431</v>
      </c>
      <c r="C21" s="137">
        <f>SUMIF($D$15:$BG$15,1,D21:BG21)</f>
        <v>573.07159077332597</v>
      </c>
      <c r="D21" s="138">
        <v>5.00414475505496</v>
      </c>
      <c r="E21" s="8">
        <v>5.00414475505496</v>
      </c>
      <c r="F21" s="8">
        <v>5.00414475505496</v>
      </c>
      <c r="G21" s="8">
        <v>17.439348640880034</v>
      </c>
      <c r="H21" s="8">
        <v>17.439348640880034</v>
      </c>
      <c r="I21" s="8">
        <v>17.439348640880034</v>
      </c>
      <c r="J21" s="8">
        <v>17.439348640880034</v>
      </c>
      <c r="K21" s="8">
        <v>17.439348640880034</v>
      </c>
      <c r="L21" s="8">
        <v>17.439348640880034</v>
      </c>
      <c r="M21" s="8">
        <v>17.439348640880034</v>
      </c>
      <c r="N21" s="8">
        <v>17.439348640880034</v>
      </c>
      <c r="O21" s="8">
        <v>17.439348640880034</v>
      </c>
      <c r="P21" s="8">
        <v>17.439348640880034</v>
      </c>
      <c r="Q21" s="8">
        <v>17.439348640880034</v>
      </c>
      <c r="R21" s="8">
        <v>17.439348640880034</v>
      </c>
      <c r="S21" s="8">
        <v>17.439348640880034</v>
      </c>
      <c r="T21" s="8">
        <v>17.439348640880034</v>
      </c>
      <c r="U21" s="8">
        <v>17.439348640880034</v>
      </c>
      <c r="V21" s="8">
        <v>17.439348640880034</v>
      </c>
      <c r="W21" s="8">
        <v>17.439348640880034</v>
      </c>
      <c r="X21" s="8">
        <v>17.439348640880034</v>
      </c>
      <c r="Y21" s="8">
        <v>17.439348640880034</v>
      </c>
      <c r="Z21" s="8">
        <v>17.439348640880034</v>
      </c>
      <c r="AA21" s="8">
        <v>17.439348640880034</v>
      </c>
      <c r="AB21" s="8">
        <v>17.439348640880034</v>
      </c>
      <c r="AC21" s="8">
        <v>17.439348640880034</v>
      </c>
      <c r="AD21" s="8">
        <v>17.439348640880034</v>
      </c>
      <c r="AE21" s="8">
        <v>17.439348640880034</v>
      </c>
      <c r="AF21" s="8">
        <v>17.439348640880034</v>
      </c>
      <c r="AG21" s="8">
        <v>17.439348640880034</v>
      </c>
      <c r="AH21" s="8">
        <v>17.439348640880034</v>
      </c>
      <c r="AI21" s="8">
        <v>17.439348640880034</v>
      </c>
      <c r="AJ21" s="8">
        <v>17.439348640880034</v>
      </c>
      <c r="AK21" s="8">
        <v>17.439348640880034</v>
      </c>
      <c r="AL21" s="8">
        <v>17.439348640880034</v>
      </c>
      <c r="AM21" s="8">
        <v>17.439348640880034</v>
      </c>
      <c r="AN21" s="8">
        <v>17.439348640880034</v>
      </c>
      <c r="AO21" s="8">
        <v>17.439348640880034</v>
      </c>
      <c r="AP21" s="8">
        <v>17.439348640880034</v>
      </c>
      <c r="AQ21" s="8">
        <v>17.439348640880034</v>
      </c>
      <c r="AR21" s="8">
        <v>17.439348640880034</v>
      </c>
      <c r="AS21" s="8">
        <v>17.439348640880034</v>
      </c>
      <c r="AT21" s="8">
        <v>17.439348640880034</v>
      </c>
      <c r="AU21" s="8">
        <v>17.439348640880034</v>
      </c>
      <c r="AV21" s="8">
        <v>17.439348640880034</v>
      </c>
      <c r="AW21" s="8">
        <v>17.439348640880034</v>
      </c>
      <c r="AX21" s="8">
        <v>17.439348640880034</v>
      </c>
      <c r="AY21" s="8">
        <v>17.439348640880034</v>
      </c>
      <c r="AZ21" s="8">
        <v>17.439348640880034</v>
      </c>
      <c r="BA21" s="8">
        <v>17.439348640880034</v>
      </c>
      <c r="BB21" s="8">
        <v>17.439348640880034</v>
      </c>
      <c r="BC21" s="8">
        <v>17.439348640880034</v>
      </c>
      <c r="BD21" s="8">
        <v>17.439348640880034</v>
      </c>
      <c r="BE21" s="8">
        <v>17.439348640880034</v>
      </c>
      <c r="BF21" s="8">
        <v>17.439348640880034</v>
      </c>
      <c r="BG21" s="8">
        <v>17.439348640880034</v>
      </c>
      <c r="BH21" s="8">
        <v>0</v>
      </c>
    </row>
    <row r="22" spans="1:60" ht="15" hidden="1" customHeight="1" outlineLevel="1" x14ac:dyDescent="0.25">
      <c r="A22" s="135">
        <f>C22*1000000/$C$16</f>
        <v>411.34571791429539</v>
      </c>
      <c r="B22" s="139" t="s">
        <v>38</v>
      </c>
      <c r="C22" s="132">
        <f>SUMIF($D$15:$BG$15,1,D22:BG22)</f>
        <v>491.00128681218661</v>
      </c>
      <c r="D22" s="138">
        <f t="shared" ref="D22:AJ22" si="1">NPV($C$8,D21:D21)</f>
        <v>4.5653548083591389</v>
      </c>
      <c r="E22" s="8">
        <f t="shared" si="1"/>
        <v>4.5653548083591389</v>
      </c>
      <c r="F22" s="8">
        <f t="shared" si="1"/>
        <v>4.5653548083591389</v>
      </c>
      <c r="G22" s="8">
        <f t="shared" si="1"/>
        <v>15.910174079570297</v>
      </c>
      <c r="H22" s="8">
        <f t="shared" si="1"/>
        <v>15.910174079570297</v>
      </c>
      <c r="I22" s="8">
        <f t="shared" si="1"/>
        <v>15.910174079570297</v>
      </c>
      <c r="J22" s="8">
        <f t="shared" si="1"/>
        <v>15.910174079570297</v>
      </c>
      <c r="K22" s="8">
        <f t="shared" si="1"/>
        <v>15.910174079570297</v>
      </c>
      <c r="L22" s="8">
        <f t="shared" si="1"/>
        <v>15.910174079570297</v>
      </c>
      <c r="M22" s="8">
        <f t="shared" si="1"/>
        <v>15.910174079570297</v>
      </c>
      <c r="N22" s="8">
        <f t="shared" si="1"/>
        <v>15.910174079570297</v>
      </c>
      <c r="O22" s="8">
        <f t="shared" si="1"/>
        <v>15.910174079570297</v>
      </c>
      <c r="P22" s="8">
        <f t="shared" si="1"/>
        <v>15.910174079570297</v>
      </c>
      <c r="Q22" s="8">
        <f t="shared" si="1"/>
        <v>15.910174079570297</v>
      </c>
      <c r="R22" s="8">
        <f t="shared" si="1"/>
        <v>15.910174079570297</v>
      </c>
      <c r="S22" s="8">
        <f t="shared" si="1"/>
        <v>15.910174079570297</v>
      </c>
      <c r="T22" s="8">
        <f t="shared" si="1"/>
        <v>15.910174079570297</v>
      </c>
      <c r="U22" s="8">
        <f t="shared" si="1"/>
        <v>15.910174079570297</v>
      </c>
      <c r="V22" s="8">
        <f t="shared" si="1"/>
        <v>15.910174079570297</v>
      </c>
      <c r="W22" s="8">
        <f t="shared" si="1"/>
        <v>15.910174079570297</v>
      </c>
      <c r="X22" s="8">
        <f t="shared" si="1"/>
        <v>15.910174079570297</v>
      </c>
      <c r="Y22" s="8">
        <f t="shared" si="1"/>
        <v>15.910174079570297</v>
      </c>
      <c r="Z22" s="8">
        <f t="shared" si="1"/>
        <v>15.910174079570297</v>
      </c>
      <c r="AA22" s="8">
        <f t="shared" si="1"/>
        <v>15.910174079570297</v>
      </c>
      <c r="AB22" s="8">
        <f t="shared" si="1"/>
        <v>15.910174079570297</v>
      </c>
      <c r="AC22" s="8">
        <f t="shared" si="1"/>
        <v>15.910174079570297</v>
      </c>
      <c r="AD22" s="8">
        <f t="shared" si="1"/>
        <v>15.910174079570297</v>
      </c>
      <c r="AE22" s="8">
        <f t="shared" si="1"/>
        <v>15.910174079570297</v>
      </c>
      <c r="AF22" s="8">
        <f t="shared" si="1"/>
        <v>15.910174079570297</v>
      </c>
      <c r="AG22" s="8">
        <f t="shared" si="1"/>
        <v>15.910174079570297</v>
      </c>
      <c r="AH22" s="8">
        <f t="shared" si="1"/>
        <v>15.910174079570297</v>
      </c>
      <c r="AI22" s="8">
        <f t="shared" si="1"/>
        <v>15.910174079570297</v>
      </c>
      <c r="AJ22" s="8">
        <f t="shared" si="1"/>
        <v>15.910174079570297</v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</row>
    <row r="23" spans="1:60" ht="15" hidden="1" customHeight="1" outlineLevel="1" x14ac:dyDescent="0.25">
      <c r="A23" s="135"/>
      <c r="C23" s="733">
        <f>C21*1000000/C16</f>
        <v>480.10168456668544</v>
      </c>
      <c r="D23" s="13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4" spans="1:60" ht="15" hidden="1" customHeight="1" outlineLevel="1" x14ac:dyDescent="0.25">
      <c r="A24" s="135">
        <f>C24*1000000/$C$16</f>
        <v>0</v>
      </c>
      <c r="B24" s="136" t="s">
        <v>39</v>
      </c>
      <c r="C24" s="137">
        <f>SUMIF($D$15:$BG$15,1,D24:BG24)</f>
        <v>0</v>
      </c>
      <c r="D24" s="13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</row>
    <row r="25" spans="1:60" ht="15" hidden="1" customHeight="1" outlineLevel="1" x14ac:dyDescent="0.25">
      <c r="A25" s="135">
        <f>C25*1000000/$C$16</f>
        <v>0</v>
      </c>
      <c r="B25" s="139" t="s">
        <v>40</v>
      </c>
      <c r="C25" s="132">
        <f>SUMIF($D$15:$BG$15,1,D25:BG25)</f>
        <v>0</v>
      </c>
      <c r="D25" s="138">
        <f t="shared" ref="D25:AJ25" si="2">NPV($C$8,D24:D24)</f>
        <v>0</v>
      </c>
      <c r="E25" s="8">
        <f t="shared" si="2"/>
        <v>0</v>
      </c>
      <c r="F25" s="8">
        <f t="shared" si="2"/>
        <v>0</v>
      </c>
      <c r="G25" s="8">
        <f t="shared" si="2"/>
        <v>0</v>
      </c>
      <c r="H25" s="8">
        <f t="shared" si="2"/>
        <v>0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8">
        <f t="shared" si="2"/>
        <v>0</v>
      </c>
      <c r="M25" s="8">
        <f t="shared" si="2"/>
        <v>0</v>
      </c>
      <c r="N25" s="8">
        <f t="shared" si="2"/>
        <v>0</v>
      </c>
      <c r="O25" s="8">
        <f t="shared" si="2"/>
        <v>0</v>
      </c>
      <c r="P25" s="8">
        <f t="shared" si="2"/>
        <v>0</v>
      </c>
      <c r="Q25" s="8">
        <f t="shared" si="2"/>
        <v>0</v>
      </c>
      <c r="R25" s="8">
        <f t="shared" si="2"/>
        <v>0</v>
      </c>
      <c r="S25" s="8">
        <f t="shared" si="2"/>
        <v>0</v>
      </c>
      <c r="T25" s="8">
        <f t="shared" si="2"/>
        <v>0</v>
      </c>
      <c r="U25" s="8">
        <f t="shared" si="2"/>
        <v>0</v>
      </c>
      <c r="V25" s="8">
        <f t="shared" si="2"/>
        <v>0</v>
      </c>
      <c r="W25" s="8">
        <f t="shared" si="2"/>
        <v>0</v>
      </c>
      <c r="X25" s="8">
        <f t="shared" si="2"/>
        <v>0</v>
      </c>
      <c r="Y25" s="8">
        <f t="shared" si="2"/>
        <v>0</v>
      </c>
      <c r="Z25" s="8">
        <f t="shared" si="2"/>
        <v>0</v>
      </c>
      <c r="AA25" s="8">
        <f t="shared" si="2"/>
        <v>0</v>
      </c>
      <c r="AB25" s="8">
        <f t="shared" si="2"/>
        <v>0</v>
      </c>
      <c r="AC25" s="8">
        <f t="shared" si="2"/>
        <v>0</v>
      </c>
      <c r="AD25" s="8">
        <f t="shared" si="2"/>
        <v>0</v>
      </c>
      <c r="AE25" s="8">
        <f t="shared" si="2"/>
        <v>0</v>
      </c>
      <c r="AF25" s="8">
        <f t="shared" si="2"/>
        <v>0</v>
      </c>
      <c r="AG25" s="8">
        <f t="shared" si="2"/>
        <v>0</v>
      </c>
      <c r="AH25" s="8">
        <f t="shared" si="2"/>
        <v>0</v>
      </c>
      <c r="AI25" s="8">
        <f t="shared" si="2"/>
        <v>0</v>
      </c>
      <c r="AJ25" s="8">
        <f t="shared" si="2"/>
        <v>0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1:60" ht="15" hidden="1" customHeight="1" outlineLevel="1" x14ac:dyDescent="0.25">
      <c r="A26" s="135"/>
      <c r="C26" s="132"/>
      <c r="D26" s="13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</row>
    <row r="27" spans="1:60" ht="15" hidden="1" customHeight="1" outlineLevel="1" x14ac:dyDescent="0.25">
      <c r="A27" s="135">
        <f>C27*1000000/$C$16</f>
        <v>467.72304604984777</v>
      </c>
      <c r="B27" s="136" t="s">
        <v>432</v>
      </c>
      <c r="C27" s="137">
        <f>SUMIF($D$15:$BG$15,1,D27:BG27)</f>
        <v>558.29587493126496</v>
      </c>
      <c r="D27" s="138">
        <v>14.835202156765387</v>
      </c>
      <c r="E27" s="8">
        <v>14.904927606902181</v>
      </c>
      <c r="F27" s="8">
        <v>14.974980766654621</v>
      </c>
      <c r="G27" s="8">
        <v>15.045363176257897</v>
      </c>
      <c r="H27" s="8">
        <v>15.116076383186309</v>
      </c>
      <c r="I27" s="8">
        <v>15.187121942187286</v>
      </c>
      <c r="J27" s="8">
        <v>15.25850141531556</v>
      </c>
      <c r="K27" s="8">
        <v>15.330216371967541</v>
      </c>
      <c r="L27" s="8">
        <v>15.402268388915786</v>
      </c>
      <c r="M27" s="8">
        <v>15.474659050343691</v>
      </c>
      <c r="N27" s="8">
        <v>15.547389947880301</v>
      </c>
      <c r="O27" s="8">
        <v>15.620462680635338</v>
      </c>
      <c r="P27" s="8">
        <v>15.693878855234324</v>
      </c>
      <c r="Q27" s="8">
        <v>15.767640085853925</v>
      </c>
      <c r="R27" s="8">
        <v>15.841747994257439</v>
      </c>
      <c r="S27" s="8">
        <v>15.693878855234324</v>
      </c>
      <c r="T27" s="8">
        <v>15.767640085853925</v>
      </c>
      <c r="U27" s="8">
        <v>15.841747994257439</v>
      </c>
      <c r="V27" s="8">
        <v>15.916204209830447</v>
      </c>
      <c r="W27" s="8">
        <v>15.991010369616648</v>
      </c>
      <c r="X27" s="8">
        <v>16.066168118353847</v>
      </c>
      <c r="Y27" s="8">
        <v>16.141679108510107</v>
      </c>
      <c r="Z27" s="8">
        <v>16.217545000320104</v>
      </c>
      <c r="AA27" s="8">
        <v>16.293767461821606</v>
      </c>
      <c r="AB27" s="8">
        <v>16.370348168892164</v>
      </c>
      <c r="AC27" s="8">
        <v>16.447288805285957</v>
      </c>
      <c r="AD27" s="8">
        <v>16.524591062670801</v>
      </c>
      <c r="AE27" s="8">
        <v>16.602256640665352</v>
      </c>
      <c r="AF27" s="8">
        <v>16.680287246876482</v>
      </c>
      <c r="AG27" s="8">
        <v>16.758684596936799</v>
      </c>
      <c r="AH27" s="8">
        <v>16.837450414542399</v>
      </c>
      <c r="AI27" s="8">
        <v>16.916586431490749</v>
      </c>
      <c r="AJ27" s="8">
        <v>16.996094387718752</v>
      </c>
      <c r="AK27" s="8">
        <v>17.075976031341032</v>
      </c>
      <c r="AL27" s="8">
        <v>17.156233118688334</v>
      </c>
      <c r="AM27" s="8">
        <v>17.236867414346165</v>
      </c>
      <c r="AN27" s="8">
        <v>17.31788069119359</v>
      </c>
      <c r="AO27" s="8">
        <v>17.399274730442201</v>
      </c>
      <c r="AP27" s="8">
        <v>17.481051321675281</v>
      </c>
      <c r="AQ27" s="8">
        <v>17.563212262887152</v>
      </c>
      <c r="AR27" s="8">
        <v>17.645759360522721</v>
      </c>
      <c r="AS27" s="8">
        <v>17.728694429517176</v>
      </c>
      <c r="AT27" s="8">
        <v>17.812019293335904</v>
      </c>
      <c r="AU27" s="8">
        <v>17.89573578401458</v>
      </c>
      <c r="AV27" s="8">
        <v>17.979845742199451</v>
      </c>
      <c r="AW27" s="8">
        <v>18.064351017187782</v>
      </c>
      <c r="AX27" s="8">
        <v>18.149253466968563</v>
      </c>
      <c r="AY27" s="8">
        <v>18.234554958263317</v>
      </c>
      <c r="AZ27" s="8">
        <v>18.320257366567155</v>
      </c>
      <c r="BA27" s="8">
        <v>18.406362576190016</v>
      </c>
      <c r="BB27" s="8">
        <v>18.492872480298111</v>
      </c>
      <c r="BC27" s="8">
        <v>18.579788980955513</v>
      </c>
      <c r="BD27" s="8">
        <v>18.667113989165998</v>
      </c>
      <c r="BE27" s="8">
        <v>18.754849424915079</v>
      </c>
      <c r="BF27" s="8">
        <v>18.842997217212179</v>
      </c>
      <c r="BG27" s="8">
        <v>18.931559304133067</v>
      </c>
      <c r="BH27" s="8">
        <v>0</v>
      </c>
    </row>
    <row r="28" spans="1:60" ht="15" hidden="1" customHeight="1" outlineLevel="1" x14ac:dyDescent="0.25">
      <c r="A28" s="135">
        <f>C28*1000000/$C$16</f>
        <v>400.54662081292935</v>
      </c>
      <c r="B28" s="139" t="s">
        <v>41</v>
      </c>
      <c r="C28" s="132">
        <f>SUMIF($D$15:$BG$15,1,D28:BG28)</f>
        <v>478.1109847079959</v>
      </c>
      <c r="D28" s="138">
        <f t="shared" ref="D28:AJ28" si="3">NPV($C$8,D27:D27)</f>
        <v>13.534372967719012</v>
      </c>
      <c r="E28" s="8">
        <f t="shared" si="3"/>
        <v>13.597984520667287</v>
      </c>
      <c r="F28" s="8">
        <f t="shared" si="3"/>
        <v>13.661895047914424</v>
      </c>
      <c r="G28" s="8">
        <f t="shared" si="3"/>
        <v>13.726105954639621</v>
      </c>
      <c r="H28" s="8">
        <f t="shared" si="3"/>
        <v>13.790618652626426</v>
      </c>
      <c r="I28" s="8">
        <f t="shared" si="3"/>
        <v>13.855434560293771</v>
      </c>
      <c r="J28" s="8">
        <f t="shared" si="3"/>
        <v>13.920555102727148</v>
      </c>
      <c r="K28" s="8">
        <f t="shared" si="3"/>
        <v>13.985981711709963</v>
      </c>
      <c r="L28" s="8">
        <f t="shared" si="3"/>
        <v>14.051715825754998</v>
      </c>
      <c r="M28" s="8">
        <f t="shared" si="3"/>
        <v>14.117758890136047</v>
      </c>
      <c r="N28" s="8">
        <f t="shared" si="3"/>
        <v>14.184112356919682</v>
      </c>
      <c r="O28" s="8">
        <f t="shared" si="3"/>
        <v>14.250777684997203</v>
      </c>
      <c r="P28" s="8">
        <f t="shared" si="3"/>
        <v>14.31775634011669</v>
      </c>
      <c r="Q28" s="8">
        <f t="shared" si="3"/>
        <v>14.385049794915238</v>
      </c>
      <c r="R28" s="8">
        <f t="shared" si="3"/>
        <v>14.45265952895134</v>
      </c>
      <c r="S28" s="8">
        <f t="shared" si="3"/>
        <v>14.31775634011669</v>
      </c>
      <c r="T28" s="8">
        <f t="shared" si="3"/>
        <v>14.385049794915238</v>
      </c>
      <c r="U28" s="8">
        <f t="shared" si="3"/>
        <v>14.45265952895134</v>
      </c>
      <c r="V28" s="8">
        <f t="shared" si="3"/>
        <v>14.52058702873741</v>
      </c>
      <c r="W28" s="8">
        <f t="shared" si="3"/>
        <v>14.588833787772474</v>
      </c>
      <c r="X28" s="8">
        <f t="shared" si="3"/>
        <v>14.657401306575006</v>
      </c>
      <c r="Y28" s="8">
        <f t="shared" si="3"/>
        <v>14.726291092715906</v>
      </c>
      <c r="Z28" s="8">
        <f t="shared" si="3"/>
        <v>14.79550466085167</v>
      </c>
      <c r="AA28" s="8">
        <f t="shared" si="3"/>
        <v>14.865043532757669</v>
      </c>
      <c r="AB28" s="8">
        <f t="shared" si="3"/>
        <v>14.934909237361628</v>
      </c>
      <c r="AC28" s="8">
        <f t="shared" si="3"/>
        <v>15.005103310777228</v>
      </c>
      <c r="AD28" s="8">
        <f t="shared" si="3"/>
        <v>15.075627296337879</v>
      </c>
      <c r="AE28" s="8">
        <f t="shared" si="3"/>
        <v>15.146482744630667</v>
      </c>
      <c r="AF28" s="8">
        <f t="shared" si="3"/>
        <v>15.217671213530434</v>
      </c>
      <c r="AG28" s="8">
        <f t="shared" si="3"/>
        <v>15.289194268234024</v>
      </c>
      <c r="AH28" s="8">
        <f t="shared" si="3"/>
        <v>15.361053481294721</v>
      </c>
      <c r="AI28" s="8">
        <f t="shared" si="3"/>
        <v>15.433250432656807</v>
      </c>
      <c r="AJ28" s="8">
        <f t="shared" si="3"/>
        <v>15.505786709690291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</row>
    <row r="29" spans="1:60" ht="15" hidden="1" customHeight="1" outlineLevel="1" x14ac:dyDescent="0.25">
      <c r="A29" s="135"/>
      <c r="B29" s="1"/>
      <c r="C29" s="132"/>
      <c r="D29" s="13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1:60" ht="15" hidden="1" customHeight="1" outlineLevel="1" x14ac:dyDescent="0.25">
      <c r="A30" s="135">
        <f>C30*1000000/$C$16</f>
        <v>73.393455508394453</v>
      </c>
      <c r="B30" s="136" t="s">
        <v>433</v>
      </c>
      <c r="C30" s="137">
        <f>SUMIF($D$15:$BG$15,1,D30:BG30)</f>
        <v>87.605825292006244</v>
      </c>
      <c r="D30" s="138">
        <v>2.3278877503388147</v>
      </c>
      <c r="E30" s="8">
        <v>2.3388288227654068</v>
      </c>
      <c r="F30" s="8">
        <v>2.3498213182324039</v>
      </c>
      <c r="G30" s="8">
        <v>2.3608654784280962</v>
      </c>
      <c r="H30" s="8">
        <v>2.3719615461767081</v>
      </c>
      <c r="I30" s="8">
        <v>2.3831097654437383</v>
      </c>
      <c r="J30" s="8">
        <v>2.3943103813413238</v>
      </c>
      <c r="K30" s="8">
        <v>2.4055636401336278</v>
      </c>
      <c r="L30" s="8">
        <v>2.4168697892422557</v>
      </c>
      <c r="M30" s="8">
        <v>2.4282290772516943</v>
      </c>
      <c r="N30" s="8">
        <v>2.4396417539147772</v>
      </c>
      <c r="O30" s="8">
        <v>2.4511080701581767</v>
      </c>
      <c r="P30" s="8">
        <v>2.4626282780879198</v>
      </c>
      <c r="Q30" s="8">
        <v>2.4742026309949328</v>
      </c>
      <c r="R30" s="8">
        <v>2.4858313833606087</v>
      </c>
      <c r="S30" s="8">
        <v>2.4626282780879198</v>
      </c>
      <c r="T30" s="8">
        <v>2.4742026309949328</v>
      </c>
      <c r="U30" s="8">
        <v>2.4858313833606087</v>
      </c>
      <c r="V30" s="8">
        <v>2.4975147908624034</v>
      </c>
      <c r="W30" s="8">
        <v>2.5092531103794564</v>
      </c>
      <c r="X30" s="8">
        <v>2.5210465999982397</v>
      </c>
      <c r="Y30" s="8">
        <v>2.5328955190182314</v>
      </c>
      <c r="Z30" s="8">
        <v>2.5448001279576169</v>
      </c>
      <c r="AA30" s="8">
        <v>2.5567606885590175</v>
      </c>
      <c r="AB30" s="8">
        <v>2.5687774637952447</v>
      </c>
      <c r="AC30" s="8">
        <v>2.5808507178750824</v>
      </c>
      <c r="AD30" s="8">
        <v>2.592980716249095</v>
      </c>
      <c r="AE30" s="8">
        <v>2.6051677256154657</v>
      </c>
      <c r="AF30" s="8">
        <v>2.6174120139258581</v>
      </c>
      <c r="AG30" s="8">
        <v>2.6297138503913096</v>
      </c>
      <c r="AH30" s="8">
        <v>2.6420735054881486</v>
      </c>
      <c r="AI30" s="8">
        <v>2.6544912509639427</v>
      </c>
      <c r="AJ30" s="8">
        <v>2.6669673598434729</v>
      </c>
      <c r="AK30" s="8">
        <v>2.6795021064347369</v>
      </c>
      <c r="AL30" s="8">
        <v>2.69209576633498</v>
      </c>
      <c r="AM30" s="8">
        <v>2.7047486164367545</v>
      </c>
      <c r="AN30" s="8">
        <v>2.7174609349340071</v>
      </c>
      <c r="AO30" s="8">
        <v>2.7302330013281968</v>
      </c>
      <c r="AP30" s="8">
        <v>2.7430650964344392</v>
      </c>
      <c r="AQ30" s="8">
        <v>2.7559575023876808</v>
      </c>
      <c r="AR30" s="8">
        <v>2.7689105026489025</v>
      </c>
      <c r="AS30" s="8">
        <v>2.7819243820113519</v>
      </c>
      <c r="AT30" s="8">
        <v>2.7949994266068052</v>
      </c>
      <c r="AU30" s="8">
        <v>2.8081359239118568</v>
      </c>
      <c r="AV30" s="8">
        <v>2.8213341627542423</v>
      </c>
      <c r="AW30" s="8">
        <v>2.8345944333191873</v>
      </c>
      <c r="AX30" s="8">
        <v>2.8479170271557872</v>
      </c>
      <c r="AY30" s="8">
        <v>2.8613022371834194</v>
      </c>
      <c r="AZ30" s="8">
        <v>2.8747503576981814</v>
      </c>
      <c r="BA30" s="8">
        <v>2.8882616843793625</v>
      </c>
      <c r="BB30" s="8">
        <v>2.9018365142959452</v>
      </c>
      <c r="BC30" s="8">
        <v>2.9154751459131361</v>
      </c>
      <c r="BD30" s="8">
        <v>2.9291778790989276</v>
      </c>
      <c r="BE30" s="8">
        <v>2.9429450151306922</v>
      </c>
      <c r="BF30" s="8">
        <v>2.956776856701806</v>
      </c>
      <c r="BG30" s="8">
        <v>2.9706737079283041</v>
      </c>
      <c r="BH30" s="8">
        <v>0</v>
      </c>
    </row>
    <row r="31" spans="1:60" ht="15" hidden="1" customHeight="1" outlineLevel="1" x14ac:dyDescent="0.25">
      <c r="A31" s="135">
        <f>C31*1000000/$C$16</f>
        <v>62.852367104738384</v>
      </c>
      <c r="B31" s="139" t="s">
        <v>42</v>
      </c>
      <c r="C31" s="132">
        <f>SUMIF($D$15:$BG$15,1,D31:BG31)</f>
        <v>75.023494310565184</v>
      </c>
      <c r="D31" s="138">
        <f t="shared" ref="D31:AJ31" si="4">NPV($C$8,D30:D30)</f>
        <v>2.1237662087201001</v>
      </c>
      <c r="E31" s="8">
        <f t="shared" si="4"/>
        <v>2.1337479099010843</v>
      </c>
      <c r="F31" s="8">
        <f t="shared" si="4"/>
        <v>2.1437765250776191</v>
      </c>
      <c r="G31" s="8">
        <f t="shared" si="4"/>
        <v>2.1538522747454838</v>
      </c>
      <c r="H31" s="8">
        <f t="shared" si="4"/>
        <v>2.1639753804367872</v>
      </c>
      <c r="I31" s="8">
        <f t="shared" si="4"/>
        <v>2.1741460647248401</v>
      </c>
      <c r="J31" s="8">
        <f t="shared" si="4"/>
        <v>2.1843645512290468</v>
      </c>
      <c r="K31" s="8">
        <f t="shared" si="4"/>
        <v>2.194631064619823</v>
      </c>
      <c r="L31" s="8">
        <f t="shared" si="4"/>
        <v>2.2049458306235361</v>
      </c>
      <c r="M31" s="8">
        <f t="shared" si="4"/>
        <v>2.2153090760274665</v>
      </c>
      <c r="N31" s="8">
        <f t="shared" si="4"/>
        <v>2.2257210286847955</v>
      </c>
      <c r="O31" s="8">
        <f t="shared" si="4"/>
        <v>2.2361819175196143</v>
      </c>
      <c r="P31" s="8">
        <f t="shared" si="4"/>
        <v>2.2466919725319561</v>
      </c>
      <c r="Q31" s="8">
        <f t="shared" si="4"/>
        <v>2.2572514248028561</v>
      </c>
      <c r="R31" s="8">
        <f t="shared" si="4"/>
        <v>2.2678605064994293</v>
      </c>
      <c r="S31" s="8">
        <f t="shared" si="4"/>
        <v>2.2466919725319561</v>
      </c>
      <c r="T31" s="8">
        <f t="shared" si="4"/>
        <v>2.2572514248028561</v>
      </c>
      <c r="U31" s="8">
        <f t="shared" si="4"/>
        <v>2.2678605064994293</v>
      </c>
      <c r="V31" s="8">
        <f t="shared" si="4"/>
        <v>2.2785194508799762</v>
      </c>
      <c r="W31" s="8">
        <f t="shared" si="4"/>
        <v>2.2892284922991122</v>
      </c>
      <c r="X31" s="8">
        <f t="shared" si="4"/>
        <v>2.2999878662129176</v>
      </c>
      <c r="Y31" s="8">
        <f t="shared" si="4"/>
        <v>2.3107978091841184</v>
      </c>
      <c r="Z31" s="8">
        <f t="shared" si="4"/>
        <v>2.3216585588872838</v>
      </c>
      <c r="AA31" s="8">
        <f t="shared" si="4"/>
        <v>2.3325703541140537</v>
      </c>
      <c r="AB31" s="8">
        <f t="shared" si="4"/>
        <v>2.3435334347783896</v>
      </c>
      <c r="AC31" s="8">
        <f t="shared" si="4"/>
        <v>2.3545480419218481</v>
      </c>
      <c r="AD31" s="8">
        <f t="shared" si="4"/>
        <v>2.3656144177188803</v>
      </c>
      <c r="AE31" s="8">
        <f t="shared" si="4"/>
        <v>2.3767328054821593</v>
      </c>
      <c r="AF31" s="8">
        <f t="shared" si="4"/>
        <v>2.3879034496679252</v>
      </c>
      <c r="AG31" s="8">
        <f t="shared" si="4"/>
        <v>2.3991265958813641</v>
      </c>
      <c r="AH31" s="8">
        <f t="shared" si="4"/>
        <v>2.4104024908820065</v>
      </c>
      <c r="AI31" s="8">
        <f t="shared" si="4"/>
        <v>2.4217313825891518</v>
      </c>
      <c r="AJ31" s="8">
        <f t="shared" si="4"/>
        <v>2.4331135200873204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</row>
    <row r="32" spans="1:60" ht="15" hidden="1" customHeight="1" outlineLevel="1" x14ac:dyDescent="0.25">
      <c r="A32" s="135"/>
      <c r="B32" s="1"/>
      <c r="C32" s="132"/>
      <c r="D32" s="13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</row>
    <row r="33" spans="1:60" ht="15" hidden="1" customHeight="1" outlineLevel="1" x14ac:dyDescent="0.25">
      <c r="A33" s="135">
        <f>C33*1000000/$C$16</f>
        <v>-16.613379483533734</v>
      </c>
      <c r="B33" s="136" t="s">
        <v>43</v>
      </c>
      <c r="C33" s="137">
        <f>SUMIF($D$15:$BG$15,1,D33:BG33)</f>
        <v>-19.830498652264584</v>
      </c>
      <c r="D33" s="138">
        <v>-15.987438101917103</v>
      </c>
      <c r="E33" s="8">
        <v>-14.483937415196831</v>
      </c>
      <c r="F33" s="8">
        <v>-25.470018428601854</v>
      </c>
      <c r="G33" s="8">
        <v>-3.3119986194041218E-2</v>
      </c>
      <c r="H33" s="8">
        <v>4.8689288482982818E-2</v>
      </c>
      <c r="I33" s="8">
        <v>0.13088306675098949</v>
      </c>
      <c r="J33" s="8">
        <v>0.21346315577685004</v>
      </c>
      <c r="K33" s="8">
        <v>0.29643137122113572</v>
      </c>
      <c r="L33" s="8">
        <v>0.37978953727800757</v>
      </c>
      <c r="M33" s="8">
        <v>0.4635394867153515</v>
      </c>
      <c r="N33" s="8">
        <v>0.54768306091504471</v>
      </c>
      <c r="O33" s="8">
        <v>0.63222210991348149</v>
      </c>
      <c r="P33" s="8">
        <v>0.71715849244220919</v>
      </c>
      <c r="Q33" s="8">
        <v>0.80249407596882349</v>
      </c>
      <c r="R33" s="8">
        <v>0.88823073673801289</v>
      </c>
      <c r="S33" s="8">
        <v>0.71715849244220919</v>
      </c>
      <c r="T33" s="8">
        <v>0.80249407596882349</v>
      </c>
      <c r="U33" s="8">
        <v>0.88823073673801289</v>
      </c>
      <c r="V33" s="8">
        <v>0.97437035981281639</v>
      </c>
      <c r="W33" s="8">
        <v>1.0609148391160694</v>
      </c>
      <c r="X33" s="8">
        <v>1.1478660774720524</v>
      </c>
      <c r="Y33" s="8">
        <v>1.235225986648306</v>
      </c>
      <c r="Z33" s="8">
        <v>1.3229964873976883</v>
      </c>
      <c r="AA33" s="8">
        <v>1.4111795095005881</v>
      </c>
      <c r="AB33" s="8">
        <v>1.4997769918073729</v>
      </c>
      <c r="AC33" s="8">
        <v>1.5887908822810068</v>
      </c>
      <c r="AD33" s="8">
        <v>1.6782231380398613</v>
      </c>
      <c r="AE33" s="8">
        <v>1.7680757254007844</v>
      </c>
      <c r="AF33" s="8">
        <v>1.8583506199223052</v>
      </c>
      <c r="AG33" s="8">
        <v>1.9490498064480732</v>
      </c>
      <c r="AH33" s="8">
        <v>2.0401752791505139</v>
      </c>
      <c r="AI33" s="8">
        <v>2.1317290415746584</v>
      </c>
      <c r="AJ33" s="8">
        <v>2.2237131066821902</v>
      </c>
      <c r="AK33" s="8">
        <v>2.3161294968957336</v>
      </c>
      <c r="AL33" s="8">
        <v>2.4089802441432795</v>
      </c>
      <c r="AM33" s="8">
        <v>2.5022673899028831</v>
      </c>
      <c r="AN33" s="8">
        <v>2.5959929852475625</v>
      </c>
      <c r="AO33" s="8">
        <v>2.690159090890365</v>
      </c>
      <c r="AP33" s="8">
        <v>2.7847677772296855</v>
      </c>
      <c r="AQ33" s="8">
        <v>2.8798211243947982</v>
      </c>
      <c r="AR33" s="8">
        <v>2.9753212222915906</v>
      </c>
      <c r="AS33" s="8">
        <v>3.0712701706484928</v>
      </c>
      <c r="AT33" s="8">
        <v>3.1676700790626739</v>
      </c>
      <c r="AU33" s="8">
        <v>3.2645230670464009</v>
      </c>
      <c r="AV33" s="8">
        <v>3.3618312640736576</v>
      </c>
      <c r="AW33" s="8">
        <v>3.4595968096269338</v>
      </c>
      <c r="AX33" s="8">
        <v>3.5578218532443167</v>
      </c>
      <c r="AY33" s="8">
        <v>3.6565085545667024</v>
      </c>
      <c r="AZ33" s="8">
        <v>3.7556590833853036</v>
      </c>
      <c r="BA33" s="8">
        <v>3.8552756196893441</v>
      </c>
      <c r="BB33" s="8">
        <v>3.9553603537140205</v>
      </c>
      <c r="BC33" s="8">
        <v>4.0559154859886135</v>
      </c>
      <c r="BD33" s="8">
        <v>4.1569432273848896</v>
      </c>
      <c r="BE33" s="8">
        <v>4.2584457991657381</v>
      </c>
      <c r="BF33" s="8">
        <v>4.3604254330339529</v>
      </c>
      <c r="BG33" s="8">
        <v>4.4628843711813388</v>
      </c>
      <c r="BH33" s="8">
        <v>0</v>
      </c>
    </row>
    <row r="34" spans="1:60" ht="15" hidden="1" customHeight="1" outlineLevel="1" x14ac:dyDescent="0.25">
      <c r="A34" s="135">
        <f>C34*1000000/$C$16</f>
        <v>-18.768074579795744</v>
      </c>
      <c r="B34" s="139" t="s">
        <v>44</v>
      </c>
      <c r="C34" s="132">
        <f>SUMIF($D$15:$BG$15,1,D34:BG34)</f>
        <v>-22.402442442798908</v>
      </c>
      <c r="D34" s="138">
        <f t="shared" ref="D34:AJ34" si="5">NPV($C$8,D33:D33)</f>
        <v>-14.585574755446842</v>
      </c>
      <c r="E34" s="8">
        <f t="shared" si="5"/>
        <v>-13.213908981279149</v>
      </c>
      <c r="F34" s="8">
        <f t="shared" si="5"/>
        <v>-23.2366721575256</v>
      </c>
      <c r="G34" s="8">
        <f t="shared" si="5"/>
        <v>-3.0215850185191875E-2</v>
      </c>
      <c r="H34" s="8">
        <f t="shared" si="5"/>
        <v>4.4419953492917996E-2</v>
      </c>
      <c r="I34" s="8">
        <f t="shared" si="5"/>
        <v>0.11940654544831554</v>
      </c>
      <c r="J34" s="8">
        <f t="shared" si="5"/>
        <v>0.19474557438589823</v>
      </c>
      <c r="K34" s="8">
        <f t="shared" si="5"/>
        <v>0.27043869675949078</v>
      </c>
      <c r="L34" s="8">
        <f t="shared" si="5"/>
        <v>0.3464875768082375</v>
      </c>
      <c r="M34" s="8">
        <f t="shared" si="5"/>
        <v>0.42289388659321764</v>
      </c>
      <c r="N34" s="8">
        <f t="shared" si="5"/>
        <v>0.49965930603418146</v>
      </c>
      <c r="O34" s="8">
        <f t="shared" si="5"/>
        <v>0.57678552294652241</v>
      </c>
      <c r="P34" s="8">
        <f t="shared" si="5"/>
        <v>0.65427423307834986</v>
      </c>
      <c r="Q34" s="8">
        <f t="shared" si="5"/>
        <v>0.73212714014779823</v>
      </c>
      <c r="R34" s="8">
        <f t="shared" si="5"/>
        <v>0.81034595588047309</v>
      </c>
      <c r="S34" s="8">
        <f t="shared" si="5"/>
        <v>0.65427423307834986</v>
      </c>
      <c r="T34" s="8">
        <f t="shared" si="5"/>
        <v>0.73212714014779823</v>
      </c>
      <c r="U34" s="8">
        <f t="shared" si="5"/>
        <v>0.81034595588047309</v>
      </c>
      <c r="V34" s="8">
        <f t="shared" si="5"/>
        <v>0.88893240004709051</v>
      </c>
      <c r="W34" s="8">
        <f t="shared" si="5"/>
        <v>0.9678882005012891</v>
      </c>
      <c r="X34" s="8">
        <f t="shared" si="5"/>
        <v>1.0472150932176267</v>
      </c>
      <c r="Y34" s="8">
        <f t="shared" si="5"/>
        <v>1.1269148223297289</v>
      </c>
      <c r="Z34" s="8">
        <f t="shared" si="5"/>
        <v>1.2069891401686581</v>
      </c>
      <c r="AA34" s="8">
        <f t="shared" si="5"/>
        <v>1.2874398073014264</v>
      </c>
      <c r="AB34" s="8">
        <f t="shared" si="5"/>
        <v>1.3682685925697196</v>
      </c>
      <c r="AC34" s="8">
        <f t="shared" si="5"/>
        <v>1.4494772731287806</v>
      </c>
      <c r="AD34" s="8">
        <f t="shared" si="5"/>
        <v>1.531067634486464</v>
      </c>
      <c r="AE34" s="8">
        <f t="shared" si="5"/>
        <v>1.6130414705425304</v>
      </c>
      <c r="AF34" s="8">
        <f t="shared" si="5"/>
        <v>1.6954005836280615</v>
      </c>
      <c r="AG34" s="8">
        <f t="shared" si="5"/>
        <v>1.7781467845450911</v>
      </c>
      <c r="AH34" s="8">
        <f t="shared" si="5"/>
        <v>1.8612818926064321</v>
      </c>
      <c r="AI34" s="8">
        <f t="shared" si="5"/>
        <v>1.9448077356756635</v>
      </c>
      <c r="AJ34" s="8">
        <f t="shared" si="5"/>
        <v>2.0287261502073148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</row>
    <row r="35" spans="1:60" ht="15" hidden="1" customHeight="1" outlineLevel="1" x14ac:dyDescent="0.25">
      <c r="A35" s="135"/>
      <c r="B35" s="1"/>
      <c r="C35" s="140"/>
      <c r="D35" s="13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</row>
    <row r="36" spans="1:60" ht="15" hidden="1" customHeight="1" outlineLevel="1" x14ac:dyDescent="0.25">
      <c r="A36" s="135">
        <f>C36*1000000/$C$16</f>
        <v>10.295315605816967</v>
      </c>
      <c r="B36" s="141" t="s">
        <v>45</v>
      </c>
      <c r="C36" s="137">
        <f>SUMIF($D$15:$BG$15,1,D36:BG36)</f>
        <v>12.288965195079381</v>
      </c>
      <c r="D36" s="138">
        <f>IF(D33&gt;0,D33*0.34,0)</f>
        <v>0</v>
      </c>
      <c r="E36" s="8">
        <f t="shared" ref="E36:BG36" si="6">IF(E33&gt;0,E33*0.34,0)</f>
        <v>0</v>
      </c>
      <c r="F36" s="8">
        <f t="shared" si="6"/>
        <v>0</v>
      </c>
      <c r="G36" s="8">
        <f t="shared" si="6"/>
        <v>0</v>
      </c>
      <c r="H36" s="8">
        <f t="shared" si="6"/>
        <v>1.6554358084214158E-2</v>
      </c>
      <c r="I36" s="8">
        <f t="shared" si="6"/>
        <v>4.450024269533643E-2</v>
      </c>
      <c r="J36" s="8">
        <f t="shared" si="6"/>
        <v>7.2577472964129017E-2</v>
      </c>
      <c r="K36" s="8">
        <f t="shared" si="6"/>
        <v>0.10078666621518616</v>
      </c>
      <c r="L36" s="8">
        <f t="shared" si="6"/>
        <v>0.12912844267452259</v>
      </c>
      <c r="M36" s="8">
        <f t="shared" si="6"/>
        <v>0.15760342548321951</v>
      </c>
      <c r="N36" s="8">
        <f t="shared" si="6"/>
        <v>0.18621224071111522</v>
      </c>
      <c r="O36" s="8">
        <f t="shared" si="6"/>
        <v>0.21495551737058372</v>
      </c>
      <c r="P36" s="8">
        <f>IF(P33&gt;0,P33*0.34,0)</f>
        <v>0.24383388743035114</v>
      </c>
      <c r="Q36" s="8">
        <f>IF(Q33&gt;0,Q33*0.34,0)</f>
        <v>0.27284798582940001</v>
      </c>
      <c r="R36" s="8">
        <f>IF(R33&gt;0,R33*0.34,0)</f>
        <v>0.30199845049092439</v>
      </c>
      <c r="S36" s="8">
        <f t="shared" si="6"/>
        <v>0.24383388743035114</v>
      </c>
      <c r="T36" s="8">
        <f t="shared" si="6"/>
        <v>0.27284798582940001</v>
      </c>
      <c r="U36" s="8">
        <f t="shared" si="6"/>
        <v>0.30199845049092439</v>
      </c>
      <c r="V36" s="8">
        <f t="shared" si="6"/>
        <v>0.33128592233635762</v>
      </c>
      <c r="W36" s="8">
        <f t="shared" si="6"/>
        <v>0.36071104529946363</v>
      </c>
      <c r="X36" s="8">
        <f t="shared" si="6"/>
        <v>0.39027446634049784</v>
      </c>
      <c r="Y36" s="8">
        <f t="shared" si="6"/>
        <v>0.41997683546042408</v>
      </c>
      <c r="Z36" s="8">
        <f t="shared" si="6"/>
        <v>0.44981880571521404</v>
      </c>
      <c r="AA36" s="8">
        <f t="shared" si="6"/>
        <v>0.47980103323020001</v>
      </c>
      <c r="AB36" s="8">
        <f t="shared" si="6"/>
        <v>0.50992417721450678</v>
      </c>
      <c r="AC36" s="8">
        <f t="shared" si="6"/>
        <v>0.54018889997554231</v>
      </c>
      <c r="AD36" s="8">
        <f t="shared" si="6"/>
        <v>0.57059586693355291</v>
      </c>
      <c r="AE36" s="8">
        <f t="shared" si="6"/>
        <v>0.60114574663626674</v>
      </c>
      <c r="AF36" s="8">
        <f t="shared" si="6"/>
        <v>0.63183921077358385</v>
      </c>
      <c r="AG36" s="8">
        <f t="shared" si="6"/>
        <v>0.66267693419234497</v>
      </c>
      <c r="AH36" s="8">
        <f t="shared" si="6"/>
        <v>0.69365959491117479</v>
      </c>
      <c r="AI36" s="8">
        <f t="shared" si="6"/>
        <v>0.72478787413538392</v>
      </c>
      <c r="AJ36" s="8">
        <f t="shared" si="6"/>
        <v>0.75606245627194468</v>
      </c>
      <c r="AK36" s="8">
        <f t="shared" si="6"/>
        <v>0.7874840289445495</v>
      </c>
      <c r="AL36" s="8">
        <f t="shared" si="6"/>
        <v>0.81905328300871505</v>
      </c>
      <c r="AM36" s="8">
        <f t="shared" si="6"/>
        <v>0.85077091256698034</v>
      </c>
      <c r="AN36" s="8">
        <f t="shared" si="6"/>
        <v>0.88263761498417126</v>
      </c>
      <c r="AO36" s="8">
        <f t="shared" si="6"/>
        <v>0.9146540909027242</v>
      </c>
      <c r="AP36" s="8">
        <f t="shared" si="6"/>
        <v>0.9468210442580931</v>
      </c>
      <c r="AQ36" s="8">
        <f t="shared" si="6"/>
        <v>0.97913918229423147</v>
      </c>
      <c r="AR36" s="8">
        <f t="shared" si="6"/>
        <v>1.011609215579141</v>
      </c>
      <c r="AS36" s="8">
        <f t="shared" si="6"/>
        <v>1.0442318580204877</v>
      </c>
      <c r="AT36" s="8">
        <f t="shared" si="6"/>
        <v>1.0770078268813092</v>
      </c>
      <c r="AU36" s="8">
        <f t="shared" si="6"/>
        <v>1.1099378427957765</v>
      </c>
      <c r="AV36" s="8">
        <f t="shared" si="6"/>
        <v>1.1430226297850437</v>
      </c>
      <c r="AW36" s="8">
        <f t="shared" si="6"/>
        <v>1.1762629152731576</v>
      </c>
      <c r="AX36" s="8">
        <f t="shared" si="6"/>
        <v>1.2096594301030676</v>
      </c>
      <c r="AY36" s="8">
        <f t="shared" si="6"/>
        <v>1.2432129085526789</v>
      </c>
      <c r="AZ36" s="8">
        <f t="shared" si="6"/>
        <v>1.2769240883510034</v>
      </c>
      <c r="BA36" s="8">
        <f t="shared" si="6"/>
        <v>1.310793710694377</v>
      </c>
      <c r="BB36" s="8">
        <f t="shared" si="6"/>
        <v>1.3448225202627671</v>
      </c>
      <c r="BC36" s="8">
        <f t="shared" si="6"/>
        <v>1.3790112652361286</v>
      </c>
      <c r="BD36" s="8">
        <f t="shared" si="6"/>
        <v>1.4133606973108626</v>
      </c>
      <c r="BE36" s="8">
        <f t="shared" si="6"/>
        <v>1.4478715717163511</v>
      </c>
      <c r="BF36" s="8">
        <f t="shared" si="6"/>
        <v>1.482544647231544</v>
      </c>
      <c r="BG36" s="8">
        <f t="shared" si="6"/>
        <v>1.5173806862016552</v>
      </c>
      <c r="BH36" s="8">
        <f>BH33*0.34</f>
        <v>0</v>
      </c>
    </row>
    <row r="37" spans="1:60" ht="15" hidden="1" customHeight="1" outlineLevel="1" x14ac:dyDescent="0.25">
      <c r="A37" s="135">
        <f>C37*1000000/$C$16</f>
        <v>8.1646766796653338</v>
      </c>
      <c r="B37" s="139" t="s">
        <v>46</v>
      </c>
      <c r="C37" s="132">
        <f>SUMIF($D$15:$BG$15,1,D37:BG37)</f>
        <v>9.7457359625568873</v>
      </c>
      <c r="D37" s="138">
        <f t="shared" ref="D37:AJ37" si="7">NPV($C$8,D36:D36)</f>
        <v>0</v>
      </c>
      <c r="E37" s="8">
        <f t="shared" si="7"/>
        <v>0</v>
      </c>
      <c r="F37" s="8">
        <f t="shared" si="7"/>
        <v>0</v>
      </c>
      <c r="G37" s="8">
        <f t="shared" si="7"/>
        <v>0</v>
      </c>
      <c r="H37" s="8">
        <f t="shared" si="7"/>
        <v>1.5102784187592118E-2</v>
      </c>
      <c r="I37" s="8">
        <f t="shared" si="7"/>
        <v>4.0598225452427292E-2</v>
      </c>
      <c r="J37" s="8">
        <f t="shared" si="7"/>
        <v>6.6213495291205404E-2</v>
      </c>
      <c r="K37" s="8">
        <f t="shared" si="7"/>
        <v>9.1949156898226886E-2</v>
      </c>
      <c r="L37" s="8">
        <f t="shared" si="7"/>
        <v>0.11780577611480075</v>
      </c>
      <c r="M37" s="8">
        <f t="shared" si="7"/>
        <v>0.143783921441694</v>
      </c>
      <c r="N37" s="8">
        <f t="shared" si="7"/>
        <v>0.16988416405162171</v>
      </c>
      <c r="O37" s="8">
        <f t="shared" si="7"/>
        <v>0.19610707780181763</v>
      </c>
      <c r="P37" s="8">
        <f t="shared" si="7"/>
        <v>0.22245323924663896</v>
      </c>
      <c r="Q37" s="8">
        <f t="shared" si="7"/>
        <v>0.24892322765025143</v>
      </c>
      <c r="R37" s="8">
        <f t="shared" si="7"/>
        <v>0.27551762499936083</v>
      </c>
      <c r="S37" s="8">
        <f t="shared" si="7"/>
        <v>0.22245323924663896</v>
      </c>
      <c r="T37" s="8">
        <f t="shared" si="7"/>
        <v>0.24892322765025143</v>
      </c>
      <c r="U37" s="8">
        <f t="shared" si="7"/>
        <v>0.27551762499936083</v>
      </c>
      <c r="V37" s="8">
        <f t="shared" si="7"/>
        <v>0.30223701601601083</v>
      </c>
      <c r="W37" s="8">
        <f t="shared" si="7"/>
        <v>0.32908198817043832</v>
      </c>
      <c r="X37" s="8">
        <f t="shared" si="7"/>
        <v>0.35605313169399311</v>
      </c>
      <c r="Y37" s="8">
        <f t="shared" si="7"/>
        <v>0.38315103959210783</v>
      </c>
      <c r="Z37" s="8">
        <f t="shared" si="7"/>
        <v>0.41037630765734379</v>
      </c>
      <c r="AA37" s="8">
        <f t="shared" si="7"/>
        <v>0.43772953448248497</v>
      </c>
      <c r="AB37" s="8">
        <f t="shared" si="7"/>
        <v>0.46521132147370464</v>
      </c>
      <c r="AC37" s="8">
        <f t="shared" si="7"/>
        <v>0.49282227286378538</v>
      </c>
      <c r="AD37" s="8">
        <f t="shared" si="7"/>
        <v>0.52056299572539777</v>
      </c>
      <c r="AE37" s="8">
        <f t="shared" si="7"/>
        <v>0.54843409998446035</v>
      </c>
      <c r="AF37" s="8">
        <f t="shared" si="7"/>
        <v>0.57643619843354099</v>
      </c>
      <c r="AG37" s="8">
        <f t="shared" si="7"/>
        <v>0.60456990674533106</v>
      </c>
      <c r="AH37" s="8">
        <f t="shared" si="7"/>
        <v>0.63283584348618693</v>
      </c>
      <c r="AI37" s="8">
        <f t="shared" si="7"/>
        <v>0.66123463012972572</v>
      </c>
      <c r="AJ37" s="8">
        <f t="shared" si="7"/>
        <v>0.68976689107048705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</row>
    <row r="38" spans="1:60" ht="15" hidden="1" customHeight="1" outlineLevel="1" x14ac:dyDescent="0.25">
      <c r="A38" s="135"/>
      <c r="B38" s="1"/>
      <c r="C38" s="132"/>
      <c r="D38" s="13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</row>
    <row r="39" spans="1:60" ht="15" hidden="1" customHeight="1" outlineLevel="1" x14ac:dyDescent="0.25">
      <c r="A39" s="135">
        <f>C39*1000000/$C$16</f>
        <v>-26.908695089350694</v>
      </c>
      <c r="B39" s="136" t="s">
        <v>47</v>
      </c>
      <c r="C39" s="137">
        <f>SUMIF($D$15:$BG$15,1,D39:BG39)</f>
        <v>-32.119463847343958</v>
      </c>
      <c r="D39" s="138">
        <v>-15.987438101917103</v>
      </c>
      <c r="E39" s="8">
        <v>-14.483937415196831</v>
      </c>
      <c r="F39" s="8">
        <v>-25.470018428601854</v>
      </c>
      <c r="G39" s="8">
        <v>-3.3119986194041218E-2</v>
      </c>
      <c r="H39" s="8">
        <v>3.2134930398768663E-2</v>
      </c>
      <c r="I39" s="8">
        <v>8.6382824055653062E-2</v>
      </c>
      <c r="J39" s="8">
        <v>0.14088568281272104</v>
      </c>
      <c r="K39" s="8">
        <v>0.19564470500594958</v>
      </c>
      <c r="L39" s="8">
        <v>0.25066109460348501</v>
      </c>
      <c r="M39" s="8">
        <v>0.30593606123213202</v>
      </c>
      <c r="N39" s="8">
        <v>0.36147082020392951</v>
      </c>
      <c r="O39" s="8">
        <v>0.41726659254289783</v>
      </c>
      <c r="P39" s="8">
        <v>0.47332460501185808</v>
      </c>
      <c r="Q39" s="8">
        <v>0.52964609013942354</v>
      </c>
      <c r="R39" s="8">
        <v>0.58623228624708856</v>
      </c>
      <c r="S39" s="8">
        <v>0.47332460501185808</v>
      </c>
      <c r="T39" s="8">
        <v>0.52964609013942354</v>
      </c>
      <c r="U39" s="8">
        <v>0.58623228624708856</v>
      </c>
      <c r="V39" s="8">
        <v>0.64308443747645883</v>
      </c>
      <c r="W39" s="8">
        <v>0.7002037938166058</v>
      </c>
      <c r="X39" s="8">
        <v>0.7575916111315546</v>
      </c>
      <c r="Y39" s="8">
        <v>0.81524915118788199</v>
      </c>
      <c r="Z39" s="8">
        <v>0.87317768168247434</v>
      </c>
      <c r="AA39" s="8">
        <v>0.93137847627038817</v>
      </c>
      <c r="AB39" s="8">
        <v>0.98985281459286611</v>
      </c>
      <c r="AC39" s="8">
        <v>1.0486019823054646</v>
      </c>
      <c r="AD39" s="8">
        <v>1.1076272711063084</v>
      </c>
      <c r="AE39" s="8">
        <v>1.1669299787645178</v>
      </c>
      <c r="AF39" s="8">
        <v>1.2265114091487215</v>
      </c>
      <c r="AG39" s="8">
        <v>1.2863728722557284</v>
      </c>
      <c r="AH39" s="8">
        <v>1.3465156842393393</v>
      </c>
      <c r="AI39" s="8">
        <v>1.4069411674392747</v>
      </c>
      <c r="AJ39" s="8">
        <v>1.4676506504102456</v>
      </c>
      <c r="AK39" s="8">
        <v>1.5286454679511843</v>
      </c>
      <c r="AL39" s="8">
        <v>1.5899269611345646</v>
      </c>
      <c r="AM39" s="8">
        <v>1.6514964773359029</v>
      </c>
      <c r="AN39" s="8">
        <v>1.7133553702633912</v>
      </c>
      <c r="AO39" s="8">
        <v>1.7755049999876409</v>
      </c>
      <c r="AP39" s="8">
        <v>1.8379467329715926</v>
      </c>
      <c r="AQ39" s="8">
        <v>1.900681942100567</v>
      </c>
      <c r="AR39" s="8">
        <v>1.9637120067124498</v>
      </c>
      <c r="AS39" s="8">
        <v>2.0270383126280054</v>
      </c>
      <c r="AT39" s="8">
        <v>2.0906622521813647</v>
      </c>
      <c r="AU39" s="8">
        <v>2.1545852242506247</v>
      </c>
      <c r="AV39" s="8">
        <v>2.2188086342886142</v>
      </c>
      <c r="AW39" s="8">
        <v>2.2833338943537766</v>
      </c>
      <c r="AX39" s="8">
        <v>2.348162423141249</v>
      </c>
      <c r="AY39" s="8">
        <v>2.4132956460140238</v>
      </c>
      <c r="AZ39" s="8">
        <v>2.4787349950343005</v>
      </c>
      <c r="BA39" s="8">
        <v>2.5444819089949671</v>
      </c>
      <c r="BB39" s="8">
        <v>2.6105378334512537</v>
      </c>
      <c r="BC39" s="8">
        <v>2.6769042207524851</v>
      </c>
      <c r="BD39" s="8">
        <v>2.7435825300740273</v>
      </c>
      <c r="BE39" s="8">
        <v>2.8105742274493872</v>
      </c>
      <c r="BF39" s="8">
        <v>2.8778807858024091</v>
      </c>
      <c r="BG39" s="8">
        <v>2.9455036849796836</v>
      </c>
      <c r="BH39" s="8">
        <v>0</v>
      </c>
    </row>
    <row r="40" spans="1:60" ht="15" hidden="1" customHeight="1" outlineLevel="1" x14ac:dyDescent="0.25">
      <c r="A40" s="135">
        <f>C40*1000000/$C$16</f>
        <v>-25.764393640742959</v>
      </c>
      <c r="B40" s="139" t="s">
        <v>48</v>
      </c>
      <c r="C40" s="132">
        <f>SUMIF($D$15:$BG$15,1,D40:BG40)</f>
        <v>-30.753572677706181</v>
      </c>
      <c r="D40" s="138">
        <f t="shared" ref="D40:AK40" si="8">NPV($C$8,D39:D39)</f>
        <v>-14.585574755446842</v>
      </c>
      <c r="E40" s="8">
        <f t="shared" si="8"/>
        <v>-13.213908981279149</v>
      </c>
      <c r="F40" s="8">
        <f t="shared" si="8"/>
        <v>-23.2366721575256</v>
      </c>
      <c r="G40" s="8">
        <f t="shared" si="8"/>
        <v>-3.0215850185191875E-2</v>
      </c>
      <c r="H40" s="8">
        <f t="shared" si="8"/>
        <v>2.931716930532588E-2</v>
      </c>
      <c r="I40" s="8">
        <f t="shared" si="8"/>
        <v>7.8808319995888262E-2</v>
      </c>
      <c r="J40" s="8">
        <f t="shared" si="8"/>
        <v>0.12853207909469283</v>
      </c>
      <c r="K40" s="8">
        <f t="shared" si="8"/>
        <v>0.17848953986126392</v>
      </c>
      <c r="L40" s="8">
        <f t="shared" si="8"/>
        <v>0.22868180069343674</v>
      </c>
      <c r="M40" s="8">
        <f t="shared" si="8"/>
        <v>0.27910996515152364</v>
      </c>
      <c r="N40" s="8">
        <f t="shared" si="8"/>
        <v>0.32977514198255981</v>
      </c>
      <c r="O40" s="8">
        <f t="shared" si="8"/>
        <v>0.38067844514470484</v>
      </c>
      <c r="P40" s="8">
        <f t="shared" si="8"/>
        <v>0.43182099383171091</v>
      </c>
      <c r="Q40" s="8">
        <f t="shared" si="8"/>
        <v>0.48320391249754685</v>
      </c>
      <c r="R40" s="8">
        <f t="shared" si="8"/>
        <v>0.53482833088111226</v>
      </c>
      <c r="S40" s="8">
        <f t="shared" si="8"/>
        <v>0.43182099383171091</v>
      </c>
      <c r="T40" s="8">
        <f t="shared" si="8"/>
        <v>0.48320391249754685</v>
      </c>
      <c r="U40" s="8">
        <f t="shared" si="8"/>
        <v>0.53482833088111226</v>
      </c>
      <c r="V40" s="8">
        <f t="shared" si="8"/>
        <v>0.58669538403107968</v>
      </c>
      <c r="W40" s="8">
        <f t="shared" si="8"/>
        <v>0.63880621233085078</v>
      </c>
      <c r="X40" s="8">
        <f t="shared" si="8"/>
        <v>0.69116196152363363</v>
      </c>
      <c r="Y40" s="8">
        <f t="shared" si="8"/>
        <v>0.74376378273762112</v>
      </c>
      <c r="Z40" s="8">
        <f t="shared" si="8"/>
        <v>0.79661283251131443</v>
      </c>
      <c r="AA40" s="8">
        <f t="shared" si="8"/>
        <v>0.8497102728189414</v>
      </c>
      <c r="AB40" s="8">
        <f t="shared" si="8"/>
        <v>0.90305727109601497</v>
      </c>
      <c r="AC40" s="8">
        <f t="shared" si="8"/>
        <v>0.95665500026499528</v>
      </c>
      <c r="AD40" s="8">
        <f t="shared" si="8"/>
        <v>1.0105046387610661</v>
      </c>
      <c r="AE40" s="8">
        <f t="shared" si="8"/>
        <v>1.0646073705580701</v>
      </c>
      <c r="AF40" s="8">
        <f t="shared" si="8"/>
        <v>1.1189643851945206</v>
      </c>
      <c r="AG40" s="8">
        <f t="shared" si="8"/>
        <v>1.1735768777997602</v>
      </c>
      <c r="AH40" s="8">
        <f t="shared" si="8"/>
        <v>1.2284460491202454</v>
      </c>
      <c r="AI40" s="8">
        <f t="shared" si="8"/>
        <v>1.2835731055459381</v>
      </c>
      <c r="AJ40" s="8">
        <f t="shared" si="8"/>
        <v>1.3389592591368278</v>
      </c>
      <c r="AK40" s="8">
        <f t="shared" si="8"/>
        <v>1.3946057276495987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</row>
    <row r="41" spans="1:60" ht="15" hidden="1" customHeight="1" outlineLevel="1" x14ac:dyDescent="0.25">
      <c r="A41" s="105"/>
      <c r="B41" s="1"/>
      <c r="C41" s="132"/>
      <c r="D41" s="13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</row>
    <row r="42" spans="1:60" ht="15" hidden="1" customHeight="1" outlineLevel="1" x14ac:dyDescent="0.25">
      <c r="A42" s="135">
        <f>A24+A27+A30</f>
        <v>541.11650155824225</v>
      </c>
      <c r="B42" s="104" t="s">
        <v>49</v>
      </c>
      <c r="C42" s="132"/>
      <c r="D42" s="138">
        <v>-15.987438101917103</v>
      </c>
      <c r="E42" s="8">
        <v>-30.471375517113934</v>
      </c>
      <c r="F42" s="8">
        <v>-55.941393945715788</v>
      </c>
      <c r="G42" s="8">
        <v>-55.974513931909826</v>
      </c>
      <c r="H42" s="8">
        <v>-55.942379001511057</v>
      </c>
      <c r="I42" s="8">
        <v>-55.855996177455403</v>
      </c>
      <c r="J42" s="8">
        <v>-55.71511049464268</v>
      </c>
      <c r="K42" s="8">
        <v>-55.519465789636733</v>
      </c>
      <c r="L42" s="8">
        <v>-55.268804695033246</v>
      </c>
      <c r="M42" s="8">
        <v>-54.962868633801115</v>
      </c>
      <c r="N42" s="8">
        <v>-54.601397813597188</v>
      </c>
      <c r="O42" s="8">
        <v>-54.184131221054294</v>
      </c>
      <c r="P42" s="8">
        <v>-53.710806616042433</v>
      </c>
      <c r="Q42" s="8">
        <v>-53.18116052590301</v>
      </c>
      <c r="R42" s="8">
        <v>-52.594928239655921</v>
      </c>
      <c r="S42" s="8">
        <v>-53.710806616042433</v>
      </c>
      <c r="T42" s="8">
        <v>-53.18116052590301</v>
      </c>
      <c r="U42" s="8">
        <v>-52.594928239655921</v>
      </c>
      <c r="V42" s="8">
        <v>-51.951843802179461</v>
      </c>
      <c r="W42" s="8">
        <v>-51.251640008362855</v>
      </c>
      <c r="X42" s="8">
        <v>-50.494048397231303</v>
      </c>
      <c r="Y42" s="8">
        <v>-49.678799246043418</v>
      </c>
      <c r="Z42" s="8">
        <v>-48.805621564360941</v>
      </c>
      <c r="AA42" s="8">
        <v>-47.874243088090552</v>
      </c>
      <c r="AB42" s="8">
        <v>-46.884390273497687</v>
      </c>
      <c r="AC42" s="8">
        <v>-45.835788291192223</v>
      </c>
      <c r="AD42" s="8">
        <v>-44.728161020085913</v>
      </c>
      <c r="AE42" s="8">
        <v>-43.561231041321399</v>
      </c>
      <c r="AF42" s="8">
        <v>-42.334719632172678</v>
      </c>
      <c r="AG42" s="8">
        <v>-41.048346759916953</v>
      </c>
      <c r="AH42" s="8">
        <v>-39.70183107567761</v>
      </c>
      <c r="AI42" s="8">
        <v>-38.294889908238332</v>
      </c>
      <c r="AJ42" s="8">
        <v>-36.827239257828083</v>
      </c>
      <c r="AK42" s="8">
        <v>-35.298593789876897</v>
      </c>
      <c r="AL42" s="8">
        <v>-33.708666828742331</v>
      </c>
      <c r="AM42" s="8">
        <v>-32.057170351406427</v>
      </c>
      <c r="AN42" s="8">
        <v>-30.343814981143037</v>
      </c>
      <c r="AO42" s="8">
        <v>-28.568309981155394</v>
      </c>
      <c r="AP42" s="8">
        <v>-26.730363248183803</v>
      </c>
      <c r="AQ42" s="8">
        <v>-24.829681306083238</v>
      </c>
      <c r="AR42" s="8">
        <v>-22.865969299370789</v>
      </c>
      <c r="AS42" s="8">
        <v>-20.838930986742785</v>
      </c>
      <c r="AT42" s="8">
        <v>-18.748268734561421</v>
      </c>
      <c r="AU42" s="8">
        <v>-16.593683510310797</v>
      </c>
      <c r="AV42" s="8">
        <v>-14.374874876022183</v>
      </c>
      <c r="AW42" s="8">
        <v>-12.091540981668405</v>
      </c>
      <c r="AX42" s="8">
        <v>-9.7433785585271568</v>
      </c>
      <c r="AY42" s="8">
        <v>-7.3300829125131326</v>
      </c>
      <c r="AZ42" s="8">
        <v>-4.8513479174788321</v>
      </c>
      <c r="BA42" s="8">
        <v>-2.306866008483865</v>
      </c>
      <c r="BB42" s="8">
        <v>0.30367182496738865</v>
      </c>
      <c r="BC42" s="8">
        <v>2.9805760457198738</v>
      </c>
      <c r="BD42" s="8">
        <v>5.7241585757939006</v>
      </c>
      <c r="BE42" s="8">
        <v>8.534732803243287</v>
      </c>
      <c r="BF42" s="8">
        <v>11.412613589045696</v>
      </c>
      <c r="BG42" s="8">
        <v>14.35811727402538</v>
      </c>
      <c r="BH42" s="8">
        <v>0</v>
      </c>
    </row>
    <row r="43" spans="1:60" ht="15" hidden="1" customHeight="1" outlineLevel="1" x14ac:dyDescent="0.25">
      <c r="A43" s="135">
        <f>A18+A21+A36</f>
        <v>568.02519664759279</v>
      </c>
      <c r="B43" s="104" t="s">
        <v>50</v>
      </c>
      <c r="C43" s="140">
        <v>35</v>
      </c>
      <c r="D43" s="127" t="s">
        <v>3</v>
      </c>
    </row>
    <row r="44" spans="1:60" ht="15" hidden="1" customHeight="1" outlineLevel="1" x14ac:dyDescent="0.25">
      <c r="A44" s="135">
        <f>A42-A43</f>
        <v>-26.908695089350545</v>
      </c>
      <c r="B44" s="104" t="s">
        <v>30</v>
      </c>
      <c r="C44" s="1"/>
      <c r="F44" s="142"/>
      <c r="G44" s="142"/>
    </row>
    <row r="45" spans="1:60" ht="15" hidden="1" customHeight="1" outlineLevel="1" x14ac:dyDescent="0.25">
      <c r="A45" s="135"/>
      <c r="B45" s="104" t="s">
        <v>397</v>
      </c>
      <c r="C45" s="17">
        <v>160</v>
      </c>
      <c r="D45" s="1" t="s">
        <v>8</v>
      </c>
      <c r="F45" s="142"/>
      <c r="G45" s="142"/>
    </row>
    <row r="46" spans="1:60" ht="15" hidden="1" customHeight="1" outlineLevel="1" x14ac:dyDescent="0.25">
      <c r="B46" s="143" t="s">
        <v>51</v>
      </c>
      <c r="C46" s="137">
        <f>F46*$C$16/1000000</f>
        <v>558.29587493126496</v>
      </c>
      <c r="D46" s="144" t="s">
        <v>52</v>
      </c>
      <c r="E46" s="144"/>
      <c r="F46" s="145">
        <f>A27</f>
        <v>467.72304604984777</v>
      </c>
      <c r="G46" s="144" t="s">
        <v>8</v>
      </c>
      <c r="H46" s="144"/>
    </row>
    <row r="47" spans="1:60" ht="15" hidden="1" customHeight="1" outlineLevel="1" x14ac:dyDescent="0.25">
      <c r="B47" s="146" t="s">
        <v>53</v>
      </c>
      <c r="C47" s="147">
        <f>F47*$C$16/1000000</f>
        <v>0</v>
      </c>
      <c r="D47" s="148" t="s">
        <v>52</v>
      </c>
      <c r="E47" s="148"/>
      <c r="F47" s="149">
        <f>A24</f>
        <v>0</v>
      </c>
      <c r="G47" s="148" t="s">
        <v>8</v>
      </c>
      <c r="H47" s="148"/>
    </row>
    <row r="48" spans="1:60" ht="15" hidden="1" customHeight="1" outlineLevel="1" thickBot="1" x14ac:dyDescent="0.3">
      <c r="B48" s="143" t="s">
        <v>54</v>
      </c>
      <c r="C48" s="137">
        <f>F48*$C$16/1000000</f>
        <v>87.605825292006244</v>
      </c>
      <c r="D48" s="144" t="s">
        <v>52</v>
      </c>
      <c r="E48" s="144"/>
      <c r="F48" s="145">
        <f>A30</f>
        <v>73.393455508394453</v>
      </c>
      <c r="G48" s="144" t="s">
        <v>8</v>
      </c>
      <c r="H48" s="144"/>
    </row>
    <row r="49" spans="1:8" s="118" customFormat="1" ht="15" hidden="1" customHeight="1" outlineLevel="1" thickTop="1" x14ac:dyDescent="0.25">
      <c r="B49" s="150" t="s">
        <v>55</v>
      </c>
      <c r="C49" s="151">
        <f>C46+C47+C48</f>
        <v>645.90170022327118</v>
      </c>
      <c r="D49" s="152" t="s">
        <v>52</v>
      </c>
      <c r="E49" s="152"/>
      <c r="F49" s="153">
        <f>F46+F47+F48</f>
        <v>541.11650155824225</v>
      </c>
      <c r="G49" s="152" t="s">
        <v>8</v>
      </c>
      <c r="H49" s="152"/>
    </row>
    <row r="50" spans="1:8" ht="15" hidden="1" customHeight="1" outlineLevel="1" x14ac:dyDescent="0.25">
      <c r="B50" s="146" t="s">
        <v>56</v>
      </c>
      <c r="C50" s="147">
        <f>F50*$C$16/1000000</f>
        <v>665.73219887553557</v>
      </c>
      <c r="D50" s="148" t="s">
        <v>52</v>
      </c>
      <c r="E50" s="148"/>
      <c r="F50" s="149">
        <f>A18+A21</f>
        <v>557.7298810417758</v>
      </c>
      <c r="G50" s="148" t="s">
        <v>8</v>
      </c>
      <c r="H50" s="148"/>
    </row>
    <row r="51" spans="1:8" ht="15" hidden="1" customHeight="1" outlineLevel="1" x14ac:dyDescent="0.25">
      <c r="B51" s="143" t="s">
        <v>57</v>
      </c>
      <c r="C51" s="154">
        <f>F51*$C$16/1000000</f>
        <v>12.288965195079381</v>
      </c>
      <c r="D51" s="144" t="s">
        <v>52</v>
      </c>
      <c r="E51" s="144"/>
      <c r="F51" s="155">
        <f>A36</f>
        <v>10.295315605816967</v>
      </c>
      <c r="G51" s="144" t="s">
        <v>8</v>
      </c>
      <c r="H51" s="144"/>
    </row>
    <row r="52" spans="1:8" s="127" customFormat="1" ht="15" hidden="1" customHeight="1" outlineLevel="1" thickBot="1" x14ac:dyDescent="0.3">
      <c r="B52" s="156"/>
      <c r="C52" s="157"/>
      <c r="D52" s="158"/>
      <c r="E52" s="158"/>
      <c r="F52" s="158"/>
      <c r="G52" s="158"/>
      <c r="H52" s="158"/>
    </row>
    <row r="53" spans="1:8" s="131" customFormat="1" ht="15" hidden="1" customHeight="1" outlineLevel="1" thickTop="1" x14ac:dyDescent="0.25">
      <c r="B53" s="159" t="s">
        <v>58</v>
      </c>
      <c r="C53" s="160">
        <f>C49-C50-C51</f>
        <v>-32.119463847343781</v>
      </c>
      <c r="D53" s="161" t="s">
        <v>52</v>
      </c>
      <c r="E53" s="161"/>
      <c r="F53" s="162">
        <f>F49-F50-F51</f>
        <v>-26.908695089350516</v>
      </c>
      <c r="G53" s="161" t="s">
        <v>8</v>
      </c>
      <c r="H53" s="161"/>
    </row>
    <row r="54" spans="1:8" ht="15" customHeight="1" thickTop="1" thickBot="1" x14ac:dyDescent="0.3">
      <c r="A54" s="135"/>
      <c r="C54" s="17"/>
      <c r="F54" s="142"/>
      <c r="G54" s="142"/>
    </row>
    <row r="55" spans="1:8" s="163" customFormat="1" ht="25.15" customHeight="1" collapsed="1" thickTop="1" thickBot="1" x14ac:dyDescent="0.3">
      <c r="B55" s="789" t="s">
        <v>59</v>
      </c>
      <c r="C55" s="790"/>
      <c r="D55" s="790"/>
      <c r="E55" s="790"/>
      <c r="F55" s="790"/>
      <c r="G55" s="790"/>
      <c r="H55" s="791"/>
    </row>
    <row r="56" spans="1:8" s="127" customFormat="1" ht="15" hidden="1" customHeight="1" outlineLevel="1" thickTop="1" x14ac:dyDescent="0.25">
      <c r="B56" s="164"/>
      <c r="C56" s="165"/>
      <c r="D56" s="166"/>
      <c r="E56" s="166"/>
      <c r="F56" s="167"/>
      <c r="G56" s="166"/>
      <c r="H56" s="18"/>
    </row>
    <row r="57" spans="1:8" s="131" customFormat="1" ht="15" hidden="1" customHeight="1" outlineLevel="1" x14ac:dyDescent="0.25">
      <c r="B57" s="168" t="s">
        <v>60</v>
      </c>
      <c r="C57" s="169">
        <f>C58*C59</f>
        <v>4790648.1824426781</v>
      </c>
      <c r="D57" s="170" t="s">
        <v>9</v>
      </c>
      <c r="E57" s="170"/>
      <c r="F57" s="171">
        <v>151.0391659491757</v>
      </c>
      <c r="G57" s="170" t="s">
        <v>8</v>
      </c>
      <c r="H57" s="19">
        <f>F57/$F$99</f>
        <v>0.31606224673816918</v>
      </c>
    </row>
    <row r="58" spans="1:8" s="127" customFormat="1" ht="15" hidden="1" customHeight="1" outlineLevel="1" x14ac:dyDescent="0.25">
      <c r="B58" s="172" t="s">
        <v>61</v>
      </c>
      <c r="C58" s="173">
        <v>25880.236824</v>
      </c>
      <c r="D58" s="166" t="s">
        <v>5</v>
      </c>
      <c r="E58" s="166"/>
      <c r="F58" s="167"/>
      <c r="G58" s="166"/>
      <c r="H58" s="18"/>
    </row>
    <row r="59" spans="1:8" s="127" customFormat="1" ht="15" hidden="1" customHeight="1" outlineLevel="1" x14ac:dyDescent="0.25">
      <c r="B59" s="174" t="s">
        <v>62</v>
      </c>
      <c r="C59" s="175">
        <v>185.10835951856814</v>
      </c>
      <c r="D59" s="176" t="s">
        <v>8</v>
      </c>
      <c r="E59" s="176"/>
      <c r="F59" s="177"/>
      <c r="G59" s="176"/>
      <c r="H59" s="20"/>
    </row>
    <row r="60" spans="1:8" s="127" customFormat="1" ht="15" hidden="1" customHeight="1" outlineLevel="1" x14ac:dyDescent="0.25">
      <c r="B60" s="178"/>
      <c r="C60" s="179"/>
      <c r="D60" s="180"/>
      <c r="E60" s="180"/>
      <c r="F60" s="181"/>
      <c r="G60" s="180"/>
      <c r="H60" s="21"/>
    </row>
    <row r="61" spans="1:8" s="131" customFormat="1" ht="15" hidden="1" customHeight="1" outlineLevel="1" x14ac:dyDescent="0.25">
      <c r="B61" s="143" t="s">
        <v>63</v>
      </c>
      <c r="C61" s="182">
        <f>IF(C68="Sim",(C62*C71+C63*C72+C64*C73+C65*C74+C66*C76+C67*C75)*C69*((1-C93)+(1-C70)*(1-C89)),0)</f>
        <v>2655392.0435663396</v>
      </c>
      <c r="D61" s="183" t="s">
        <v>9</v>
      </c>
      <c r="E61" s="183"/>
      <c r="F61" s="184">
        <v>83.718984207234897</v>
      </c>
      <c r="G61" s="183" t="s">
        <v>8</v>
      </c>
      <c r="H61" s="22">
        <f>F61/$F$99</f>
        <v>0.17518906488188518</v>
      </c>
    </row>
    <row r="62" spans="1:8" s="127" customFormat="1" ht="15" hidden="1" customHeight="1" outlineLevel="1" x14ac:dyDescent="0.25">
      <c r="B62" s="185" t="s">
        <v>414</v>
      </c>
      <c r="C62" s="186">
        <v>1126.2160567302833</v>
      </c>
      <c r="D62" s="180" t="s">
        <v>5</v>
      </c>
      <c r="E62" s="180"/>
      <c r="F62" s="181"/>
      <c r="G62" s="180"/>
      <c r="H62" s="21"/>
    </row>
    <row r="63" spans="1:8" s="127" customFormat="1" ht="15" hidden="1" customHeight="1" outlineLevel="1" x14ac:dyDescent="0.25">
      <c r="B63" s="172" t="s">
        <v>415</v>
      </c>
      <c r="C63" s="173">
        <v>765.13915304576494</v>
      </c>
      <c r="D63" s="166" t="s">
        <v>5</v>
      </c>
      <c r="E63" s="166"/>
      <c r="F63" s="167"/>
      <c r="G63" s="166"/>
      <c r="H63" s="18"/>
    </row>
    <row r="64" spans="1:8" s="127" customFormat="1" ht="15" hidden="1" customHeight="1" outlineLevel="1" x14ac:dyDescent="0.25">
      <c r="B64" s="172" t="s">
        <v>416</v>
      </c>
      <c r="C64" s="173">
        <v>395.46518022590095</v>
      </c>
      <c r="D64" s="166" t="s">
        <v>5</v>
      </c>
      <c r="E64" s="166"/>
      <c r="F64" s="167"/>
      <c r="G64" s="166"/>
      <c r="H64" s="18"/>
    </row>
    <row r="65" spans="2:8" s="127" customFormat="1" ht="15" hidden="1" customHeight="1" outlineLevel="1" x14ac:dyDescent="0.25">
      <c r="B65" s="172" t="s">
        <v>417</v>
      </c>
      <c r="C65" s="173">
        <v>206.32965924829614</v>
      </c>
      <c r="D65" s="166" t="s">
        <v>5</v>
      </c>
      <c r="E65" s="166"/>
      <c r="F65" s="167"/>
      <c r="G65" s="166"/>
      <c r="H65" s="18"/>
    </row>
    <row r="66" spans="2:8" s="127" customFormat="1" ht="15" hidden="1" customHeight="1" outlineLevel="1" x14ac:dyDescent="0.25">
      <c r="B66" s="172" t="s">
        <v>418</v>
      </c>
      <c r="C66" s="173">
        <v>90.004172381314461</v>
      </c>
      <c r="D66" s="166" t="s">
        <v>5</v>
      </c>
      <c r="E66" s="166"/>
      <c r="F66" s="167"/>
      <c r="G66" s="166"/>
      <c r="H66" s="18"/>
    </row>
    <row r="67" spans="2:8" s="127" customFormat="1" ht="15" hidden="1" customHeight="1" outlineLevel="1" x14ac:dyDescent="0.25">
      <c r="B67" s="172" t="s">
        <v>419</v>
      </c>
      <c r="C67" s="173">
        <v>345.01599412837214</v>
      </c>
      <c r="D67" s="166" t="s">
        <v>5</v>
      </c>
      <c r="E67" s="166"/>
      <c r="F67" s="167"/>
      <c r="G67" s="166"/>
      <c r="H67" s="18"/>
    </row>
    <row r="68" spans="2:8" s="127" customFormat="1" ht="15" hidden="1" customHeight="1" outlineLevel="1" x14ac:dyDescent="0.25">
      <c r="B68" s="172" t="s">
        <v>420</v>
      </c>
      <c r="C68" s="173" t="s">
        <v>122</v>
      </c>
      <c r="D68" s="166" t="s">
        <v>64</v>
      </c>
      <c r="E68" s="166"/>
      <c r="F68" s="167"/>
      <c r="G68" s="166"/>
      <c r="H68" s="18"/>
    </row>
    <row r="69" spans="2:8" s="127" customFormat="1" ht="15" hidden="1" customHeight="1" outlineLevel="1" x14ac:dyDescent="0.25">
      <c r="B69" s="172" t="s">
        <v>203</v>
      </c>
      <c r="C69" s="23">
        <v>1</v>
      </c>
      <c r="D69" s="166" t="s">
        <v>1</v>
      </c>
      <c r="E69" s="166"/>
      <c r="F69" s="167"/>
      <c r="G69" s="166"/>
      <c r="H69" s="18"/>
    </row>
    <row r="70" spans="2:8" s="127" customFormat="1" ht="15" hidden="1" customHeight="1" outlineLevel="1" x14ac:dyDescent="0.25">
      <c r="B70" s="172" t="s">
        <v>421</v>
      </c>
      <c r="C70" s="23">
        <v>0.25</v>
      </c>
      <c r="D70" s="166" t="s">
        <v>1</v>
      </c>
      <c r="E70" s="166"/>
      <c r="F70" s="167"/>
      <c r="G70" s="166"/>
      <c r="H70" s="18"/>
    </row>
    <row r="71" spans="2:8" s="127" customFormat="1" ht="15" hidden="1" customHeight="1" outlineLevel="1" x14ac:dyDescent="0.25">
      <c r="B71" s="172" t="s">
        <v>422</v>
      </c>
      <c r="C71" s="173">
        <v>300</v>
      </c>
      <c r="D71" s="166" t="s">
        <v>8</v>
      </c>
      <c r="E71" s="166"/>
      <c r="F71" s="167"/>
      <c r="G71" s="166"/>
      <c r="H71" s="18"/>
    </row>
    <row r="72" spans="2:8" s="127" customFormat="1" ht="15" hidden="1" customHeight="1" outlineLevel="1" x14ac:dyDescent="0.25">
      <c r="B72" s="172" t="s">
        <v>423</v>
      </c>
      <c r="C72" s="173">
        <v>750</v>
      </c>
      <c r="D72" s="166" t="s">
        <v>8</v>
      </c>
      <c r="E72" s="166"/>
      <c r="F72" s="167"/>
      <c r="G72" s="166"/>
      <c r="H72" s="18"/>
    </row>
    <row r="73" spans="2:8" s="127" customFormat="1" ht="15" hidden="1" customHeight="1" outlineLevel="1" x14ac:dyDescent="0.25">
      <c r="B73" s="172" t="s">
        <v>424</v>
      </c>
      <c r="C73" s="173">
        <v>1250</v>
      </c>
      <c r="D73" s="166" t="s">
        <v>8</v>
      </c>
      <c r="E73" s="166"/>
      <c r="F73" s="167"/>
      <c r="G73" s="166"/>
      <c r="H73" s="18"/>
    </row>
    <row r="74" spans="2:8" s="127" customFormat="1" ht="15" hidden="1" customHeight="1" outlineLevel="1" x14ac:dyDescent="0.25">
      <c r="B74" s="172" t="s">
        <v>425</v>
      </c>
      <c r="C74" s="173">
        <v>50</v>
      </c>
      <c r="D74" s="166" t="s">
        <v>8</v>
      </c>
      <c r="E74" s="166"/>
      <c r="F74" s="167"/>
      <c r="G74" s="166"/>
      <c r="H74" s="18"/>
    </row>
    <row r="75" spans="2:8" s="127" customFormat="1" ht="15" hidden="1" customHeight="1" outlineLevel="1" x14ac:dyDescent="0.25">
      <c r="B75" s="172" t="s">
        <v>426</v>
      </c>
      <c r="C75" s="173">
        <v>570</v>
      </c>
      <c r="D75" s="166" t="s">
        <v>8</v>
      </c>
      <c r="E75" s="166"/>
      <c r="F75" s="167"/>
      <c r="G75" s="166"/>
      <c r="H75" s="18"/>
    </row>
    <row r="76" spans="2:8" s="127" customFormat="1" ht="15" hidden="1" customHeight="1" outlineLevel="1" x14ac:dyDescent="0.25">
      <c r="B76" s="172" t="s">
        <v>427</v>
      </c>
      <c r="C76" s="173">
        <v>900</v>
      </c>
      <c r="D76" s="166" t="s">
        <v>8</v>
      </c>
      <c r="E76" s="166"/>
      <c r="F76" s="167"/>
      <c r="G76" s="166"/>
      <c r="H76" s="18"/>
    </row>
    <row r="77" spans="2:8" s="127" customFormat="1" ht="15" hidden="1" customHeight="1" outlineLevel="1" x14ac:dyDescent="0.25">
      <c r="B77" s="164"/>
      <c r="C77" s="165"/>
      <c r="D77" s="166"/>
      <c r="E77" s="166"/>
      <c r="F77" s="167"/>
      <c r="G77" s="166"/>
      <c r="H77" s="18"/>
    </row>
    <row r="78" spans="2:8" ht="15" hidden="1" customHeight="1" outlineLevel="1" x14ac:dyDescent="0.25">
      <c r="B78" s="143" t="s">
        <v>65</v>
      </c>
      <c r="C78" s="182">
        <v>1961773.6964574349</v>
      </c>
      <c r="D78" s="144" t="s">
        <v>9</v>
      </c>
      <c r="E78" s="144"/>
      <c r="F78" s="155">
        <v>61.85064141839802</v>
      </c>
      <c r="G78" s="144" t="s">
        <v>8</v>
      </c>
      <c r="H78" s="24">
        <f>F78/$F$99</f>
        <v>0.1294277054964261</v>
      </c>
    </row>
    <row r="79" spans="2:8" ht="15" hidden="1" customHeight="1" outlineLevel="1" x14ac:dyDescent="0.25">
      <c r="B79" s="143" t="s">
        <v>66</v>
      </c>
      <c r="C79" s="182">
        <v>2746483.1750404085</v>
      </c>
      <c r="D79" s="144" t="s">
        <v>9</v>
      </c>
      <c r="E79" s="144"/>
      <c r="F79" s="155">
        <v>86.590897985757223</v>
      </c>
      <c r="G79" s="144" t="s">
        <v>8</v>
      </c>
      <c r="H79" s="24">
        <f>F79/$F$99</f>
        <v>0.18119878769499653</v>
      </c>
    </row>
    <row r="80" spans="2:8" s="127" customFormat="1" ht="15" hidden="1" customHeight="1" outlineLevel="1" x14ac:dyDescent="0.25">
      <c r="B80" s="164"/>
      <c r="C80" s="165"/>
      <c r="D80" s="166"/>
      <c r="E80" s="166"/>
      <c r="F80" s="167"/>
      <c r="G80" s="166"/>
      <c r="H80" s="18"/>
    </row>
    <row r="81" spans="2:8" ht="15" hidden="1" customHeight="1" outlineLevel="1" x14ac:dyDescent="0.25">
      <c r="B81" s="187" t="s">
        <v>67</v>
      </c>
      <c r="C81" s="188">
        <f>(C82*C83+C84*C85)*C86</f>
        <v>1000763.259889458</v>
      </c>
      <c r="D81" s="189" t="s">
        <v>9</v>
      </c>
      <c r="E81" s="189"/>
      <c r="F81" s="190">
        <v>31.551982598148239</v>
      </c>
      <c r="G81" s="189" t="s">
        <v>8</v>
      </c>
      <c r="H81" s="25">
        <f>F81/$F$99</f>
        <v>6.6025195824836805E-2</v>
      </c>
    </row>
    <row r="82" spans="2:8" ht="15" hidden="1" customHeight="1" outlineLevel="1" x14ac:dyDescent="0.25">
      <c r="B82" s="191" t="s">
        <v>68</v>
      </c>
      <c r="C82" s="192">
        <v>31717.919999999998</v>
      </c>
      <c r="D82" s="127" t="s">
        <v>5</v>
      </c>
      <c r="E82" s="127"/>
      <c r="F82" s="193"/>
      <c r="G82" s="127"/>
      <c r="H82" s="26"/>
    </row>
    <row r="83" spans="2:8" ht="15" hidden="1" customHeight="1" outlineLevel="1" x14ac:dyDescent="0.25">
      <c r="B83" s="191" t="s">
        <v>69</v>
      </c>
      <c r="C83" s="192">
        <v>545.44961638466214</v>
      </c>
      <c r="D83" s="127" t="s">
        <v>8</v>
      </c>
      <c r="E83" s="127"/>
      <c r="F83" s="193"/>
      <c r="G83" s="127"/>
      <c r="H83" s="26"/>
    </row>
    <row r="84" spans="2:8" ht="15" hidden="1" customHeight="1" outlineLevel="1" x14ac:dyDescent="0.25">
      <c r="B84" s="191" t="s">
        <v>70</v>
      </c>
      <c r="C84" s="192">
        <v>15756</v>
      </c>
      <c r="D84" s="127" t="s">
        <v>5</v>
      </c>
      <c r="E84" s="127"/>
      <c r="F84" s="193"/>
      <c r="G84" s="127"/>
      <c r="H84" s="26"/>
    </row>
    <row r="85" spans="2:8" ht="15" hidden="1" customHeight="1" outlineLevel="1" x14ac:dyDescent="0.25">
      <c r="B85" s="191" t="s">
        <v>71</v>
      </c>
      <c r="C85" s="192">
        <v>172.29867360178693</v>
      </c>
      <c r="D85" s="127" t="s">
        <v>8</v>
      </c>
      <c r="E85" s="127"/>
      <c r="F85" s="193"/>
      <c r="G85" s="127"/>
      <c r="H85" s="26"/>
    </row>
    <row r="86" spans="2:8" ht="15" hidden="1" customHeight="1" outlineLevel="1" x14ac:dyDescent="0.25">
      <c r="B86" s="194" t="s">
        <v>72</v>
      </c>
      <c r="C86" s="27">
        <v>0.05</v>
      </c>
      <c r="D86" s="195" t="s">
        <v>1</v>
      </c>
      <c r="E86" s="195"/>
      <c r="F86" s="196"/>
      <c r="G86" s="195"/>
      <c r="H86" s="28"/>
    </row>
    <row r="87" spans="2:8" s="127" customFormat="1" ht="15" hidden="1" customHeight="1" outlineLevel="1" x14ac:dyDescent="0.25">
      <c r="B87" s="164"/>
      <c r="C87" s="165"/>
      <c r="D87" s="166"/>
      <c r="E87" s="166"/>
      <c r="F87" s="167"/>
      <c r="G87" s="166"/>
      <c r="H87" s="18"/>
    </row>
    <row r="88" spans="2:8" ht="15" hidden="1" customHeight="1" outlineLevel="1" x14ac:dyDescent="0.25">
      <c r="B88" s="187" t="s">
        <v>73</v>
      </c>
      <c r="C88" s="188">
        <f>(C62*C71+C63*C72+C64*C73+C65*C74+C66*C76+C67*C75)*C89*C90</f>
        <v>50820.900355336649</v>
      </c>
      <c r="D88" s="189" t="s">
        <v>9</v>
      </c>
      <c r="E88" s="189"/>
      <c r="F88" s="190">
        <v>1.602277209707845</v>
      </c>
      <c r="G88" s="189" t="s">
        <v>8</v>
      </c>
      <c r="H88" s="25">
        <f>F88/$F$99</f>
        <v>3.3529007632896687E-3</v>
      </c>
    </row>
    <row r="89" spans="2:8" ht="15" hidden="1" customHeight="1" outlineLevel="1" x14ac:dyDescent="0.25">
      <c r="B89" s="194" t="s">
        <v>74</v>
      </c>
      <c r="C89" s="27">
        <v>0.12</v>
      </c>
      <c r="D89" s="195" t="s">
        <v>1</v>
      </c>
      <c r="E89" s="195"/>
      <c r="F89" s="196"/>
      <c r="G89" s="195"/>
      <c r="H89" s="28"/>
    </row>
    <row r="90" spans="2:8" ht="15" hidden="1" customHeight="1" outlineLevel="1" x14ac:dyDescent="0.25">
      <c r="B90" s="194" t="s">
        <v>421</v>
      </c>
      <c r="C90" s="27">
        <v>0.25</v>
      </c>
      <c r="D90" s="195" t="s">
        <v>1</v>
      </c>
      <c r="E90" s="195"/>
      <c r="F90" s="196"/>
      <c r="G90" s="195"/>
      <c r="H90" s="28"/>
    </row>
    <row r="91" spans="2:8" s="127" customFormat="1" ht="15" hidden="1" customHeight="1" outlineLevel="1" x14ac:dyDescent="0.25">
      <c r="B91" s="164"/>
      <c r="C91" s="165"/>
      <c r="D91" s="166"/>
      <c r="E91" s="166"/>
      <c r="F91" s="167"/>
      <c r="G91" s="166"/>
      <c r="H91" s="18"/>
    </row>
    <row r="92" spans="2:8" ht="15" hidden="1" customHeight="1" outlineLevel="1" x14ac:dyDescent="0.25">
      <c r="B92" s="187" t="s">
        <v>75</v>
      </c>
      <c r="C92" s="188">
        <v>1951412.0662160271</v>
      </c>
      <c r="D92" s="189" t="s">
        <v>9</v>
      </c>
      <c r="E92" s="197"/>
      <c r="F92" s="198">
        <v>61.523960783557911</v>
      </c>
      <c r="G92" s="197" t="s">
        <v>8</v>
      </c>
      <c r="H92" s="29">
        <f>F92/$F$99</f>
        <v>0.12874409860039648</v>
      </c>
    </row>
    <row r="93" spans="2:8" ht="15" hidden="1" customHeight="1" outlineLevel="1" x14ac:dyDescent="0.25">
      <c r="B93" s="194" t="s">
        <v>76</v>
      </c>
      <c r="C93" s="30">
        <v>9.2499999999999999E-2</v>
      </c>
      <c r="D93" s="195" t="s">
        <v>1</v>
      </c>
      <c r="E93" s="195"/>
      <c r="F93" s="196"/>
      <c r="G93" s="195"/>
      <c r="H93" s="28"/>
    </row>
    <row r="94" spans="2:8" ht="15" hidden="1" customHeight="1" outlineLevel="1" x14ac:dyDescent="0.25">
      <c r="B94" s="191" t="s">
        <v>68</v>
      </c>
      <c r="C94" s="192">
        <f>C82</f>
        <v>31717.919999999998</v>
      </c>
      <c r="D94" s="127" t="s">
        <v>5</v>
      </c>
      <c r="E94" s="127"/>
      <c r="F94" s="193"/>
      <c r="G94" s="127"/>
      <c r="H94" s="26"/>
    </row>
    <row r="95" spans="2:8" ht="15" hidden="1" customHeight="1" outlineLevel="1" x14ac:dyDescent="0.25">
      <c r="B95" s="191" t="s">
        <v>69</v>
      </c>
      <c r="C95" s="192">
        <f>C83</f>
        <v>545.44961638466214</v>
      </c>
      <c r="D95" s="127" t="s">
        <v>8</v>
      </c>
      <c r="E95" s="127"/>
      <c r="F95" s="193"/>
      <c r="G95" s="127"/>
      <c r="H95" s="26"/>
    </row>
    <row r="96" spans="2:8" ht="15" hidden="1" customHeight="1" outlineLevel="1" x14ac:dyDescent="0.25">
      <c r="B96" s="191" t="s">
        <v>70</v>
      </c>
      <c r="C96" s="192">
        <f>C84</f>
        <v>15756</v>
      </c>
      <c r="D96" s="127" t="s">
        <v>5</v>
      </c>
      <c r="E96" s="127"/>
      <c r="F96" s="193"/>
      <c r="G96" s="127"/>
      <c r="H96" s="26"/>
    </row>
    <row r="97" spans="2:8" ht="15" hidden="1" customHeight="1" outlineLevel="1" x14ac:dyDescent="0.25">
      <c r="B97" s="191" t="s">
        <v>71</v>
      </c>
      <c r="C97" s="192">
        <f>C85</f>
        <v>172.29867360178693</v>
      </c>
      <c r="D97" s="127" t="s">
        <v>8</v>
      </c>
      <c r="E97" s="127"/>
      <c r="F97" s="193"/>
      <c r="G97" s="127"/>
      <c r="H97" s="26"/>
    </row>
    <row r="98" spans="2:8" s="127" customFormat="1" ht="15" hidden="1" customHeight="1" outlineLevel="1" thickBot="1" x14ac:dyDescent="0.3">
      <c r="B98" s="156"/>
      <c r="C98" s="157"/>
      <c r="D98" s="158"/>
      <c r="E98" s="158"/>
      <c r="F98" s="158"/>
      <c r="G98" s="158"/>
      <c r="H98" s="158"/>
    </row>
    <row r="99" spans="2:8" s="118" customFormat="1" ht="15" hidden="1" customHeight="1" outlineLevel="1" thickTop="1" x14ac:dyDescent="0.25">
      <c r="B99" s="199" t="s">
        <v>77</v>
      </c>
      <c r="C99" s="200">
        <f>C57+C61+C78+C79+C81+C88+C92</f>
        <v>15157293.323967684</v>
      </c>
      <c r="D99" s="201" t="s">
        <v>9</v>
      </c>
      <c r="E99" s="202"/>
      <c r="F99" s="203">
        <v>477.87791015197985</v>
      </c>
      <c r="G99" s="202" t="s">
        <v>8</v>
      </c>
      <c r="H99" s="31">
        <f>F99/$F$99</f>
        <v>1</v>
      </c>
    </row>
    <row r="100" spans="2:8" ht="15" customHeight="1" thickTop="1" thickBot="1" x14ac:dyDescent="0.3">
      <c r="D100" s="127"/>
      <c r="E100" s="127"/>
      <c r="F100" s="127"/>
      <c r="G100" s="127"/>
      <c r="H100" s="127"/>
    </row>
    <row r="101" spans="2:8" ht="25.15" customHeight="1" collapsed="1" thickTop="1" thickBot="1" x14ac:dyDescent="0.3">
      <c r="B101" s="789" t="s">
        <v>78</v>
      </c>
      <c r="C101" s="790"/>
      <c r="D101" s="790"/>
      <c r="E101" s="790"/>
      <c r="F101" s="790"/>
      <c r="G101" s="790"/>
      <c r="H101" s="791"/>
    </row>
    <row r="102" spans="2:8" ht="15" hidden="1" customHeight="1" outlineLevel="1" thickTop="1" x14ac:dyDescent="0.25">
      <c r="B102" s="122" t="s">
        <v>349</v>
      </c>
      <c r="C102" s="33">
        <v>96866</v>
      </c>
      <c r="D102" s="127" t="s">
        <v>350</v>
      </c>
      <c r="F102" s="5"/>
      <c r="G102" s="204"/>
    </row>
    <row r="103" spans="2:8" ht="15" hidden="1" customHeight="1" outlineLevel="1" x14ac:dyDescent="0.25">
      <c r="B103" s="32" t="s">
        <v>79</v>
      </c>
      <c r="C103" s="33">
        <v>31717.919999999998</v>
      </c>
      <c r="D103" s="34" t="s">
        <v>5</v>
      </c>
      <c r="E103" s="205"/>
      <c r="F103" s="205"/>
      <c r="G103" s="205"/>
      <c r="H103" s="205"/>
    </row>
    <row r="104" spans="2:8" ht="15" hidden="1" customHeight="1" outlineLevel="1" x14ac:dyDescent="0.25">
      <c r="B104" s="32" t="s">
        <v>79</v>
      </c>
      <c r="C104" s="33">
        <f>C103/312</f>
        <v>101.66</v>
      </c>
      <c r="D104" s="34" t="s">
        <v>29</v>
      </c>
      <c r="E104" s="205"/>
      <c r="F104" s="205"/>
      <c r="G104" s="205"/>
      <c r="H104" s="205"/>
    </row>
    <row r="105" spans="2:8" ht="15" hidden="1" customHeight="1" outlineLevel="1" x14ac:dyDescent="0.25">
      <c r="B105" s="35" t="s">
        <v>80</v>
      </c>
      <c r="C105" s="33">
        <v>34388.276541382686</v>
      </c>
      <c r="D105" s="34" t="s">
        <v>5</v>
      </c>
      <c r="E105" s="205"/>
      <c r="F105" s="205"/>
      <c r="G105" s="205"/>
      <c r="H105" s="205"/>
    </row>
    <row r="106" spans="2:8" ht="15" hidden="1" customHeight="1" outlineLevel="1" x14ac:dyDescent="0.25">
      <c r="B106" s="35" t="s">
        <v>81</v>
      </c>
      <c r="C106" s="33">
        <f>C105/312</f>
        <v>110.21883506853425</v>
      </c>
      <c r="D106" s="34" t="s">
        <v>29</v>
      </c>
      <c r="E106" s="205"/>
      <c r="F106" s="205"/>
      <c r="G106" s="205"/>
      <c r="H106" s="205"/>
    </row>
    <row r="107" spans="2:8" ht="15" hidden="1" customHeight="1" outlineLevel="1" x14ac:dyDescent="0.25">
      <c r="B107" s="35" t="s">
        <v>137</v>
      </c>
      <c r="C107" s="658">
        <v>0.48399999999999999</v>
      </c>
      <c r="D107" s="34" t="s">
        <v>1</v>
      </c>
      <c r="E107" s="205"/>
      <c r="F107" s="205"/>
      <c r="G107" s="205"/>
      <c r="H107" s="205"/>
    </row>
    <row r="108" spans="2:8" ht="15" hidden="1" customHeight="1" outlineLevel="1" x14ac:dyDescent="0.25">
      <c r="B108" s="36" t="s">
        <v>82</v>
      </c>
      <c r="C108" s="206">
        <v>1068.6593513476564</v>
      </c>
      <c r="D108" s="37" t="s">
        <v>20</v>
      </c>
      <c r="E108" s="205"/>
      <c r="F108" s="205"/>
      <c r="G108" s="205"/>
      <c r="H108" s="205"/>
    </row>
    <row r="109" spans="2:8" ht="15" hidden="1" customHeight="1" outlineLevel="1" x14ac:dyDescent="0.25">
      <c r="B109" s="36" t="s">
        <v>83</v>
      </c>
      <c r="C109" s="38">
        <v>450</v>
      </c>
      <c r="D109" s="39" t="s">
        <v>0</v>
      </c>
      <c r="E109" s="205"/>
      <c r="F109" s="205"/>
      <c r="G109" s="205"/>
      <c r="H109" s="205"/>
    </row>
    <row r="110" spans="2:8" ht="15" hidden="1" customHeight="1" outlineLevel="1" thickBot="1" x14ac:dyDescent="0.3">
      <c r="B110" s="104" t="s">
        <v>398</v>
      </c>
      <c r="C110" s="105">
        <f>C103*1000/C102/365</f>
        <v>0.8970991984690615</v>
      </c>
      <c r="D110" s="1" t="s">
        <v>399</v>
      </c>
    </row>
    <row r="111" spans="2:8" ht="15" hidden="1" customHeight="1" outlineLevel="1" thickTop="1" x14ac:dyDescent="0.25">
      <c r="B111" s="40" t="s">
        <v>84</v>
      </c>
      <c r="C111" s="207"/>
      <c r="D111" s="6"/>
      <c r="E111" s="6"/>
      <c r="F111" s="6"/>
      <c r="G111" s="6"/>
      <c r="H111" s="6"/>
    </row>
    <row r="112" spans="2:8" s="127" customFormat="1" ht="15" hidden="1" customHeight="1" outlineLevel="1" x14ac:dyDescent="0.25">
      <c r="B112" s="208"/>
      <c r="C112" s="209">
        <v>74.293102965787199</v>
      </c>
      <c r="D112" s="37" t="s">
        <v>22</v>
      </c>
      <c r="E112" s="210"/>
      <c r="F112" s="210"/>
      <c r="G112" s="210"/>
      <c r="H112" s="210"/>
    </row>
    <row r="113" spans="2:8" ht="15" hidden="1" customHeight="1" outlineLevel="1" x14ac:dyDescent="0.25">
      <c r="C113" s="137">
        <f>C112*312*$C$106/$C$104/1000</f>
        <v>25.130944028181275</v>
      </c>
      <c r="D113" s="41" t="s">
        <v>19</v>
      </c>
    </row>
    <row r="114" spans="2:8" ht="15" hidden="1" customHeight="1" outlineLevel="1" x14ac:dyDescent="0.25">
      <c r="B114" s="42" t="s">
        <v>85</v>
      </c>
      <c r="C114" s="211"/>
      <c r="D114" s="212"/>
      <c r="E114" s="212"/>
      <c r="F114" s="212"/>
      <c r="G114" s="212"/>
      <c r="H114" s="212"/>
    </row>
    <row r="115" spans="2:8" s="127" customFormat="1" ht="15" hidden="1" customHeight="1" outlineLevel="1" x14ac:dyDescent="0.25">
      <c r="B115" s="208"/>
      <c r="C115" s="209">
        <v>18.710523000000002</v>
      </c>
      <c r="D115" s="37" t="s">
        <v>22</v>
      </c>
      <c r="E115" s="210"/>
      <c r="F115" s="210"/>
      <c r="G115" s="210"/>
      <c r="H115" s="210"/>
    </row>
    <row r="116" spans="2:8" ht="15" hidden="1" customHeight="1" outlineLevel="1" x14ac:dyDescent="0.25">
      <c r="B116" s="213"/>
      <c r="C116" s="137">
        <f>C115*312*$C$106/$C$104/1000</f>
        <v>6.3291622974414841</v>
      </c>
      <c r="D116" s="43" t="s">
        <v>19</v>
      </c>
      <c r="E116" s="215"/>
      <c r="F116" s="215"/>
      <c r="G116" s="215"/>
      <c r="H116" s="215"/>
    </row>
    <row r="117" spans="2:8" ht="15" hidden="1" customHeight="1" outlineLevel="1" x14ac:dyDescent="0.25">
      <c r="B117" s="44" t="s">
        <v>86</v>
      </c>
      <c r="C117" s="192"/>
    </row>
    <row r="118" spans="2:8" s="127" customFormat="1" ht="15" hidden="1" customHeight="1" outlineLevel="1" x14ac:dyDescent="0.25">
      <c r="B118" s="208"/>
      <c r="C118" s="209">
        <v>8.6563740342128117</v>
      </c>
      <c r="D118" s="37" t="s">
        <v>22</v>
      </c>
      <c r="E118" s="210"/>
      <c r="F118" s="210"/>
      <c r="G118" s="210"/>
      <c r="H118" s="210"/>
    </row>
    <row r="119" spans="2:8" ht="15" hidden="1" customHeight="1" outlineLevel="1" thickBot="1" x14ac:dyDescent="0.3">
      <c r="B119" s="216"/>
      <c r="C119" s="659">
        <f>C118*312*$C$106/$C$104/1000</f>
        <v>2.9281702157599319</v>
      </c>
      <c r="D119" s="45" t="s">
        <v>19</v>
      </c>
      <c r="E119" s="218"/>
      <c r="F119" s="218"/>
      <c r="G119" s="218"/>
      <c r="H119" s="218"/>
    </row>
    <row r="120" spans="2:8" ht="15" hidden="1" customHeight="1" outlineLevel="1" thickTop="1" thickBot="1" x14ac:dyDescent="0.3">
      <c r="B120" s="104" t="s">
        <v>403</v>
      </c>
      <c r="C120" s="130"/>
    </row>
    <row r="121" spans="2:8" ht="15" hidden="1" customHeight="1" outlineLevel="1" thickTop="1" x14ac:dyDescent="0.25">
      <c r="B121" s="810" t="s">
        <v>87</v>
      </c>
      <c r="C121" s="219"/>
      <c r="D121" s="6"/>
      <c r="E121" s="6"/>
      <c r="F121" s="6"/>
      <c r="G121" s="6"/>
      <c r="H121" s="6"/>
    </row>
    <row r="122" spans="2:8" ht="15" hidden="1" customHeight="1" outlineLevel="1" x14ac:dyDescent="0.25">
      <c r="B122" s="793"/>
      <c r="C122" s="220">
        <v>8.6563740342128117</v>
      </c>
      <c r="D122" s="37" t="s">
        <v>22</v>
      </c>
      <c r="E122" s="205"/>
      <c r="F122" s="205"/>
      <c r="G122" s="205"/>
      <c r="H122" s="205"/>
    </row>
    <row r="123" spans="2:8" ht="15" hidden="1" customHeight="1" outlineLevel="1" x14ac:dyDescent="0.25">
      <c r="B123" s="811"/>
      <c r="C123" s="137">
        <f>C122*312*$C$106/$C$104/1000</f>
        <v>2.9281702157599319</v>
      </c>
      <c r="D123" s="41" t="s">
        <v>19</v>
      </c>
    </row>
    <row r="124" spans="2:8" ht="15" hidden="1" customHeight="1" outlineLevel="1" x14ac:dyDescent="0.25">
      <c r="B124" s="792" t="s">
        <v>88</v>
      </c>
      <c r="C124" s="211"/>
      <c r="D124" s="212"/>
      <c r="E124" s="212"/>
      <c r="F124" s="212"/>
      <c r="G124" s="212"/>
      <c r="H124" s="212"/>
    </row>
    <row r="125" spans="2:8" ht="15" hidden="1" customHeight="1" outlineLevel="1" x14ac:dyDescent="0.25">
      <c r="B125" s="793"/>
      <c r="C125" s="220">
        <v>0</v>
      </c>
      <c r="D125" s="37" t="s">
        <v>22</v>
      </c>
      <c r="E125" s="205"/>
      <c r="F125" s="205"/>
      <c r="G125" s="205"/>
      <c r="H125" s="205"/>
    </row>
    <row r="126" spans="2:8" ht="15" hidden="1" customHeight="1" outlineLevel="1" x14ac:dyDescent="0.25">
      <c r="B126" s="811"/>
      <c r="C126" s="137">
        <f>C125*312*$C$106/$C$104/1000</f>
        <v>0</v>
      </c>
      <c r="D126" s="41" t="s">
        <v>19</v>
      </c>
    </row>
    <row r="127" spans="2:8" ht="15" hidden="1" customHeight="1" outlineLevel="1" x14ac:dyDescent="0.25">
      <c r="B127" s="792" t="s">
        <v>11</v>
      </c>
      <c r="C127" s="211"/>
      <c r="D127" s="212"/>
      <c r="E127" s="212"/>
      <c r="F127" s="212"/>
      <c r="G127" s="212"/>
      <c r="H127" s="212"/>
    </row>
    <row r="128" spans="2:8" ht="15" hidden="1" customHeight="1" outlineLevel="1" x14ac:dyDescent="0.25">
      <c r="B128" s="793"/>
      <c r="C128" s="220">
        <v>0</v>
      </c>
      <c r="D128" s="37" t="s">
        <v>22</v>
      </c>
      <c r="E128" s="205"/>
      <c r="F128" s="205"/>
      <c r="G128" s="205"/>
      <c r="H128" s="205"/>
    </row>
    <row r="129" spans="2:8" ht="15" hidden="1" customHeight="1" outlineLevel="1" x14ac:dyDescent="0.25">
      <c r="B129" s="811"/>
      <c r="C129" s="137">
        <f>C128*312*$C$106/$C$104/1000</f>
        <v>0</v>
      </c>
      <c r="D129" s="43" t="s">
        <v>19</v>
      </c>
      <c r="E129" s="215"/>
      <c r="F129" s="215"/>
      <c r="G129" s="215"/>
      <c r="H129" s="215"/>
    </row>
    <row r="130" spans="2:8" ht="15" hidden="1" customHeight="1" outlineLevel="1" x14ac:dyDescent="0.25">
      <c r="B130" s="792" t="s">
        <v>366</v>
      </c>
      <c r="C130" s="730">
        <v>634.06891385819074</v>
      </c>
      <c r="D130" s="127" t="s">
        <v>365</v>
      </c>
    </row>
    <row r="131" spans="2:8" ht="15" hidden="1" customHeight="1" outlineLevel="1" x14ac:dyDescent="0.25">
      <c r="B131" s="793"/>
      <c r="C131" s="731">
        <f>C130*C106</f>
        <v>69886.337038620579</v>
      </c>
      <c r="D131" s="37" t="s">
        <v>23</v>
      </c>
      <c r="E131" s="205"/>
      <c r="F131" s="205"/>
      <c r="G131" s="205"/>
      <c r="H131" s="205"/>
    </row>
    <row r="132" spans="2:8" ht="15" hidden="1" customHeight="1" outlineLevel="1" x14ac:dyDescent="0.25">
      <c r="B132" s="811"/>
      <c r="C132" s="214">
        <f>C130*C105/1000</f>
        <v>21804.537156049621</v>
      </c>
      <c r="D132" s="43" t="s">
        <v>20</v>
      </c>
      <c r="E132" s="215"/>
      <c r="F132" s="215"/>
      <c r="G132" s="215"/>
      <c r="H132" s="215"/>
    </row>
    <row r="133" spans="2:8" ht="15" hidden="1" customHeight="1" outlineLevel="1" x14ac:dyDescent="0.25">
      <c r="B133" s="792" t="s">
        <v>367</v>
      </c>
      <c r="C133" s="192">
        <v>0</v>
      </c>
      <c r="D133" s="127" t="s">
        <v>365</v>
      </c>
    </row>
    <row r="134" spans="2:8" ht="15" hidden="1" customHeight="1" outlineLevel="1" x14ac:dyDescent="0.25">
      <c r="B134" s="793"/>
      <c r="C134" s="660">
        <f>C133*C106*C107</f>
        <v>0</v>
      </c>
      <c r="D134" s="37" t="s">
        <v>23</v>
      </c>
      <c r="E134" s="205"/>
      <c r="F134" s="205"/>
      <c r="G134" s="205"/>
      <c r="H134" s="205"/>
    </row>
    <row r="135" spans="2:8" ht="15" hidden="1" customHeight="1" outlineLevel="1" x14ac:dyDescent="0.25">
      <c r="B135" s="811"/>
      <c r="C135" s="214">
        <f>C133*C105*C107/1000</f>
        <v>0</v>
      </c>
      <c r="D135" s="43" t="s">
        <v>20</v>
      </c>
      <c r="E135" s="215"/>
      <c r="F135" s="215"/>
      <c r="G135" s="215"/>
      <c r="H135" s="215"/>
    </row>
    <row r="136" spans="2:8" ht="15" hidden="1" customHeight="1" outlineLevel="1" x14ac:dyDescent="0.25">
      <c r="B136" s="792" t="s">
        <v>7</v>
      </c>
      <c r="C136" s="192">
        <v>0</v>
      </c>
      <c r="D136" s="37" t="s">
        <v>400</v>
      </c>
    </row>
    <row r="137" spans="2:8" ht="15" hidden="1" customHeight="1" outlineLevel="1" x14ac:dyDescent="0.25">
      <c r="B137" s="793"/>
      <c r="C137" s="660">
        <f>C136*C106*C107</f>
        <v>0</v>
      </c>
      <c r="D137" s="37" t="s">
        <v>401</v>
      </c>
      <c r="E137" s="205"/>
      <c r="F137" s="205"/>
      <c r="G137" s="205"/>
      <c r="H137" s="205"/>
    </row>
    <row r="138" spans="2:8" ht="15" hidden="1" customHeight="1" outlineLevel="1" x14ac:dyDescent="0.25">
      <c r="B138" s="793"/>
      <c r="C138" s="214">
        <f>C136*C105*C107</f>
        <v>0</v>
      </c>
      <c r="D138" s="37" t="s">
        <v>181</v>
      </c>
      <c r="E138" s="205"/>
      <c r="F138" s="205"/>
      <c r="G138" s="205"/>
      <c r="H138" s="205"/>
    </row>
    <row r="139" spans="2:8" ht="15" hidden="1" customHeight="1" outlineLevel="1" thickBot="1" x14ac:dyDescent="0.3">
      <c r="B139" s="46" t="s">
        <v>89</v>
      </c>
      <c r="C139" s="217">
        <f>(C138*90%)/1000</f>
        <v>0</v>
      </c>
      <c r="D139" s="45" t="s">
        <v>90</v>
      </c>
      <c r="E139" s="218"/>
      <c r="F139" s="218"/>
      <c r="G139" s="218"/>
      <c r="H139" s="218"/>
    </row>
    <row r="140" spans="2:8" ht="15" customHeight="1" thickTop="1" x14ac:dyDescent="0.25">
      <c r="B140" s="747" t="s">
        <v>403</v>
      </c>
      <c r="C140" s="748">
        <v>158</v>
      </c>
    </row>
    <row r="141" spans="2:8" x14ac:dyDescent="0.25">
      <c r="B141" s="747" t="s">
        <v>406</v>
      </c>
      <c r="C141" s="749">
        <v>161122.19511908133</v>
      </c>
    </row>
    <row r="142" spans="2:8" x14ac:dyDescent="0.25">
      <c r="B142" s="747" t="s">
        <v>410</v>
      </c>
      <c r="C142" s="749">
        <v>41916.464131641689</v>
      </c>
    </row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8.85546875" style="6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13" t="s">
        <v>13</v>
      </c>
      <c r="C3" s="813"/>
      <c r="D3" s="813"/>
      <c r="E3" s="813"/>
      <c r="F3" s="813"/>
      <c r="G3" s="813"/>
      <c r="H3" s="813"/>
      <c r="L3" s="814" t="s">
        <v>144</v>
      </c>
      <c r="M3" s="815"/>
      <c r="N3" s="263"/>
      <c r="O3" s="816" t="s">
        <v>154</v>
      </c>
      <c r="P3" s="816"/>
      <c r="Q3" s="816"/>
      <c r="R3" s="816"/>
      <c r="S3" s="816"/>
      <c r="T3" s="816"/>
      <c r="U3" s="816"/>
      <c r="V3" s="816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17" t="s">
        <v>91</v>
      </c>
      <c r="C5" s="817"/>
      <c r="D5" s="49"/>
      <c r="E5" s="49"/>
      <c r="F5" s="303"/>
      <c r="G5" s="49"/>
      <c r="H5" s="303"/>
      <c r="L5" s="818" t="s">
        <v>156</v>
      </c>
      <c r="M5" s="819"/>
      <c r="N5"/>
      <c r="O5" s="822" t="s">
        <v>143</v>
      </c>
      <c r="P5" s="823"/>
      <c r="Q5" s="823"/>
      <c r="R5" s="823"/>
      <c r="S5" s="823"/>
      <c r="T5" s="823"/>
      <c r="U5" s="823"/>
      <c r="V5" s="824"/>
    </row>
    <row r="6" spans="2:22" s="53" customFormat="1" ht="15" hidden="1" customHeight="1" outlineLevel="1" thickTop="1" thickBot="1" x14ac:dyDescent="0.3">
      <c r="B6" s="817"/>
      <c r="C6" s="817"/>
      <c r="D6" s="50"/>
      <c r="E6" s="52"/>
      <c r="F6" s="51" t="s">
        <v>10</v>
      </c>
      <c r="G6" s="52"/>
      <c r="H6" s="51" t="s">
        <v>10</v>
      </c>
      <c r="L6" s="820"/>
      <c r="M6" s="821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607.24899876865459</v>
      </c>
      <c r="N7" s="234"/>
      <c r="O7" s="237">
        <f>M7</f>
        <v>607.24899876865459</v>
      </c>
      <c r="P7" s="238"/>
      <c r="Q7" s="239">
        <f>M7</f>
        <v>607.24899876865459</v>
      </c>
      <c r="R7" s="239"/>
      <c r="S7" s="239"/>
      <c r="T7" s="239"/>
      <c r="U7" s="239"/>
      <c r="V7" s="240">
        <f>Q7</f>
        <v>607.24899876865459</v>
      </c>
    </row>
    <row r="8" spans="2:22" s="47" customFormat="1" ht="15" hidden="1" customHeight="1" outlineLevel="1" x14ac:dyDescent="0.25">
      <c r="C8" s="54"/>
      <c r="D8" s="41"/>
      <c r="E8" s="56"/>
      <c r="F8" s="269"/>
      <c r="G8" s="269"/>
      <c r="H8" s="269"/>
      <c r="I8" s="54"/>
      <c r="L8" s="686" t="s">
        <v>353</v>
      </c>
      <c r="M8" s="256">
        <f>'RESUMO GERAL Valoriz. RT´s'!H29+'RESUMO GERAL Valoriz. RT´s'!H30</f>
        <v>432.58</v>
      </c>
      <c r="N8" s="236"/>
      <c r="O8" s="241"/>
      <c r="P8" s="242"/>
      <c r="Q8" s="243">
        <f>Q7+M8</f>
        <v>1039.8289987686546</v>
      </c>
      <c r="R8" s="243">
        <f>M7</f>
        <v>607.24899876865459</v>
      </c>
      <c r="S8" s="243">
        <f>IF(R8&gt;=0,IF(M8&gt;=0,Q7,Q8),IF(M8&gt;=0,S7,Q8))</f>
        <v>607.24899876865459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25" t="s">
        <v>92</v>
      </c>
      <c r="C9" s="47" t="s">
        <v>4</v>
      </c>
      <c r="D9" s="41" t="s">
        <v>20</v>
      </c>
      <c r="E9" s="60"/>
      <c r="F9" s="57">
        <f>'C-Dados RT4 Simplif.'!C108</f>
        <v>1068.6593513476564</v>
      </c>
      <c r="G9" s="57"/>
      <c r="H9" s="57">
        <f>'Demanda Preço &amp; Quantidade'!C42</f>
        <v>500</v>
      </c>
      <c r="L9" s="686" t="s">
        <v>354</v>
      </c>
      <c r="M9" s="256">
        <f>'RESUMO GERAL Valoriz. RT´s'!H31</f>
        <v>0.71</v>
      </c>
      <c r="N9" s="236"/>
      <c r="O9" s="241"/>
      <c r="P9" s="242"/>
      <c r="Q9" s="243">
        <f>Q8+M9</f>
        <v>1040.5389987686547</v>
      </c>
      <c r="R9" s="243">
        <f>M8</f>
        <v>432.58</v>
      </c>
      <c r="S9" s="243">
        <f>IF(R9&gt;=0,IF(M9&gt;=0,Q8,Q9),IF(M9&gt;=0,S8,Q9))</f>
        <v>1039.8289987686546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25"/>
      <c r="C10" s="61" t="s">
        <v>27</v>
      </c>
      <c r="D10" s="41" t="s">
        <v>28</v>
      </c>
      <c r="E10" s="60"/>
      <c r="F10" s="365">
        <v>0</v>
      </c>
      <c r="G10" s="62"/>
      <c r="H10" s="365">
        <v>0</v>
      </c>
      <c r="L10" s="249" t="s">
        <v>352</v>
      </c>
      <c r="M10" s="257">
        <f>SUM(M7:M9)</f>
        <v>1040.5389987686547</v>
      </c>
      <c r="N10" s="234"/>
      <c r="O10" s="237">
        <f>M10</f>
        <v>1040.5389987686547</v>
      </c>
      <c r="P10" s="238"/>
      <c r="Q10" s="239">
        <f>M10</f>
        <v>1040.5389987686547</v>
      </c>
      <c r="R10" s="239"/>
      <c r="S10" s="239"/>
      <c r="T10" s="239"/>
      <c r="U10" s="239"/>
      <c r="V10" s="240">
        <f>Q10</f>
        <v>1040.5389987686547</v>
      </c>
    </row>
    <row r="11" spans="2:22" s="47" customFormat="1" ht="15" hidden="1" customHeight="1" outlineLevel="1" x14ac:dyDescent="0.25">
      <c r="B11" s="44"/>
      <c r="D11" s="41"/>
      <c r="E11" s="60"/>
      <c r="F11" s="64"/>
      <c r="G11" s="60"/>
      <c r="H11" s="60"/>
      <c r="L11" s="235" t="s">
        <v>157</v>
      </c>
      <c r="M11" s="256">
        <f>J33</f>
        <v>-10.116334425957875</v>
      </c>
      <c r="N11" s="236"/>
      <c r="O11" s="241"/>
      <c r="P11" s="242"/>
      <c r="Q11" s="243">
        <f>Q10+M11</f>
        <v>1030.4226643426969</v>
      </c>
      <c r="R11" s="243">
        <f t="shared" ref="R11:R22" si="0">M10</f>
        <v>1040.5389987686547</v>
      </c>
      <c r="S11" s="243">
        <f>IF(R11&gt;=0,IF(M11&gt;=0,Q10,Q11),IF(M11&gt;=0,S10,Q11))</f>
        <v>1030.4226643426969</v>
      </c>
      <c r="T11" s="243">
        <f>IF(M11&gt;=0,M11,0)</f>
        <v>0</v>
      </c>
      <c r="U11" s="243">
        <f t="shared" ref="U11:U22" si="1">IF(M11&lt;0,M11*-1,0)</f>
        <v>10.116334425957875</v>
      </c>
      <c r="V11" s="244">
        <f>SUM(T11:U11)</f>
        <v>10.116334425957875</v>
      </c>
    </row>
    <row r="12" spans="2:22" s="47" customFormat="1" ht="15" hidden="1" customHeight="1" outlineLevel="1" x14ac:dyDescent="0.25">
      <c r="B12" s="825" t="s">
        <v>93</v>
      </c>
      <c r="C12" s="47" t="s">
        <v>4</v>
      </c>
      <c r="D12" s="41" t="s">
        <v>20</v>
      </c>
      <c r="E12" s="60"/>
      <c r="F12" s="57">
        <f>'Demanda Preço &amp; Quantidade'!C81</f>
        <v>14529.9</v>
      </c>
      <c r="G12" s="57"/>
      <c r="H12" s="57">
        <f>'Demanda Preço &amp; Quantidade'!J52</f>
        <v>520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1030.4226643426969</v>
      </c>
      <c r="R12" s="243">
        <f t="shared" si="0"/>
        <v>-10.116334425957875</v>
      </c>
      <c r="S12" s="243">
        <f>IF(R12&gt;=0,IF(M12&gt;=0,Q11,Q12),IF(M12&gt;=0,S11,Q12))</f>
        <v>1030.4226643426969</v>
      </c>
      <c r="T12" s="243">
        <f>IF(M12&gt;=0,M12,0)</f>
        <v>0</v>
      </c>
      <c r="U12" s="243">
        <f t="shared" si="1"/>
        <v>0</v>
      </c>
      <c r="V12" s="244">
        <f>SUM(T12:U12)</f>
        <v>0</v>
      </c>
    </row>
    <row r="13" spans="2:22" s="47" customFormat="1" ht="15" hidden="1" customHeight="1" outlineLevel="1" x14ac:dyDescent="0.25">
      <c r="B13" s="825"/>
      <c r="C13" s="61" t="s">
        <v>27</v>
      </c>
      <c r="D13" s="41" t="s">
        <v>28</v>
      </c>
      <c r="E13" s="60"/>
      <c r="F13" s="365">
        <v>0</v>
      </c>
      <c r="G13" s="62"/>
      <c r="H13" s="365">
        <v>0</v>
      </c>
      <c r="L13" s="250" t="s">
        <v>155</v>
      </c>
      <c r="M13" s="257">
        <f>SUM(M10:M12)</f>
        <v>1030.4226643426969</v>
      </c>
      <c r="N13" s="234"/>
      <c r="O13" s="245">
        <f>M13</f>
        <v>1030.4226643426969</v>
      </c>
      <c r="P13" s="246"/>
      <c r="Q13" s="247">
        <f>Q12+M13-O13</f>
        <v>1030.4226643426969</v>
      </c>
      <c r="R13" s="247">
        <f t="shared" si="0"/>
        <v>0</v>
      </c>
      <c r="S13" s="247">
        <v>0</v>
      </c>
      <c r="T13" s="247">
        <v>0</v>
      </c>
      <c r="U13" s="247">
        <f t="shared" si="1"/>
        <v>0</v>
      </c>
      <c r="V13" s="248">
        <f>Q13</f>
        <v>1030.4226643426969</v>
      </c>
    </row>
    <row r="14" spans="2:22" s="47" customFormat="1" ht="15" hidden="1" customHeight="1" outlineLevel="1" x14ac:dyDescent="0.25">
      <c r="B14" s="44"/>
      <c r="D14" s="41"/>
      <c r="E14" s="66"/>
      <c r="F14" s="65"/>
      <c r="G14" s="66"/>
      <c r="H14" s="66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1030.4226643426969</v>
      </c>
      <c r="R14" s="243">
        <f t="shared" si="0"/>
        <v>1030.4226643426969</v>
      </c>
      <c r="S14" s="243">
        <f>IF(R14&gt;=0,IF(M14&gt;=0,Q13,Q14),IF(M14&gt;=0,S13,Q14))</f>
        <v>1030.4226643426969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25" t="s">
        <v>94</v>
      </c>
      <c r="C15" s="47" t="s">
        <v>4</v>
      </c>
      <c r="D15" s="41" t="s">
        <v>20</v>
      </c>
      <c r="E15" s="66"/>
      <c r="F15" s="57">
        <f>IF((F9+F12)&lt;F21,F21-F12-F9,0)</f>
        <v>6205.9778047019645</v>
      </c>
      <c r="G15" s="57"/>
      <c r="H15" s="57">
        <f>'Demanda Preço &amp; Quantidade'!C17</f>
        <v>549.4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1030.4226643426969</v>
      </c>
      <c r="R15" s="243">
        <f t="shared" si="0"/>
        <v>0</v>
      </c>
      <c r="S15" s="243">
        <f>IF(R15&gt;=0,IF(M15&gt;=0,Q14,Q15),IF(M15&gt;=0,S14,Q15))</f>
        <v>1030.4226643426969</v>
      </c>
      <c r="T15" s="243">
        <f>IF(M15&gt;=0,M15,0)</f>
        <v>0</v>
      </c>
      <c r="U15" s="243">
        <f t="shared" si="1"/>
        <v>0</v>
      </c>
      <c r="V15" s="244">
        <f>SUM(T15:U15)</f>
        <v>0</v>
      </c>
    </row>
    <row r="16" spans="2:22" s="47" customFormat="1" ht="15" hidden="1" customHeight="1" outlineLevel="1" x14ac:dyDescent="0.25">
      <c r="B16" s="825"/>
      <c r="C16" s="61" t="s">
        <v>27</v>
      </c>
      <c r="D16" s="41" t="s">
        <v>28</v>
      </c>
      <c r="E16" s="66"/>
      <c r="F16" s="365">
        <v>0</v>
      </c>
      <c r="G16" s="62"/>
      <c r="H16" s="365">
        <v>0</v>
      </c>
      <c r="L16" s="250" t="s">
        <v>152</v>
      </c>
      <c r="M16" s="258">
        <f>M13</f>
        <v>1030.4226643426969</v>
      </c>
      <c r="N16" s="234"/>
      <c r="O16" s="245">
        <f>M16</f>
        <v>1030.4226643426969</v>
      </c>
      <c r="P16" s="246"/>
      <c r="Q16" s="247">
        <f>Q15+M16-O16</f>
        <v>1030.4226643426969</v>
      </c>
      <c r="R16" s="247">
        <f t="shared" si="0"/>
        <v>0</v>
      </c>
      <c r="S16" s="247">
        <v>0</v>
      </c>
      <c r="T16" s="247">
        <v>0</v>
      </c>
      <c r="U16" s="247">
        <f t="shared" si="1"/>
        <v>0</v>
      </c>
      <c r="V16" s="248">
        <f>Q16</f>
        <v>1030.4226643426969</v>
      </c>
    </row>
    <row r="17" spans="2:22" s="47" customFormat="1" ht="15" hidden="1" customHeight="1" outlineLevel="1" x14ac:dyDescent="0.25">
      <c r="B17" s="825"/>
      <c r="C17" s="47" t="s">
        <v>12</v>
      </c>
      <c r="D17" s="41" t="s">
        <v>19</v>
      </c>
      <c r="E17" s="66"/>
      <c r="F17" s="365">
        <v>0</v>
      </c>
      <c r="G17" s="66"/>
      <c r="H17" s="365">
        <v>0</v>
      </c>
      <c r="L17" s="235" t="s">
        <v>161</v>
      </c>
      <c r="M17" s="256">
        <f>J39*C53</f>
        <v>-204.48799999236178</v>
      </c>
      <c r="N17" s="236"/>
      <c r="O17" s="241"/>
      <c r="P17" s="242"/>
      <c r="Q17" s="243">
        <f>Q16+M17</f>
        <v>825.93466435033508</v>
      </c>
      <c r="R17" s="243">
        <f t="shared" si="0"/>
        <v>1030.4226643426969</v>
      </c>
      <c r="S17" s="243">
        <f>IF(R17&gt;=0,IF(M17&gt;=0,Q16,Q17),IF(M17&gt;=0,S16,Q17))</f>
        <v>825.93466435033508</v>
      </c>
      <c r="T17" s="243">
        <f>IF(M17&gt;=0,M17,0)</f>
        <v>0</v>
      </c>
      <c r="U17" s="243">
        <f t="shared" si="1"/>
        <v>204.48799999236178</v>
      </c>
      <c r="V17" s="244">
        <f>SUM(T17:U17)</f>
        <v>204.48799999236178</v>
      </c>
    </row>
    <row r="18" spans="2:22" s="47" customFormat="1" ht="15" hidden="1" customHeight="1" outlineLevel="1" x14ac:dyDescent="0.25">
      <c r="B18" s="825"/>
      <c r="C18" s="47" t="s">
        <v>11</v>
      </c>
      <c r="D18" s="41" t="s">
        <v>19</v>
      </c>
      <c r="E18" s="66"/>
      <c r="F18" s="365">
        <v>0</v>
      </c>
      <c r="G18" s="66"/>
      <c r="H18" s="365">
        <v>0</v>
      </c>
      <c r="L18" s="235" t="s">
        <v>162</v>
      </c>
      <c r="M18" s="256">
        <f>J40*C53</f>
        <v>0</v>
      </c>
      <c r="N18" s="236"/>
      <c r="O18" s="241"/>
      <c r="P18" s="242"/>
      <c r="Q18" s="243">
        <f>Q17+M18</f>
        <v>825.93466435033508</v>
      </c>
      <c r="R18" s="243">
        <f t="shared" si="0"/>
        <v>-204.48799999236178</v>
      </c>
      <c r="S18" s="243">
        <f>IF(R18&gt;=0,IF(M18&gt;=0,Q17,Q18),IF(M18&gt;=0,S17,Q18))</f>
        <v>825.93466435033508</v>
      </c>
      <c r="T18" s="243">
        <f>IF(M18&gt;=0,M18,0)</f>
        <v>0</v>
      </c>
      <c r="U18" s="243">
        <f t="shared" si="1"/>
        <v>0</v>
      </c>
      <c r="V18" s="244">
        <f>SUM(T18:U18)</f>
        <v>0</v>
      </c>
    </row>
    <row r="19" spans="2:22" s="47" customFormat="1" ht="15" hidden="1" customHeight="1" outlineLevel="1" x14ac:dyDescent="0.25">
      <c r="B19" s="298"/>
      <c r="C19" s="318" t="s">
        <v>87</v>
      </c>
      <c r="D19" s="41" t="s">
        <v>19</v>
      </c>
      <c r="E19" s="66"/>
      <c r="F19" s="62">
        <f>F25</f>
        <v>2.9281702157599323</v>
      </c>
      <c r="G19" s="66"/>
      <c r="H19" s="57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1591.7462460535971</v>
      </c>
      <c r="L19" s="235" t="s">
        <v>163</v>
      </c>
      <c r="M19" s="256">
        <f>J41*C53</f>
        <v>0</v>
      </c>
      <c r="N19" s="236"/>
      <c r="O19" s="241"/>
      <c r="P19" s="242"/>
      <c r="Q19" s="243">
        <f>Q18+M19</f>
        <v>825.93466435033508</v>
      </c>
      <c r="R19" s="243">
        <f t="shared" si="0"/>
        <v>0</v>
      </c>
      <c r="S19" s="243">
        <f>IF(R19&gt;=0,IF(M19&gt;=0,Q18,Q19),IF(M19&gt;=0,S18,Q19))</f>
        <v>825.93466435033508</v>
      </c>
      <c r="T19" s="243">
        <f>IF(M19&gt;=0,M19,0)</f>
        <v>0</v>
      </c>
      <c r="U19" s="243">
        <f t="shared" si="1"/>
        <v>0</v>
      </c>
      <c r="V19" s="244">
        <f>SUM(T19:U19)</f>
        <v>0</v>
      </c>
    </row>
    <row r="20" spans="2:22" s="47" customFormat="1" ht="15" hidden="1" customHeight="1" outlineLevel="1" x14ac:dyDescent="0.25">
      <c r="D20" s="41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825.93466435033508</v>
      </c>
      <c r="R20" s="243">
        <f t="shared" si="0"/>
        <v>0</v>
      </c>
      <c r="S20" s="243">
        <f>IF(R20&gt;=0,IF(M20&gt;=0,Q19,Q20),IF(M20&gt;=0,S19,Q20))</f>
        <v>825.93466435033508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25" t="s">
        <v>95</v>
      </c>
      <c r="C21" s="54" t="s">
        <v>24</v>
      </c>
      <c r="D21" s="41" t="s">
        <v>20</v>
      </c>
      <c r="F21" s="57">
        <f>'C-Dados RT4 Simplif.'!C105*'C-Dados RT4 Simplif.'!C130/1000</f>
        <v>21804.537156049621</v>
      </c>
      <c r="H21" s="69"/>
      <c r="L21" s="235" t="s">
        <v>165</v>
      </c>
      <c r="M21" s="256">
        <f>J43*C53</f>
        <v>-122.69285733386893</v>
      </c>
      <c r="N21" s="236"/>
      <c r="O21" s="241"/>
      <c r="P21" s="242"/>
      <c r="Q21" s="243">
        <f>Q20+M21</f>
        <v>703.24180701646617</v>
      </c>
      <c r="R21" s="243">
        <f t="shared" si="0"/>
        <v>0</v>
      </c>
      <c r="S21" s="243">
        <f>IF(R21&gt;=0,IF(M21&gt;=0,Q20,Q21),IF(M21&gt;=0,S20,Q21))</f>
        <v>703.24180701646617</v>
      </c>
      <c r="T21" s="243">
        <f>IF(M21&gt;=0,M21,0)</f>
        <v>0</v>
      </c>
      <c r="U21" s="243">
        <f t="shared" si="1"/>
        <v>122.69285733386893</v>
      </c>
      <c r="V21" s="244">
        <f>SUM(T21:U21)</f>
        <v>122.69285733386893</v>
      </c>
    </row>
    <row r="22" spans="2:22" ht="15" hidden="1" customHeight="1" outlineLevel="1" thickBot="1" x14ac:dyDescent="0.3">
      <c r="B22" s="825"/>
      <c r="C22" s="54" t="s">
        <v>25</v>
      </c>
      <c r="D22" s="41" t="s">
        <v>28</v>
      </c>
      <c r="F22" s="365">
        <v>0</v>
      </c>
      <c r="H22" s="69"/>
      <c r="L22" s="250" t="s">
        <v>153</v>
      </c>
      <c r="M22" s="259">
        <f>M16+M17+M18+M19+M20+M21</f>
        <v>703.24180701646617</v>
      </c>
      <c r="N22" s="234"/>
      <c r="O22" s="251">
        <f>M22</f>
        <v>703.24180701646617</v>
      </c>
      <c r="P22" s="252"/>
      <c r="Q22" s="253">
        <f>Q21+M22-O22</f>
        <v>703.24180701646617</v>
      </c>
      <c r="R22" s="253">
        <f t="shared" si="0"/>
        <v>-122.69285733386893</v>
      </c>
      <c r="S22" s="253">
        <v>0</v>
      </c>
      <c r="T22" s="253">
        <v>0</v>
      </c>
      <c r="U22" s="253">
        <f t="shared" si="1"/>
        <v>0</v>
      </c>
      <c r="V22" s="254">
        <f>Q22</f>
        <v>703.24180701646617</v>
      </c>
    </row>
    <row r="23" spans="2:22" ht="15" hidden="1" customHeight="1" outlineLevel="1" thickTop="1" x14ac:dyDescent="0.25">
      <c r="B23" s="825"/>
      <c r="C23" s="54" t="s">
        <v>26</v>
      </c>
      <c r="D23" s="41" t="s">
        <v>19</v>
      </c>
      <c r="F23" s="365">
        <v>0</v>
      </c>
      <c r="H23" s="70"/>
    </row>
    <row r="24" spans="2:22" ht="15" hidden="1" customHeight="1" outlineLevel="1" x14ac:dyDescent="0.25">
      <c r="B24" s="825"/>
      <c r="C24" s="54" t="s">
        <v>96</v>
      </c>
      <c r="D24" s="41" t="s">
        <v>19</v>
      </c>
      <c r="F24" s="365">
        <v>0</v>
      </c>
      <c r="H24" s="69"/>
    </row>
    <row r="25" spans="2:22" ht="15.75" hidden="1" outlineLevel="1" x14ac:dyDescent="0.25">
      <c r="B25" s="298"/>
      <c r="C25" s="54" t="s">
        <v>87</v>
      </c>
      <c r="D25" s="41" t="s">
        <v>19</v>
      </c>
      <c r="F25" s="62">
        <f>('C-Dados RT4 Simplif.'!C62+'C-Dados RT4 Simplif.'!C63+'C-Dados RT4 Simplif.'!C64+'C-Dados RT4 Simplif.'!C65+'C-Dados RT4 Simplif.'!C66+'C-Dados RT4 Simplif.'!C67)/1000</f>
        <v>2.9281702157599323</v>
      </c>
    </row>
    <row r="26" spans="2:22" hidden="1" outlineLevel="1" x14ac:dyDescent="0.25"/>
    <row r="27" spans="2:22" ht="15.75" thickTop="1" x14ac:dyDescent="0.25">
      <c r="F27" s="72"/>
    </row>
    <row r="28" spans="2:22" s="47" customFormat="1" ht="40.15" customHeight="1" collapsed="1" x14ac:dyDescent="0.25">
      <c r="B28" s="826" t="s">
        <v>97</v>
      </c>
      <c r="C28" s="826"/>
      <c r="D28" s="826"/>
      <c r="E28" s="826"/>
      <c r="F28" s="826"/>
      <c r="G28" s="826"/>
      <c r="H28" s="826"/>
      <c r="I28" s="826"/>
      <c r="J28" s="826"/>
      <c r="K28" s="61"/>
    </row>
    <row r="29" spans="2:22" s="47" customFormat="1" ht="4.9000000000000004" hidden="1" customHeight="1" outlineLevel="1" x14ac:dyDescent="0.25">
      <c r="D29" s="41"/>
    </row>
    <row r="30" spans="2:22" s="74" customFormat="1" ht="18.75" hidden="1" outlineLevel="1" x14ac:dyDescent="0.3">
      <c r="B30" s="812" t="s">
        <v>17</v>
      </c>
      <c r="C30" s="812"/>
      <c r="D30" s="73"/>
      <c r="F30" s="302"/>
      <c r="H30" s="302"/>
      <c r="J30" s="302"/>
    </row>
    <row r="31" spans="2:22" s="73" customFormat="1" ht="15.75" hidden="1" outlineLevel="1" x14ac:dyDescent="0.25">
      <c r="B31" s="812"/>
      <c r="C31" s="812"/>
      <c r="F31" s="75" t="s">
        <v>10</v>
      </c>
      <c r="H31" s="75" t="s">
        <v>10</v>
      </c>
      <c r="J31" s="75" t="s">
        <v>10</v>
      </c>
    </row>
    <row r="32" spans="2:22" ht="4.9000000000000004" hidden="1" customHeight="1" outlineLevel="1" x14ac:dyDescent="0.25"/>
    <row r="33" spans="2:11" hidden="1" outlineLevel="1" x14ac:dyDescent="0.25">
      <c r="B33" s="828" t="s">
        <v>14</v>
      </c>
      <c r="C33" s="61" t="s">
        <v>4</v>
      </c>
      <c r="D33" s="76" t="s">
        <v>20</v>
      </c>
      <c r="E33" s="66"/>
      <c r="F33" s="77">
        <f>'C-Dados RT4 Simplif.'!C108</f>
        <v>1068.6593513476564</v>
      </c>
      <c r="G33" s="66"/>
      <c r="H33" s="67">
        <f>H9</f>
        <v>500</v>
      </c>
      <c r="I33" s="78"/>
      <c r="J33" s="79">
        <f>-'RT4)Custos Valoriz E.Elétrica'!C20</f>
        <v>-10.116334425957875</v>
      </c>
      <c r="K33" s="78"/>
    </row>
    <row r="34" spans="2:11" hidden="1" outlineLevel="1" x14ac:dyDescent="0.25">
      <c r="B34" s="828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0</v>
      </c>
      <c r="I34" s="78"/>
      <c r="J34" s="79">
        <f>-($F$34)*$H$34*(1+'C-Dados RT4 Simplif.'!$C$93)/'C-Dados RT4 Simplif.'!$C$105</f>
        <v>0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28" t="s">
        <v>15</v>
      </c>
      <c r="C36" s="61" t="s">
        <v>4</v>
      </c>
      <c r="D36" s="76" t="s">
        <v>20</v>
      </c>
      <c r="E36" s="66"/>
      <c r="F36" s="68">
        <f t="shared" ref="F36:F43" si="2">F12</f>
        <v>14529.9</v>
      </c>
      <c r="G36" s="66"/>
      <c r="H36" s="67">
        <f>H12</f>
        <v>520</v>
      </c>
      <c r="I36" s="78"/>
      <c r="J36" s="79">
        <f>-'RT4)Custos Valoriz E.Elétrica'!C26</f>
        <v>0</v>
      </c>
      <c r="K36" s="78"/>
    </row>
    <row r="37" spans="2:11" hidden="1" outlineLevel="1" x14ac:dyDescent="0.25">
      <c r="B37" s="828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0</v>
      </c>
      <c r="I37" s="78"/>
      <c r="J37" s="79">
        <f>-F37*$H$37*(1+'C-Dados RT4 Simplif.'!$C$93)/'C-Dados RT4 Simplif.'!$C$105</f>
        <v>0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28" t="s">
        <v>16</v>
      </c>
      <c r="C39" s="61" t="s">
        <v>4</v>
      </c>
      <c r="D39" s="76" t="s">
        <v>20</v>
      </c>
      <c r="E39" s="66"/>
      <c r="F39" s="77">
        <f>F15</f>
        <v>6205.9778047019645</v>
      </c>
      <c r="G39" s="66"/>
      <c r="H39" s="67">
        <f>H15</f>
        <v>549.4</v>
      </c>
      <c r="I39" s="78"/>
      <c r="J39" s="79">
        <f>-'RT4)Custos Valoriz E.Elétrica'!C31</f>
        <v>-204.48799999236178</v>
      </c>
      <c r="K39" s="78"/>
    </row>
    <row r="40" spans="2:11" hidden="1" outlineLevel="1" x14ac:dyDescent="0.25">
      <c r="B40" s="828"/>
      <c r="C40" s="61" t="s">
        <v>27</v>
      </c>
      <c r="D40" s="80" t="s">
        <v>28</v>
      </c>
      <c r="E40" s="66"/>
      <c r="F40" s="231">
        <f>F16</f>
        <v>0</v>
      </c>
      <c r="G40" s="66"/>
      <c r="H40" s="82">
        <f>H16</f>
        <v>0</v>
      </c>
      <c r="I40" s="78"/>
      <c r="J40" s="79">
        <f>-($F$40)*$H$40*1000*(1+'C-Dados RT4 Simplif.'!$C$93)/'C-Dados RT4 Simplif.'!$C$105</f>
        <v>0</v>
      </c>
      <c r="K40" s="78"/>
    </row>
    <row r="41" spans="2:11" hidden="1" outlineLevel="1" x14ac:dyDescent="0.25">
      <c r="B41" s="828"/>
      <c r="C41" s="61" t="s">
        <v>12</v>
      </c>
      <c r="D41" s="88" t="s">
        <v>19</v>
      </c>
      <c r="E41" s="66"/>
      <c r="F41" s="81">
        <f t="shared" si="2"/>
        <v>0</v>
      </c>
      <c r="G41" s="66"/>
      <c r="H41" s="67">
        <f>H17</f>
        <v>0</v>
      </c>
      <c r="I41" s="78"/>
      <c r="J41" s="79">
        <f>-F41*$H$41*1000*(1+'C-Dados RT4 Simplif.'!$C$93)/'C-Dados RT4 Simplif.'!$C$105</f>
        <v>0</v>
      </c>
      <c r="K41" s="78"/>
    </row>
    <row r="42" spans="2:11" hidden="1" outlineLevel="1" x14ac:dyDescent="0.25">
      <c r="B42" s="828"/>
      <c r="C42" s="61" t="s">
        <v>11</v>
      </c>
      <c r="D42" s="80" t="s">
        <v>19</v>
      </c>
      <c r="E42" s="66"/>
      <c r="F42" s="81">
        <f t="shared" si="2"/>
        <v>0</v>
      </c>
      <c r="G42" s="66"/>
      <c r="H42" s="67">
        <f>H18</f>
        <v>0</v>
      </c>
      <c r="I42" s="78"/>
      <c r="J42" s="79">
        <f>-F42*$H$42*1000*(1+'C-Dados RT4 Simplif.'!$C$93)/'C-Dados RT4 Simplif.'!$C$105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2.9281702157599323</v>
      </c>
      <c r="G43" s="66"/>
      <c r="H43" s="67">
        <f>H19</f>
        <v>1591.7462460535971</v>
      </c>
      <c r="I43" s="78"/>
      <c r="J43" s="79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-122.69285733386893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6" customHeight="1" x14ac:dyDescent="0.25">
      <c r="B46" s="554" t="s">
        <v>98</v>
      </c>
      <c r="C46" s="555"/>
      <c r="D46" s="555"/>
      <c r="E46" s="555"/>
      <c r="F46" s="555"/>
      <c r="G46" s="555"/>
      <c r="H46" s="555"/>
      <c r="I46" s="89"/>
      <c r="J46" s="301"/>
      <c r="K46" s="89"/>
    </row>
    <row r="47" spans="2:11" s="73" customFormat="1" ht="15.6" customHeight="1" x14ac:dyDescent="0.25">
      <c r="B47" s="556"/>
      <c r="C47" s="557"/>
      <c r="D47" s="557"/>
      <c r="E47" s="557"/>
      <c r="F47" s="557"/>
      <c r="G47" s="557"/>
      <c r="H47" s="557"/>
      <c r="I47" s="49"/>
      <c r="J47" s="51" t="s">
        <v>10</v>
      </c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11" ht="25.15" customHeight="1" x14ac:dyDescent="0.25">
      <c r="B49" s="356" t="s">
        <v>99</v>
      </c>
      <c r="C49" s="357"/>
      <c r="E49" s="90"/>
      <c r="F49" s="48"/>
      <c r="H49" s="357"/>
      <c r="I49" s="89"/>
      <c r="J49" s="91">
        <f>SUM(J33:J34)+SUM(J39:J43)*C53</f>
        <v>-337.29719175218855</v>
      </c>
      <c r="K49" s="49"/>
    </row>
    <row r="50" spans="2:11" ht="4.9000000000000004" customHeight="1" x14ac:dyDescent="0.25">
      <c r="B50" s="48"/>
      <c r="C50" s="48"/>
      <c r="E50" s="48"/>
      <c r="F50" s="48"/>
      <c r="H50" s="48"/>
      <c r="I50" s="89"/>
      <c r="J50" s="91"/>
      <c r="K50" s="49"/>
    </row>
    <row r="51" spans="2:11" ht="25.15" customHeight="1" x14ac:dyDescent="0.25">
      <c r="B51" s="358" t="s">
        <v>100</v>
      </c>
      <c r="C51" s="359"/>
      <c r="E51" s="90"/>
      <c r="F51" s="48"/>
      <c r="H51" s="359"/>
      <c r="I51" s="92"/>
      <c r="J51" s="300">
        <f>'C-Dados RT4 Simplif.'!C6</f>
        <v>607.24899876865459</v>
      </c>
      <c r="K51" s="355"/>
    </row>
    <row r="52" spans="2:11" ht="4.9000000000000004" customHeight="1" x14ac:dyDescent="0.25">
      <c r="B52" s="48"/>
      <c r="C52" s="48"/>
      <c r="E52" s="48"/>
      <c r="F52" s="48"/>
      <c r="H52" s="48"/>
      <c r="I52" s="89"/>
      <c r="J52" s="94"/>
      <c r="K52" s="95"/>
    </row>
    <row r="53" spans="2:11" ht="25.15" customHeight="1" x14ac:dyDescent="0.25">
      <c r="B53" s="360" t="s">
        <v>101</v>
      </c>
      <c r="C53" s="580">
        <f>'Demanda Preço &amp; Quantidade'!D10</f>
        <v>1</v>
      </c>
      <c r="E53" s="90"/>
      <c r="F53" s="48"/>
      <c r="H53" s="362"/>
      <c r="I53" s="89"/>
      <c r="J53" s="827"/>
      <c r="K53" s="827"/>
    </row>
    <row r="54" spans="2:11" ht="4.9000000000000004" customHeight="1" x14ac:dyDescent="0.25">
      <c r="B54" s="48"/>
      <c r="C54" s="48"/>
      <c r="E54" s="48"/>
      <c r="F54" s="48"/>
      <c r="H54" s="93"/>
      <c r="I54" s="96"/>
      <c r="J54" s="97"/>
      <c r="K54" s="98"/>
    </row>
    <row r="55" spans="2:11" ht="25.15" customHeight="1" x14ac:dyDescent="0.25">
      <c r="B55" s="363" t="s">
        <v>102</v>
      </c>
      <c r="C55" s="364"/>
      <c r="E55" s="90"/>
      <c r="F55" s="48"/>
      <c r="H55" s="364"/>
      <c r="I55" s="49"/>
      <c r="J55" s="99">
        <f>$J$51+J49+M8+M9</f>
        <v>703.24180701646605</v>
      </c>
      <c r="K55" s="100"/>
    </row>
    <row r="56" spans="2:11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11" ht="18.75" x14ac:dyDescent="0.3">
      <c r="E57" s="103"/>
      <c r="G57" s="103"/>
      <c r="H57" s="103"/>
      <c r="I57" s="103"/>
      <c r="J57" s="103"/>
      <c r="K57" s="103"/>
    </row>
    <row r="58" spans="2:11" customFormat="1" x14ac:dyDescent="0.25">
      <c r="B58" s="61"/>
      <c r="C58" s="61"/>
      <c r="D58" s="71"/>
      <c r="E58" s="61"/>
      <c r="F58" s="61"/>
      <c r="G58" s="61"/>
      <c r="H58" s="61"/>
      <c r="I58" s="61"/>
    </row>
    <row r="59" spans="2:11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</row>
    <row r="60" spans="2:11" s="233" customFormat="1" ht="15.75" x14ac:dyDescent="0.25"/>
    <row r="61" spans="2:11" customFormat="1" x14ac:dyDescent="0.25">
      <c r="B61" s="61"/>
      <c r="C61" s="61"/>
      <c r="D61" s="71"/>
      <c r="E61" s="61"/>
      <c r="F61" s="61"/>
      <c r="G61" s="61"/>
      <c r="H61" s="61"/>
      <c r="I61" s="61"/>
    </row>
    <row r="62" spans="2:11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11" s="233" customFormat="1" ht="15.75" x14ac:dyDescent="0.25"/>
    <row r="64" spans="2:11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B28:J28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7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9" customWidth="1"/>
    <col min="4" max="4" width="16.7109375" style="221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24" customFormat="1" ht="19.899999999999999" customHeight="1" collapsed="1" thickTop="1" thickBot="1" x14ac:dyDescent="0.3">
      <c r="B2" s="437" t="s">
        <v>368</v>
      </c>
      <c r="C2" s="435"/>
      <c r="D2" s="436"/>
    </row>
    <row r="3" spans="2:17" ht="4.9000000000000004" hidden="1" customHeight="1" outlineLevel="1" thickTop="1" thickBot="1" x14ac:dyDescent="0.3"/>
    <row r="4" spans="2:17" ht="15" hidden="1" customHeight="1" outlineLevel="1" thickTop="1" x14ac:dyDescent="0.25">
      <c r="B4" s="836" t="s">
        <v>105</v>
      </c>
      <c r="C4" s="446">
        <f>'C-Dados RT4 Simplif.'!C106</f>
        <v>110.21883506853425</v>
      </c>
      <c r="D4" s="440" t="s">
        <v>29</v>
      </c>
    </row>
    <row r="5" spans="2:17" ht="15" hidden="1" customHeight="1" outlineLevel="1" x14ac:dyDescent="0.25">
      <c r="B5" s="837"/>
      <c r="C5" s="447">
        <f>'C-Dados RT4 Simplif.'!C105</f>
        <v>34388.276541382686</v>
      </c>
      <c r="D5" s="441" t="s">
        <v>5</v>
      </c>
    </row>
    <row r="6" spans="2:17" ht="15" hidden="1" customHeight="1" outlineLevel="1" x14ac:dyDescent="0.25">
      <c r="B6" s="431" t="s">
        <v>137</v>
      </c>
      <c r="C6" s="448">
        <f>'C-Dados RT4 Simplif.'!C107</f>
        <v>0.48399999999999999</v>
      </c>
      <c r="D6" s="429" t="s">
        <v>1</v>
      </c>
    </row>
    <row r="7" spans="2:17" ht="15" hidden="1" customHeight="1" outlineLevel="1" thickBot="1" x14ac:dyDescent="0.3">
      <c r="B7" s="432" t="s">
        <v>18</v>
      </c>
      <c r="C7" s="449">
        <f>'C-Dados RT4 Simplif.'!C7</f>
        <v>35</v>
      </c>
      <c r="D7" s="442" t="s">
        <v>106</v>
      </c>
    </row>
    <row r="8" spans="2:17" ht="4.9000000000000004" hidden="1" customHeight="1" outlineLevel="1" thickTop="1" thickBot="1" x14ac:dyDescent="0.3"/>
    <row r="9" spans="2:17" ht="15" hidden="1" customHeight="1" outlineLevel="1" thickTop="1" x14ac:dyDescent="0.25">
      <c r="B9" s="438" t="s">
        <v>107</v>
      </c>
      <c r="C9" s="689">
        <v>0.2</v>
      </c>
      <c r="D9" s="443"/>
    </row>
    <row r="10" spans="2:17" ht="15" hidden="1" customHeight="1" outlineLevel="1" x14ac:dyDescent="0.25">
      <c r="B10" s="433" t="s">
        <v>108</v>
      </c>
      <c r="C10" s="688">
        <f>'C-Dados RT4 Simplif.'!C18*1000000/(C5)*C9</f>
        <v>538.90812463778116</v>
      </c>
      <c r="D10" s="444" t="s">
        <v>363</v>
      </c>
    </row>
    <row r="11" spans="2:17" ht="15" hidden="1" customHeight="1" outlineLevel="1" x14ac:dyDescent="0.25">
      <c r="B11" s="434" t="s">
        <v>110</v>
      </c>
      <c r="C11" s="690">
        <v>0.2</v>
      </c>
      <c r="D11" s="444"/>
    </row>
    <row r="12" spans="2:17" ht="15" hidden="1" customHeight="1" outlineLevel="1" x14ac:dyDescent="0.25">
      <c r="B12" s="433" t="s">
        <v>108</v>
      </c>
      <c r="C12" s="688">
        <f>'C-Dados RT4 Simplif.'!C21*1000000/(C7*C5)*C11</f>
        <v>95.227069622935403</v>
      </c>
      <c r="D12" s="444" t="s">
        <v>364</v>
      </c>
    </row>
    <row r="13" spans="2:17" ht="15" hidden="1" customHeight="1" outlineLevel="1" x14ac:dyDescent="0.25">
      <c r="B13" s="434" t="s">
        <v>111</v>
      </c>
      <c r="C13" s="451"/>
      <c r="D13" s="444"/>
    </row>
    <row r="14" spans="2:17" ht="15" hidden="1" customHeight="1" outlineLevel="1" thickBot="1" x14ac:dyDescent="0.3">
      <c r="B14" s="432" t="s">
        <v>112</v>
      </c>
      <c r="C14" s="668">
        <f>'C-Dados RT4 Simplif.'!C130</f>
        <v>634.06891385819074</v>
      </c>
      <c r="D14" s="442" t="s">
        <v>140</v>
      </c>
    </row>
    <row r="15" spans="2:17" s="2" customFormat="1" ht="15" customHeight="1" thickTop="1" x14ac:dyDescent="0.25">
      <c r="B15" s="526" t="s">
        <v>119</v>
      </c>
      <c r="C15" s="527">
        <f>(C10*C5+C12*C5*C7)*1000/(C14*C5*C7)</f>
        <v>174.46754161067011</v>
      </c>
      <c r="D15" s="528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439" t="s">
        <v>304</v>
      </c>
      <c r="C17" s="452">
        <f>'Demanda Preço &amp; Quantidade'!C42</f>
        <v>500</v>
      </c>
      <c r="D17" s="445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833" t="s">
        <v>342</v>
      </c>
      <c r="C18" s="487">
        <f>'4)Incineração - E Elétrica'!F9*(C17-C15)/1000000</f>
        <v>0.34788330582494931</v>
      </c>
      <c r="D18" s="387" t="s">
        <v>274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834"/>
      <c r="C19" s="487">
        <f>C18*C7</f>
        <v>12.175915703873226</v>
      </c>
      <c r="D19" s="387" t="s">
        <v>338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835"/>
      <c r="C20" s="524">
        <f>C18*1000000/C5</f>
        <v>10.116334425957875</v>
      </c>
      <c r="D20" s="519" t="s">
        <v>8</v>
      </c>
    </row>
    <row r="21" spans="2:17" ht="4.9000000000000004" customHeight="1" thickTop="1" x14ac:dyDescent="0.25"/>
    <row r="22" spans="2:17" s="2" customFormat="1" ht="15" customHeight="1" thickBot="1" x14ac:dyDescent="0.3">
      <c r="B22" s="439" t="str">
        <f>'Demanda Preço &amp; Quantidade'!B52</f>
        <v>Custo Público Referencial Energia Elétrica</v>
      </c>
      <c r="C22" s="452">
        <f>'Demanda Preço &amp; Quantidade'!C52</f>
        <v>520</v>
      </c>
      <c r="D22" s="445" t="s">
        <v>0</v>
      </c>
    </row>
    <row r="23" spans="2:17" s="2" customFormat="1" ht="15" customHeight="1" thickTop="1" thickBot="1" x14ac:dyDescent="0.3">
      <c r="B23" s="439" t="str">
        <f>'Demanda Preço &amp; Quantidade'!I52</f>
        <v>Preço Proposto p/ Energia Elétrica</v>
      </c>
      <c r="C23" s="452">
        <f>'Demanda Preço &amp; Quantidade'!J52</f>
        <v>520</v>
      </c>
      <c r="D23" s="445" t="s">
        <v>0</v>
      </c>
    </row>
    <row r="24" spans="2:17" s="2" customFormat="1" ht="15.75" thickTop="1" x14ac:dyDescent="0.25">
      <c r="B24" s="833" t="s">
        <v>303</v>
      </c>
      <c r="C24" s="737">
        <f>'4)Incineração - E Elétrica'!F12*((C22-C23))/1000000</f>
        <v>0</v>
      </c>
      <c r="D24" s="387" t="s">
        <v>274</v>
      </c>
    </row>
    <row r="25" spans="2:17" s="2" customFormat="1" x14ac:dyDescent="0.25">
      <c r="B25" s="834"/>
      <c r="C25" s="487">
        <f>C24*C7</f>
        <v>0</v>
      </c>
      <c r="D25" s="387" t="s">
        <v>338</v>
      </c>
    </row>
    <row r="26" spans="2:17" s="2" customFormat="1" ht="15.75" thickBot="1" x14ac:dyDescent="0.3">
      <c r="B26" s="835"/>
      <c r="C26" s="524">
        <f>C24*1000000/C5</f>
        <v>0</v>
      </c>
      <c r="D26" s="519" t="s">
        <v>8</v>
      </c>
    </row>
    <row r="27" spans="2:17" ht="4.9000000000000004" customHeight="1" thickTop="1" x14ac:dyDescent="0.25"/>
    <row r="28" spans="2:17" s="2" customFormat="1" ht="15" customHeight="1" thickBot="1" x14ac:dyDescent="0.3">
      <c r="B28" s="439" t="s">
        <v>340</v>
      </c>
      <c r="C28" s="452">
        <f>'4)Incineração - E Elétrica'!H15</f>
        <v>549.4</v>
      </c>
      <c r="D28" s="445" t="s">
        <v>0</v>
      </c>
    </row>
    <row r="29" spans="2:17" s="2" customFormat="1" ht="15.75" thickTop="1" x14ac:dyDescent="0.25">
      <c r="B29" s="833" t="s">
        <v>339</v>
      </c>
      <c r="C29" s="487">
        <f>'4)Incineração - E Elétrica'!F15*(C28*(1-'C-Dados RT4 Simplif.'!$C$93)-C15)/1000000+'4)Incineração - E Elétrica'!F12*(C23-C15)/1000000</f>
        <v>7.0319898931315974</v>
      </c>
      <c r="D29" s="387" t="s">
        <v>274</v>
      </c>
    </row>
    <row r="30" spans="2:17" s="2" customFormat="1" x14ac:dyDescent="0.25">
      <c r="B30" s="834"/>
      <c r="C30" s="487">
        <f>C29*C7</f>
        <v>246.1196462596059</v>
      </c>
      <c r="D30" s="387" t="s">
        <v>338</v>
      </c>
    </row>
    <row r="31" spans="2:17" s="2" customFormat="1" ht="15.75" thickBot="1" x14ac:dyDescent="0.3">
      <c r="B31" s="835"/>
      <c r="C31" s="524">
        <f>C29*1000000/C5</f>
        <v>204.48799999236178</v>
      </c>
      <c r="D31" s="519" t="s">
        <v>8</v>
      </c>
    </row>
    <row r="32" spans="2:17" ht="15" customHeight="1" thickTop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</sheetData>
  <mergeCells count="4">
    <mergeCell ref="B4:B5"/>
    <mergeCell ref="B18:B20"/>
    <mergeCell ref="B24:B26"/>
    <mergeCell ref="B29:B31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ADCB-BB5E-4DAA-B42F-AA1FC9FE93F8}">
  <sheetPr codeName="Planilha41">
    <tabColor theme="8" tint="0.79998168889431442"/>
    <outlinePr summaryBelow="0"/>
  </sheetPr>
  <dimension ref="A1:BH142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4" customWidth="1"/>
    <col min="3" max="3" width="13.7109375" style="105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6"/>
      <c r="E1" s="106"/>
      <c r="F1" s="106"/>
      <c r="G1" s="106"/>
      <c r="H1" s="106"/>
    </row>
    <row r="2" spans="1:60" ht="22.5" thickTop="1" thickBot="1" x14ac:dyDescent="0.3">
      <c r="B2" s="11" t="s">
        <v>103</v>
      </c>
      <c r="C2" s="794" t="s">
        <v>413</v>
      </c>
      <c r="D2" s="795"/>
      <c r="E2" s="795"/>
      <c r="F2" s="795"/>
      <c r="G2" s="795"/>
      <c r="H2" s="796"/>
    </row>
    <row r="3" spans="1:60" ht="4.9000000000000004" customHeight="1" thickTop="1" thickBot="1" x14ac:dyDescent="0.3"/>
    <row r="4" spans="1:60" ht="19.5" thickTop="1" x14ac:dyDescent="0.25">
      <c r="B4" s="107" t="str">
        <f>B104</f>
        <v>Quant. RSU (Ano 1)</v>
      </c>
      <c r="C4" s="108">
        <f>C104</f>
        <v>101.66</v>
      </c>
      <c r="D4" s="109" t="str">
        <f>D104</f>
        <v>t/d</v>
      </c>
      <c r="E4" s="110"/>
      <c r="F4" s="110"/>
      <c r="G4" s="110"/>
      <c r="H4" s="111"/>
    </row>
    <row r="5" spans="1:60" ht="19.899999999999999" customHeight="1" x14ac:dyDescent="0.25">
      <c r="B5" s="12" t="s">
        <v>358</v>
      </c>
      <c r="C5" s="13">
        <v>1396.7092707049733</v>
      </c>
      <c r="D5" s="14" t="s">
        <v>8</v>
      </c>
      <c r="E5" s="112"/>
      <c r="F5" s="112"/>
      <c r="G5" s="112"/>
      <c r="H5" s="113"/>
    </row>
    <row r="6" spans="1:60" ht="19.899999999999999" customHeight="1" x14ac:dyDescent="0.25">
      <c r="B6" s="12" t="s">
        <v>359</v>
      </c>
      <c r="C6" s="13">
        <v>1491.675405776728</v>
      </c>
      <c r="D6" s="14" t="s">
        <v>8</v>
      </c>
      <c r="E6" s="112"/>
      <c r="F6" s="112"/>
      <c r="G6" s="112"/>
      <c r="H6" s="113"/>
    </row>
    <row r="7" spans="1:60" ht="18.75" x14ac:dyDescent="0.25">
      <c r="B7" s="12" t="s">
        <v>18</v>
      </c>
      <c r="C7" s="13">
        <v>35</v>
      </c>
      <c r="D7" s="14" t="s">
        <v>3</v>
      </c>
      <c r="E7" s="112"/>
      <c r="F7" s="112"/>
      <c r="G7" s="112"/>
      <c r="H7" s="113"/>
    </row>
    <row r="8" spans="1:60" ht="19.5" thickBot="1" x14ac:dyDescent="0.3">
      <c r="B8" s="15" t="s">
        <v>30</v>
      </c>
      <c r="C8" s="230">
        <v>9.611299999999999E-2</v>
      </c>
      <c r="D8" s="16" t="s">
        <v>1</v>
      </c>
      <c r="E8" s="114"/>
      <c r="F8" s="114"/>
      <c r="G8" s="114"/>
      <c r="H8" s="115"/>
    </row>
    <row r="9" spans="1:60" ht="4.9000000000000004" customHeight="1" thickTop="1" thickBot="1" x14ac:dyDescent="0.3"/>
    <row r="10" spans="1:60" s="116" customFormat="1" ht="19.899999999999999" customHeight="1" thickTop="1" x14ac:dyDescent="0.25">
      <c r="B10" s="797" t="s">
        <v>396</v>
      </c>
      <c r="C10" s="798"/>
      <c r="D10" s="801" t="s">
        <v>33</v>
      </c>
      <c r="E10" s="802"/>
      <c r="F10" s="802"/>
      <c r="G10" s="802"/>
      <c r="H10" s="803"/>
      <c r="J10" s="117" t="s">
        <v>104</v>
      </c>
      <c r="K10" s="117" t="s">
        <v>32</v>
      </c>
      <c r="L10" s="117" t="s">
        <v>31</v>
      </c>
      <c r="M10" s="117" t="s">
        <v>33</v>
      </c>
    </row>
    <row r="11" spans="1:60" s="116" customFormat="1" ht="19.899999999999999" customHeight="1" thickBot="1" x14ac:dyDescent="0.3">
      <c r="B11" s="799"/>
      <c r="C11" s="800"/>
      <c r="D11" s="804"/>
      <c r="E11" s="805"/>
      <c r="F11" s="805"/>
      <c r="G11" s="805"/>
      <c r="H11" s="806"/>
    </row>
    <row r="12" spans="1:60" ht="4.9000000000000004" customHeight="1" thickTop="1" thickBot="1" x14ac:dyDescent="0.3"/>
    <row r="13" spans="1:60" s="118" customFormat="1" ht="25.15" customHeight="1" collapsed="1" thickTop="1" thickBot="1" x14ac:dyDescent="0.3">
      <c r="B13" s="807" t="s">
        <v>34</v>
      </c>
      <c r="C13" s="808"/>
      <c r="D13" s="808"/>
      <c r="E13" s="808"/>
      <c r="F13" s="808"/>
      <c r="G13" s="808"/>
      <c r="H13" s="809"/>
      <c r="I13" s="1"/>
      <c r="J13" s="1"/>
    </row>
    <row r="14" spans="1:60" s="119" customFormat="1" ht="15" hidden="1" customHeight="1" outlineLevel="1" thickTop="1" x14ac:dyDescent="0.25">
      <c r="B14" s="119" t="s">
        <v>428</v>
      </c>
      <c r="C14" s="120"/>
      <c r="D14" s="121">
        <v>0</v>
      </c>
      <c r="E14" s="119">
        <v>1</v>
      </c>
      <c r="F14" s="119">
        <v>2</v>
      </c>
      <c r="G14" s="119">
        <v>3</v>
      </c>
      <c r="H14" s="119">
        <v>4</v>
      </c>
      <c r="I14" s="119">
        <v>5</v>
      </c>
      <c r="J14" s="119">
        <v>6</v>
      </c>
      <c r="K14" s="119">
        <v>7</v>
      </c>
      <c r="L14" s="119">
        <v>8</v>
      </c>
      <c r="M14" s="119">
        <v>9</v>
      </c>
      <c r="N14" s="119">
        <v>10</v>
      </c>
      <c r="O14" s="119">
        <v>11</v>
      </c>
      <c r="P14" s="119">
        <v>12</v>
      </c>
      <c r="Q14" s="119">
        <v>13</v>
      </c>
      <c r="R14" s="119">
        <v>14</v>
      </c>
      <c r="S14" s="119">
        <v>15</v>
      </c>
      <c r="T14" s="119">
        <v>16</v>
      </c>
      <c r="U14" s="119">
        <v>17</v>
      </c>
      <c r="V14" s="119">
        <v>18</v>
      </c>
      <c r="W14" s="119">
        <v>19</v>
      </c>
      <c r="X14" s="119">
        <v>20</v>
      </c>
      <c r="Y14" s="119">
        <v>21</v>
      </c>
      <c r="Z14" s="119">
        <v>22</v>
      </c>
      <c r="AA14" s="119">
        <v>23</v>
      </c>
      <c r="AB14" s="119">
        <v>24</v>
      </c>
      <c r="AC14" s="119">
        <v>25</v>
      </c>
      <c r="AD14" s="119">
        <v>26</v>
      </c>
      <c r="AE14" s="119">
        <v>27</v>
      </c>
      <c r="AF14" s="119">
        <v>28</v>
      </c>
      <c r="AG14" s="119">
        <v>29</v>
      </c>
      <c r="AH14" s="119">
        <v>30</v>
      </c>
      <c r="AI14" s="119">
        <v>31</v>
      </c>
      <c r="AJ14" s="119">
        <v>32</v>
      </c>
      <c r="AK14" s="119">
        <v>33</v>
      </c>
      <c r="AL14" s="119">
        <v>34</v>
      </c>
      <c r="AM14" s="119">
        <v>35</v>
      </c>
      <c r="AN14" s="119">
        <v>36</v>
      </c>
      <c r="AO14" s="119">
        <v>37</v>
      </c>
      <c r="AP14" s="119">
        <v>38</v>
      </c>
      <c r="AQ14" s="119">
        <v>39</v>
      </c>
      <c r="AR14" s="119">
        <v>40</v>
      </c>
      <c r="AS14" s="119">
        <v>41</v>
      </c>
      <c r="AT14" s="119">
        <v>42</v>
      </c>
      <c r="AU14" s="119">
        <v>43</v>
      </c>
      <c r="AV14" s="119">
        <v>44</v>
      </c>
      <c r="AW14" s="119">
        <v>45</v>
      </c>
      <c r="AX14" s="119">
        <v>46</v>
      </c>
      <c r="AY14" s="119">
        <v>47</v>
      </c>
      <c r="AZ14" s="119">
        <v>48</v>
      </c>
      <c r="BA14" s="119">
        <v>49</v>
      </c>
      <c r="BB14" s="119">
        <v>50</v>
      </c>
      <c r="BC14" s="119">
        <v>51</v>
      </c>
      <c r="BD14" s="119">
        <v>52</v>
      </c>
      <c r="BE14" s="119">
        <v>0</v>
      </c>
      <c r="BF14" s="119">
        <v>0</v>
      </c>
      <c r="BG14" s="119">
        <v>0</v>
      </c>
      <c r="BH14" s="119">
        <v>0</v>
      </c>
    </row>
    <row r="15" spans="1:60" s="127" customFormat="1" ht="15" hidden="1" customHeight="1" outlineLevel="1" x14ac:dyDescent="0.25">
      <c r="A15" s="788" t="s">
        <v>35</v>
      </c>
      <c r="B15" s="122" t="s">
        <v>36</v>
      </c>
      <c r="C15" s="123"/>
      <c r="D15" s="124">
        <v>1</v>
      </c>
      <c r="E15" s="125">
        <v>1</v>
      </c>
      <c r="F15" s="125">
        <v>1</v>
      </c>
      <c r="G15" s="125">
        <v>1</v>
      </c>
      <c r="H15" s="125">
        <v>1</v>
      </c>
      <c r="I15" s="125">
        <v>1</v>
      </c>
      <c r="J15" s="125">
        <v>1</v>
      </c>
      <c r="K15" s="125">
        <v>1</v>
      </c>
      <c r="L15" s="125">
        <v>1</v>
      </c>
      <c r="M15" s="125">
        <v>1</v>
      </c>
      <c r="N15" s="125">
        <v>1</v>
      </c>
      <c r="O15" s="125">
        <v>1</v>
      </c>
      <c r="P15" s="125">
        <v>1</v>
      </c>
      <c r="Q15" s="125">
        <v>1</v>
      </c>
      <c r="R15" s="125">
        <v>1</v>
      </c>
      <c r="S15" s="125">
        <v>1</v>
      </c>
      <c r="T15" s="125">
        <v>1</v>
      </c>
      <c r="U15" s="125">
        <v>1</v>
      </c>
      <c r="V15" s="125">
        <v>1</v>
      </c>
      <c r="W15" s="125">
        <v>1</v>
      </c>
      <c r="X15" s="125">
        <v>1</v>
      </c>
      <c r="Y15" s="125">
        <v>1</v>
      </c>
      <c r="Z15" s="125">
        <v>1</v>
      </c>
      <c r="AA15" s="125">
        <v>1</v>
      </c>
      <c r="AB15" s="125">
        <v>1</v>
      </c>
      <c r="AC15" s="125">
        <v>1</v>
      </c>
      <c r="AD15" s="125">
        <v>1</v>
      </c>
      <c r="AE15" s="125">
        <v>1</v>
      </c>
      <c r="AF15" s="125">
        <v>1</v>
      </c>
      <c r="AG15" s="125">
        <v>1</v>
      </c>
      <c r="AH15" s="125">
        <v>1</v>
      </c>
      <c r="AI15" s="125">
        <v>1</v>
      </c>
      <c r="AJ15" s="125">
        <v>1</v>
      </c>
      <c r="AK15" s="125">
        <v>1</v>
      </c>
      <c r="AL15" s="125">
        <v>1</v>
      </c>
      <c r="AM15" s="125">
        <v>0</v>
      </c>
      <c r="AN15" s="125">
        <v>0</v>
      </c>
      <c r="AO15" s="125">
        <v>0</v>
      </c>
      <c r="AP15" s="125">
        <v>0</v>
      </c>
      <c r="AQ15" s="125">
        <v>0</v>
      </c>
      <c r="AR15" s="125">
        <v>0</v>
      </c>
      <c r="AS15" s="125">
        <v>0</v>
      </c>
      <c r="AT15" s="125">
        <v>0</v>
      </c>
      <c r="AU15" s="125">
        <v>0</v>
      </c>
      <c r="AV15" s="125">
        <v>0</v>
      </c>
      <c r="AW15" s="125">
        <v>0</v>
      </c>
      <c r="AX15" s="125">
        <v>0</v>
      </c>
      <c r="AY15" s="125">
        <v>0</v>
      </c>
      <c r="AZ15" s="125">
        <v>0</v>
      </c>
      <c r="BA15" s="125">
        <v>0</v>
      </c>
      <c r="BB15" s="125">
        <v>0</v>
      </c>
      <c r="BC15" s="125">
        <v>0</v>
      </c>
      <c r="BD15" s="125">
        <v>0</v>
      </c>
      <c r="BE15" s="125">
        <v>0</v>
      </c>
      <c r="BF15" s="125">
        <v>0</v>
      </c>
      <c r="BG15" s="125">
        <v>0</v>
      </c>
      <c r="BH15" s="126">
        <v>0</v>
      </c>
    </row>
    <row r="16" spans="1:60" s="131" customFormat="1" ht="15" hidden="1" customHeight="1" outlineLevel="1" x14ac:dyDescent="0.25">
      <c r="A16" s="788"/>
      <c r="B16" s="104" t="s">
        <v>429</v>
      </c>
      <c r="C16" s="128">
        <f>SUMIF($D$15:$BG$15,1,D16:BG16)</f>
        <v>1193646.2820174235</v>
      </c>
      <c r="D16" s="129">
        <v>31717.919999999998</v>
      </c>
      <c r="E16" s="130">
        <v>31866.994223999995</v>
      </c>
      <c r="F16" s="130">
        <v>32016.769096852793</v>
      </c>
      <c r="G16" s="130">
        <v>32167.247911607999</v>
      </c>
      <c r="H16" s="130">
        <v>32318.433976792556</v>
      </c>
      <c r="I16" s="130">
        <v>32470.330616483479</v>
      </c>
      <c r="J16" s="130">
        <v>32622.941170380949</v>
      </c>
      <c r="K16" s="130">
        <v>32776.268993881735</v>
      </c>
      <c r="L16" s="130">
        <v>32930.317458152975</v>
      </c>
      <c r="M16" s="130">
        <v>33085.089950206289</v>
      </c>
      <c r="N16" s="130">
        <v>33240.589872972254</v>
      </c>
      <c r="O16" s="130">
        <v>33396.820645375221</v>
      </c>
      <c r="P16" s="130">
        <v>33553.785702408481</v>
      </c>
      <c r="Q16" s="130">
        <v>33711.4884952098</v>
      </c>
      <c r="R16" s="130">
        <v>33869.932491137282</v>
      </c>
      <c r="S16" s="130">
        <v>33553.785702408481</v>
      </c>
      <c r="T16" s="130">
        <v>33711.4884952098</v>
      </c>
      <c r="U16" s="130">
        <v>33869.932491137282</v>
      </c>
      <c r="V16" s="130">
        <v>34029.121173845626</v>
      </c>
      <c r="W16" s="130">
        <v>34189.058043362696</v>
      </c>
      <c r="X16" s="130">
        <v>34349.7466161665</v>
      </c>
      <c r="Y16" s="130">
        <v>34511.190425262481</v>
      </c>
      <c r="Z16" s="130">
        <v>34673.39302026121</v>
      </c>
      <c r="AA16" s="130">
        <v>34836.357967456432</v>
      </c>
      <c r="AB16" s="130">
        <v>35000.088849903477</v>
      </c>
      <c r="AC16" s="130">
        <v>35164.58926749802</v>
      </c>
      <c r="AD16" s="130">
        <v>35329.862837055261</v>
      </c>
      <c r="AE16" s="130">
        <v>35495.913192389417</v>
      </c>
      <c r="AF16" s="130">
        <v>35662.743984393644</v>
      </c>
      <c r="AG16" s="130">
        <v>35830.358881120294</v>
      </c>
      <c r="AH16" s="130">
        <v>35998.761567861555</v>
      </c>
      <c r="AI16" s="130">
        <v>36167.955747230502</v>
      </c>
      <c r="AJ16" s="130">
        <v>36337.945139242482</v>
      </c>
      <c r="AK16" s="130">
        <v>36508.733481396921</v>
      </c>
      <c r="AL16" s="130">
        <v>36680.324528759484</v>
      </c>
      <c r="AM16" s="130">
        <v>36852.722054044651</v>
      </c>
      <c r="AN16" s="130">
        <v>37025.929847698659</v>
      </c>
      <c r="AO16" s="130">
        <v>37199.95171798284</v>
      </c>
      <c r="AP16" s="130">
        <v>37374.79149105736</v>
      </c>
      <c r="AQ16" s="130">
        <v>37550.453011065329</v>
      </c>
      <c r="AR16" s="130">
        <v>37726.940140217332</v>
      </c>
      <c r="AS16" s="130">
        <v>37904.256758876349</v>
      </c>
      <c r="AT16" s="130">
        <v>38082.406765643063</v>
      </c>
      <c r="AU16" s="130">
        <v>38261.394077441582</v>
      </c>
      <c r="AV16" s="130">
        <v>38441.222629605552</v>
      </c>
      <c r="AW16" s="130">
        <v>38621.896375964694</v>
      </c>
      <c r="AX16" s="130">
        <v>38803.419288931727</v>
      </c>
      <c r="AY16" s="130">
        <v>38985.795359589705</v>
      </c>
      <c r="AZ16" s="130">
        <v>39169.028597779776</v>
      </c>
      <c r="BA16" s="130">
        <v>39353.123032189338</v>
      </c>
      <c r="BB16" s="130">
        <v>39538.082710440627</v>
      </c>
      <c r="BC16" s="130">
        <v>39723.911699179698</v>
      </c>
      <c r="BD16" s="130">
        <v>39910.614084165842</v>
      </c>
      <c r="BE16" s="130">
        <v>40098.193970361419</v>
      </c>
      <c r="BF16" s="130">
        <v>40286.655482022114</v>
      </c>
      <c r="BG16" s="130">
        <v>40476.002762787612</v>
      </c>
      <c r="BH16" s="130">
        <v>0</v>
      </c>
    </row>
    <row r="17" spans="1:60" ht="15" hidden="1" customHeight="1" outlineLevel="1" x14ac:dyDescent="0.25">
      <c r="A17" s="105"/>
      <c r="C17" s="132"/>
      <c r="D17" s="133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</row>
    <row r="18" spans="1:60" ht="15" hidden="1" customHeight="1" outlineLevel="1" x14ac:dyDescent="0.25">
      <c r="A18" s="135">
        <f>C18*1000000/$C$16</f>
        <v>92.73716569454777</v>
      </c>
      <c r="B18" s="136" t="s">
        <v>430</v>
      </c>
      <c r="C18" s="137">
        <f>SUMIF($D$15:$BG$15,1,D18:BG18)</f>
        <v>110.69537303613069</v>
      </c>
      <c r="D18" s="138">
        <v>29.726971231631744</v>
      </c>
      <c r="E18" s="8">
        <v>43.206328630450415</v>
      </c>
      <c r="F18" s="8">
        <v>37.762073174048545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</row>
    <row r="19" spans="1:60" ht="15" hidden="1" customHeight="1" outlineLevel="1" x14ac:dyDescent="0.25">
      <c r="A19" s="135">
        <f>C19*1000000/$C$16</f>
        <v>84.605479265867459</v>
      </c>
      <c r="B19" s="139" t="s">
        <v>37</v>
      </c>
      <c r="C19" s="132">
        <f>SUMIF($D$15:$BG$15,1,D19:BG19)</f>
        <v>100.9890157640049</v>
      </c>
      <c r="D19" s="138">
        <f t="shared" ref="D19:AJ19" si="0">NPV($C$8,D18:D18)</f>
        <v>27.12035276621274</v>
      </c>
      <c r="E19" s="8">
        <f t="shared" si="0"/>
        <v>39.417768633754385</v>
      </c>
      <c r="F19" s="8">
        <f t="shared" si="0"/>
        <v>34.450894364037786</v>
      </c>
      <c r="G19" s="8">
        <f t="shared" si="0"/>
        <v>0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8">
        <f t="shared" si="0"/>
        <v>0</v>
      </c>
      <c r="N19" s="8">
        <f t="shared" si="0"/>
        <v>0</v>
      </c>
      <c r="O19" s="8">
        <f t="shared" si="0"/>
        <v>0</v>
      </c>
      <c r="P19" s="8">
        <f t="shared" si="0"/>
        <v>0</v>
      </c>
      <c r="Q19" s="8">
        <f t="shared" si="0"/>
        <v>0</v>
      </c>
      <c r="R19" s="8">
        <f t="shared" si="0"/>
        <v>0</v>
      </c>
      <c r="S19" s="8">
        <f t="shared" si="0"/>
        <v>0</v>
      </c>
      <c r="T19" s="8">
        <f t="shared" si="0"/>
        <v>0</v>
      </c>
      <c r="U19" s="8">
        <f t="shared" si="0"/>
        <v>0</v>
      </c>
      <c r="V19" s="8">
        <f t="shared" si="0"/>
        <v>0</v>
      </c>
      <c r="W19" s="8">
        <f t="shared" si="0"/>
        <v>0</v>
      </c>
      <c r="X19" s="8">
        <f t="shared" si="0"/>
        <v>0</v>
      </c>
      <c r="Y19" s="8">
        <f t="shared" si="0"/>
        <v>0</v>
      </c>
      <c r="Z19" s="8">
        <f t="shared" si="0"/>
        <v>0</v>
      </c>
      <c r="AA19" s="8">
        <f t="shared" si="0"/>
        <v>0</v>
      </c>
      <c r="AB19" s="8">
        <f t="shared" si="0"/>
        <v>0</v>
      </c>
      <c r="AC19" s="8">
        <f t="shared" si="0"/>
        <v>0</v>
      </c>
      <c r="AD19" s="8">
        <f t="shared" si="0"/>
        <v>0</v>
      </c>
      <c r="AE19" s="8">
        <f t="shared" si="0"/>
        <v>0</v>
      </c>
      <c r="AF19" s="8">
        <f t="shared" si="0"/>
        <v>0</v>
      </c>
      <c r="AG19" s="8">
        <f t="shared" si="0"/>
        <v>0</v>
      </c>
      <c r="AH19" s="8">
        <f t="shared" si="0"/>
        <v>0</v>
      </c>
      <c r="AI19" s="8">
        <f t="shared" si="0"/>
        <v>0</v>
      </c>
      <c r="AJ19" s="8">
        <f t="shared" si="0"/>
        <v>0</v>
      </c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1:60" ht="15" hidden="1" customHeight="1" outlineLevel="1" x14ac:dyDescent="0.25">
      <c r="A20" s="135"/>
      <c r="B20" s="1"/>
      <c r="C20" s="732">
        <f>C18*1000000/(C16/C43)</f>
        <v>3245.8007993091715</v>
      </c>
      <c r="D20" s="13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</row>
    <row r="21" spans="1:60" ht="15" hidden="1" customHeight="1" outlineLevel="1" x14ac:dyDescent="0.25">
      <c r="A21" s="135">
        <f>C21*1000000/$C$16</f>
        <v>748.84765460394215</v>
      </c>
      <c r="B21" s="136" t="s">
        <v>431</v>
      </c>
      <c r="C21" s="137">
        <f>SUMIF($D$15:$BG$15,1,D21:BG21)</f>
        <v>893.85921871546327</v>
      </c>
      <c r="D21" s="138">
        <v>5.00414475505496</v>
      </c>
      <c r="E21" s="8">
        <v>5.00414475505496</v>
      </c>
      <c r="F21" s="8">
        <v>5.00414475505496</v>
      </c>
      <c r="G21" s="8">
        <v>27.463962014071814</v>
      </c>
      <c r="H21" s="8">
        <v>27.463962014071814</v>
      </c>
      <c r="I21" s="8">
        <v>27.463962014071814</v>
      </c>
      <c r="J21" s="8">
        <v>27.463962014071814</v>
      </c>
      <c r="K21" s="8">
        <v>27.463962014071814</v>
      </c>
      <c r="L21" s="8">
        <v>27.463962014071814</v>
      </c>
      <c r="M21" s="8">
        <v>27.463962014071814</v>
      </c>
      <c r="N21" s="8">
        <v>27.463962014071814</v>
      </c>
      <c r="O21" s="8">
        <v>27.463962014071814</v>
      </c>
      <c r="P21" s="8">
        <v>27.463962014071814</v>
      </c>
      <c r="Q21" s="8">
        <v>27.463962014071814</v>
      </c>
      <c r="R21" s="8">
        <v>27.463962014071814</v>
      </c>
      <c r="S21" s="8">
        <v>27.463962014071814</v>
      </c>
      <c r="T21" s="8">
        <v>27.463962014071814</v>
      </c>
      <c r="U21" s="8">
        <v>27.463962014071814</v>
      </c>
      <c r="V21" s="8">
        <v>27.463962014071814</v>
      </c>
      <c r="W21" s="8">
        <v>27.463962014071814</v>
      </c>
      <c r="X21" s="8">
        <v>27.463962014071814</v>
      </c>
      <c r="Y21" s="8">
        <v>27.463962014071814</v>
      </c>
      <c r="Z21" s="8">
        <v>27.463962014071814</v>
      </c>
      <c r="AA21" s="8">
        <v>27.463962014071814</v>
      </c>
      <c r="AB21" s="8">
        <v>27.463962014071814</v>
      </c>
      <c r="AC21" s="8">
        <v>27.463962014071814</v>
      </c>
      <c r="AD21" s="8">
        <v>27.463962014071814</v>
      </c>
      <c r="AE21" s="8">
        <v>27.463962014071814</v>
      </c>
      <c r="AF21" s="8">
        <v>27.463962014071814</v>
      </c>
      <c r="AG21" s="8">
        <v>27.463962014071814</v>
      </c>
      <c r="AH21" s="8">
        <v>27.463962014071814</v>
      </c>
      <c r="AI21" s="8">
        <v>27.463962014071814</v>
      </c>
      <c r="AJ21" s="8">
        <v>27.463962014071814</v>
      </c>
      <c r="AK21" s="8">
        <v>27.463962014071814</v>
      </c>
      <c r="AL21" s="8">
        <v>27.463962014071814</v>
      </c>
      <c r="AM21" s="8">
        <v>27.463962014071814</v>
      </c>
      <c r="AN21" s="8">
        <v>27.463962014071814</v>
      </c>
      <c r="AO21" s="8">
        <v>27.463962014071814</v>
      </c>
      <c r="AP21" s="8">
        <v>27.463962014071814</v>
      </c>
      <c r="AQ21" s="8">
        <v>27.463962014071814</v>
      </c>
      <c r="AR21" s="8">
        <v>27.463962014071814</v>
      </c>
      <c r="AS21" s="8">
        <v>27.463962014071814</v>
      </c>
      <c r="AT21" s="8">
        <v>27.463962014071814</v>
      </c>
      <c r="AU21" s="8">
        <v>27.463962014071814</v>
      </c>
      <c r="AV21" s="8">
        <v>27.463962014071814</v>
      </c>
      <c r="AW21" s="8">
        <v>27.463962014071814</v>
      </c>
      <c r="AX21" s="8">
        <v>27.463962014071814</v>
      </c>
      <c r="AY21" s="8">
        <v>27.463962014071814</v>
      </c>
      <c r="AZ21" s="8">
        <v>27.463962014071814</v>
      </c>
      <c r="BA21" s="8">
        <v>27.463962014071814</v>
      </c>
      <c r="BB21" s="8">
        <v>27.463962014071814</v>
      </c>
      <c r="BC21" s="8">
        <v>27.463962014071814</v>
      </c>
      <c r="BD21" s="8">
        <v>27.463962014071814</v>
      </c>
      <c r="BE21" s="8">
        <v>27.463962014071814</v>
      </c>
      <c r="BF21" s="8">
        <v>27.463962014071814</v>
      </c>
      <c r="BG21" s="8">
        <v>27.463962014071814</v>
      </c>
      <c r="BH21" s="8">
        <v>0</v>
      </c>
    </row>
    <row r="22" spans="1:60" ht="15" hidden="1" customHeight="1" outlineLevel="1" x14ac:dyDescent="0.25">
      <c r="A22" s="135">
        <f>C22*1000000/$C$16</f>
        <v>641.20281012096382</v>
      </c>
      <c r="B22" s="139" t="s">
        <v>38</v>
      </c>
      <c r="C22" s="132">
        <f>SUMIF($D$15:$BG$15,1,D22:BG22)</f>
        <v>765.36935032001247</v>
      </c>
      <c r="D22" s="138">
        <f t="shared" ref="D22:AJ22" si="1">NPV($C$8,D21:D21)</f>
        <v>4.5653548083591389</v>
      </c>
      <c r="E22" s="8">
        <f t="shared" si="1"/>
        <v>4.5653548083591389</v>
      </c>
      <c r="F22" s="8">
        <f t="shared" si="1"/>
        <v>4.5653548083591389</v>
      </c>
      <c r="G22" s="8">
        <f t="shared" si="1"/>
        <v>25.055776196497821</v>
      </c>
      <c r="H22" s="8">
        <f t="shared" si="1"/>
        <v>25.055776196497821</v>
      </c>
      <c r="I22" s="8">
        <f t="shared" si="1"/>
        <v>25.055776196497821</v>
      </c>
      <c r="J22" s="8">
        <f t="shared" si="1"/>
        <v>25.055776196497821</v>
      </c>
      <c r="K22" s="8">
        <f t="shared" si="1"/>
        <v>25.055776196497821</v>
      </c>
      <c r="L22" s="8">
        <f t="shared" si="1"/>
        <v>25.055776196497821</v>
      </c>
      <c r="M22" s="8">
        <f t="shared" si="1"/>
        <v>25.055776196497821</v>
      </c>
      <c r="N22" s="8">
        <f t="shared" si="1"/>
        <v>25.055776196497821</v>
      </c>
      <c r="O22" s="8">
        <f t="shared" si="1"/>
        <v>25.055776196497821</v>
      </c>
      <c r="P22" s="8">
        <f t="shared" si="1"/>
        <v>25.055776196497821</v>
      </c>
      <c r="Q22" s="8">
        <f t="shared" si="1"/>
        <v>25.055776196497821</v>
      </c>
      <c r="R22" s="8">
        <f t="shared" si="1"/>
        <v>25.055776196497821</v>
      </c>
      <c r="S22" s="8">
        <f t="shared" si="1"/>
        <v>25.055776196497821</v>
      </c>
      <c r="T22" s="8">
        <f t="shared" si="1"/>
        <v>25.055776196497821</v>
      </c>
      <c r="U22" s="8">
        <f t="shared" si="1"/>
        <v>25.055776196497821</v>
      </c>
      <c r="V22" s="8">
        <f t="shared" si="1"/>
        <v>25.055776196497821</v>
      </c>
      <c r="W22" s="8">
        <f t="shared" si="1"/>
        <v>25.055776196497821</v>
      </c>
      <c r="X22" s="8">
        <f t="shared" si="1"/>
        <v>25.055776196497821</v>
      </c>
      <c r="Y22" s="8">
        <f t="shared" si="1"/>
        <v>25.055776196497821</v>
      </c>
      <c r="Z22" s="8">
        <f t="shared" si="1"/>
        <v>25.055776196497821</v>
      </c>
      <c r="AA22" s="8">
        <f t="shared" si="1"/>
        <v>25.055776196497821</v>
      </c>
      <c r="AB22" s="8">
        <f t="shared" si="1"/>
        <v>25.055776196497821</v>
      </c>
      <c r="AC22" s="8">
        <f t="shared" si="1"/>
        <v>25.055776196497821</v>
      </c>
      <c r="AD22" s="8">
        <f t="shared" si="1"/>
        <v>25.055776196497821</v>
      </c>
      <c r="AE22" s="8">
        <f t="shared" si="1"/>
        <v>25.055776196497821</v>
      </c>
      <c r="AF22" s="8">
        <f t="shared" si="1"/>
        <v>25.055776196497821</v>
      </c>
      <c r="AG22" s="8">
        <f t="shared" si="1"/>
        <v>25.055776196497821</v>
      </c>
      <c r="AH22" s="8">
        <f t="shared" si="1"/>
        <v>25.055776196497821</v>
      </c>
      <c r="AI22" s="8">
        <f t="shared" si="1"/>
        <v>25.055776196497821</v>
      </c>
      <c r="AJ22" s="8">
        <f t="shared" si="1"/>
        <v>25.055776196497821</v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</row>
    <row r="23" spans="1:60" ht="15" hidden="1" customHeight="1" outlineLevel="1" x14ac:dyDescent="0.25">
      <c r="A23" s="135"/>
      <c r="C23" s="733">
        <f>C21*1000000/C16</f>
        <v>748.84765460394215</v>
      </c>
      <c r="D23" s="13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4" spans="1:60" ht="15" hidden="1" customHeight="1" outlineLevel="1" x14ac:dyDescent="0.25">
      <c r="A24" s="135">
        <f>C24*1000000/$C$16</f>
        <v>0</v>
      </c>
      <c r="B24" s="136" t="s">
        <v>39</v>
      </c>
      <c r="C24" s="137">
        <f>SUMIF($D$15:$BG$15,1,D24:BG24)</f>
        <v>0</v>
      </c>
      <c r="D24" s="13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</row>
    <row r="25" spans="1:60" ht="15" hidden="1" customHeight="1" outlineLevel="1" x14ac:dyDescent="0.25">
      <c r="A25" s="135">
        <f>C25*1000000/$C$16</f>
        <v>0</v>
      </c>
      <c r="B25" s="139" t="s">
        <v>40</v>
      </c>
      <c r="C25" s="132">
        <f>SUMIF($D$15:$BG$15,1,D25:BG25)</f>
        <v>0</v>
      </c>
      <c r="D25" s="138">
        <f t="shared" ref="D25:AJ25" si="2">NPV($C$8,D24:D24)</f>
        <v>0</v>
      </c>
      <c r="E25" s="8">
        <f t="shared" si="2"/>
        <v>0</v>
      </c>
      <c r="F25" s="8">
        <f t="shared" si="2"/>
        <v>0</v>
      </c>
      <c r="G25" s="8">
        <f t="shared" si="2"/>
        <v>0</v>
      </c>
      <c r="H25" s="8">
        <f t="shared" si="2"/>
        <v>0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8">
        <f t="shared" si="2"/>
        <v>0</v>
      </c>
      <c r="M25" s="8">
        <f t="shared" si="2"/>
        <v>0</v>
      </c>
      <c r="N25" s="8">
        <f t="shared" si="2"/>
        <v>0</v>
      </c>
      <c r="O25" s="8">
        <f t="shared" si="2"/>
        <v>0</v>
      </c>
      <c r="P25" s="8">
        <f t="shared" si="2"/>
        <v>0</v>
      </c>
      <c r="Q25" s="8">
        <f t="shared" si="2"/>
        <v>0</v>
      </c>
      <c r="R25" s="8">
        <f t="shared" si="2"/>
        <v>0</v>
      </c>
      <c r="S25" s="8">
        <f t="shared" si="2"/>
        <v>0</v>
      </c>
      <c r="T25" s="8">
        <f t="shared" si="2"/>
        <v>0</v>
      </c>
      <c r="U25" s="8">
        <f t="shared" si="2"/>
        <v>0</v>
      </c>
      <c r="V25" s="8">
        <f t="shared" si="2"/>
        <v>0</v>
      </c>
      <c r="W25" s="8">
        <f t="shared" si="2"/>
        <v>0</v>
      </c>
      <c r="X25" s="8">
        <f t="shared" si="2"/>
        <v>0</v>
      </c>
      <c r="Y25" s="8">
        <f t="shared" si="2"/>
        <v>0</v>
      </c>
      <c r="Z25" s="8">
        <f t="shared" si="2"/>
        <v>0</v>
      </c>
      <c r="AA25" s="8">
        <f t="shared" si="2"/>
        <v>0</v>
      </c>
      <c r="AB25" s="8">
        <f t="shared" si="2"/>
        <v>0</v>
      </c>
      <c r="AC25" s="8">
        <f t="shared" si="2"/>
        <v>0</v>
      </c>
      <c r="AD25" s="8">
        <f t="shared" si="2"/>
        <v>0</v>
      </c>
      <c r="AE25" s="8">
        <f t="shared" si="2"/>
        <v>0</v>
      </c>
      <c r="AF25" s="8">
        <f t="shared" si="2"/>
        <v>0</v>
      </c>
      <c r="AG25" s="8">
        <f t="shared" si="2"/>
        <v>0</v>
      </c>
      <c r="AH25" s="8">
        <f t="shared" si="2"/>
        <v>0</v>
      </c>
      <c r="AI25" s="8">
        <f t="shared" si="2"/>
        <v>0</v>
      </c>
      <c r="AJ25" s="8">
        <f t="shared" si="2"/>
        <v>0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1:60" ht="15" hidden="1" customHeight="1" outlineLevel="1" x14ac:dyDescent="0.25">
      <c r="A26" s="135"/>
      <c r="C26" s="132"/>
      <c r="D26" s="13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</row>
    <row r="27" spans="1:60" ht="15" hidden="1" customHeight="1" outlineLevel="1" x14ac:dyDescent="0.25">
      <c r="A27" s="135">
        <f>C27*1000000/$C$16</f>
        <v>1197.6781996295147</v>
      </c>
      <c r="B27" s="136" t="s">
        <v>432</v>
      </c>
      <c r="C27" s="137">
        <f>SUMIF($D$15:$BG$15,1,D27:BG27)</f>
        <v>1429.6041300410916</v>
      </c>
      <c r="D27" s="138">
        <v>37.987861321592966</v>
      </c>
      <c r="E27" s="8">
        <v>38.166404269804445</v>
      </c>
      <c r="F27" s="8">
        <v>38.345786369872535</v>
      </c>
      <c r="G27" s="8">
        <v>38.526011565810933</v>
      </c>
      <c r="H27" s="8">
        <v>38.70708382017024</v>
      </c>
      <c r="I27" s="8">
        <v>38.889007114125036</v>
      </c>
      <c r="J27" s="8">
        <v>39.07178544756141</v>
      </c>
      <c r="K27" s="8">
        <v>39.255422839164957</v>
      </c>
      <c r="L27" s="8">
        <v>39.439923326509025</v>
      </c>
      <c r="M27" s="8">
        <v>39.625290966143616</v>
      </c>
      <c r="N27" s="8">
        <v>39.811529833684482</v>
      </c>
      <c r="O27" s="8">
        <v>39.998644023902798</v>
      </c>
      <c r="P27" s="8">
        <v>40.186637650815136</v>
      </c>
      <c r="Q27" s="8">
        <v>40.375514847773971</v>
      </c>
      <c r="R27" s="8">
        <v>40.565279767558501</v>
      </c>
      <c r="S27" s="8">
        <v>40.186637650815136</v>
      </c>
      <c r="T27" s="8">
        <v>40.375514847773971</v>
      </c>
      <c r="U27" s="8">
        <v>40.565279767558501</v>
      </c>
      <c r="V27" s="8">
        <v>40.75593658246602</v>
      </c>
      <c r="W27" s="8">
        <v>40.947489484403604</v>
      </c>
      <c r="X27" s="8">
        <v>41.139942684980298</v>
      </c>
      <c r="Y27" s="8">
        <v>41.333300415599709</v>
      </c>
      <c r="Z27" s="8">
        <v>41.527566927553018</v>
      </c>
      <c r="AA27" s="8">
        <v>41.722746492112513</v>
      </c>
      <c r="AB27" s="8">
        <v>41.918843400625434</v>
      </c>
      <c r="AC27" s="8">
        <v>42.115861964608378</v>
      </c>
      <c r="AD27" s="8">
        <v>42.313806515842039</v>
      </c>
      <c r="AE27" s="8">
        <v>42.512681406466484</v>
      </c>
      <c r="AF27" s="8">
        <v>42.712491009076878</v>
      </c>
      <c r="AG27" s="8">
        <v>42.91323971681954</v>
      </c>
      <c r="AH27" s="8">
        <v>43.114931943488592</v>
      </c>
      <c r="AI27" s="8">
        <v>43.317572123622973</v>
      </c>
      <c r="AJ27" s="8">
        <v>43.521164712603998</v>
      </c>
      <c r="AK27" s="8">
        <v>43.725714186753244</v>
      </c>
      <c r="AL27" s="8">
        <v>43.931225043430977</v>
      </c>
      <c r="AM27" s="8">
        <v>44.137701801135101</v>
      </c>
      <c r="AN27" s="8">
        <v>44.345148999600433</v>
      </c>
      <c r="AO27" s="8">
        <v>44.553571199898556</v>
      </c>
      <c r="AP27" s="8">
        <v>44.762972984538081</v>
      </c>
      <c r="AQ27" s="8">
        <v>44.973358957565402</v>
      </c>
      <c r="AR27" s="8">
        <v>45.184733744665955</v>
      </c>
      <c r="AS27" s="8">
        <v>45.397101993265885</v>
      </c>
      <c r="AT27" s="8">
        <v>45.610468372634223</v>
      </c>
      <c r="AU27" s="8">
        <v>45.824837573985604</v>
      </c>
      <c r="AV27" s="8">
        <v>46.04021431058333</v>
      </c>
      <c r="AW27" s="8">
        <v>46.256603317843066</v>
      </c>
      <c r="AX27" s="8">
        <v>46.474009353436927</v>
      </c>
      <c r="AY27" s="8">
        <v>46.692437197398078</v>
      </c>
      <c r="AZ27" s="8">
        <v>46.911891652225847</v>
      </c>
      <c r="BA27" s="8">
        <v>47.132377542991307</v>
      </c>
      <c r="BB27" s="8">
        <v>47.353899717443362</v>
      </c>
      <c r="BC27" s="8">
        <v>47.57646304611535</v>
      </c>
      <c r="BD27" s="8">
        <v>47.800072422432088</v>
      </c>
      <c r="BE27" s="8">
        <v>48.024732762817514</v>
      </c>
      <c r="BF27" s="8">
        <v>48.250449006802761</v>
      </c>
      <c r="BG27" s="8">
        <v>48.47722611713472</v>
      </c>
      <c r="BH27" s="8">
        <v>0</v>
      </c>
    </row>
    <row r="28" spans="1:60" ht="15" hidden="1" customHeight="1" outlineLevel="1" x14ac:dyDescent="0.25">
      <c r="A28" s="135">
        <f>C28*1000000/$C$16</f>
        <v>1025.6624293680582</v>
      </c>
      <c r="B28" s="139" t="s">
        <v>41</v>
      </c>
      <c r="C28" s="132">
        <f>SUMIF($D$15:$BG$15,1,D28:BG28)</f>
        <v>1224.2781454201411</v>
      </c>
      <c r="D28" s="138">
        <f t="shared" ref="D28:AJ28" si="3">NPV($C$8,D27:D27)</f>
        <v>34.656884209559571</v>
      </c>
      <c r="E28" s="8">
        <f t="shared" si="3"/>
        <v>34.819771565344496</v>
      </c>
      <c r="F28" s="8">
        <f t="shared" si="3"/>
        <v>34.983424491701619</v>
      </c>
      <c r="G28" s="8">
        <f t="shared" si="3"/>
        <v>35.147846586812612</v>
      </c>
      <c r="H28" s="8">
        <f t="shared" si="3"/>
        <v>35.313041465770631</v>
      </c>
      <c r="I28" s="8">
        <f t="shared" si="3"/>
        <v>35.479012760659749</v>
      </c>
      <c r="J28" s="8">
        <f t="shared" si="3"/>
        <v>35.645764120634837</v>
      </c>
      <c r="K28" s="8">
        <f t="shared" si="3"/>
        <v>35.81329921200183</v>
      </c>
      <c r="L28" s="8">
        <f t="shared" si="3"/>
        <v>35.981621718298229</v>
      </c>
      <c r="M28" s="8">
        <f t="shared" si="3"/>
        <v>36.150735340374233</v>
      </c>
      <c r="N28" s="8">
        <f t="shared" si="3"/>
        <v>36.320643796473981</v>
      </c>
      <c r="O28" s="8">
        <f t="shared" si="3"/>
        <v>36.491350822317408</v>
      </c>
      <c r="P28" s="8">
        <f t="shared" si="3"/>
        <v>36.662860171182295</v>
      </c>
      <c r="Q28" s="8">
        <f t="shared" si="3"/>
        <v>36.835175613986856</v>
      </c>
      <c r="R28" s="8">
        <f t="shared" si="3"/>
        <v>37.008300939372589</v>
      </c>
      <c r="S28" s="8">
        <f t="shared" si="3"/>
        <v>36.662860171182295</v>
      </c>
      <c r="T28" s="8">
        <f t="shared" si="3"/>
        <v>36.835175613986856</v>
      </c>
      <c r="U28" s="8">
        <f t="shared" si="3"/>
        <v>37.008300939372589</v>
      </c>
      <c r="V28" s="8">
        <f t="shared" si="3"/>
        <v>37.182239953787636</v>
      </c>
      <c r="W28" s="8">
        <f t="shared" si="3"/>
        <v>37.356996481570427</v>
      </c>
      <c r="X28" s="8">
        <f t="shared" si="3"/>
        <v>37.53257436503381</v>
      </c>
      <c r="Y28" s="8">
        <f t="shared" si="3"/>
        <v>37.70897746454947</v>
      </c>
      <c r="Z28" s="8">
        <f t="shared" si="3"/>
        <v>37.886209658632843</v>
      </c>
      <c r="AA28" s="8">
        <f t="shared" si="3"/>
        <v>38.064274844028411</v>
      </c>
      <c r="AB28" s="8">
        <f t="shared" si="3"/>
        <v>38.24317693579534</v>
      </c>
      <c r="AC28" s="8">
        <f t="shared" si="3"/>
        <v>38.422919867393581</v>
      </c>
      <c r="AD28" s="8">
        <f t="shared" si="3"/>
        <v>38.603507590770334</v>
      </c>
      <c r="AE28" s="8">
        <f t="shared" si="3"/>
        <v>38.784944076446941</v>
      </c>
      <c r="AF28" s="8">
        <f t="shared" si="3"/>
        <v>38.967233313606243</v>
      </c>
      <c r="AG28" s="8">
        <f t="shared" si="3"/>
        <v>39.150379310180192</v>
      </c>
      <c r="AH28" s="8">
        <f t="shared" si="3"/>
        <v>39.33438609293804</v>
      </c>
      <c r="AI28" s="8">
        <f t="shared" si="3"/>
        <v>39.519257707574837</v>
      </c>
      <c r="AJ28" s="8">
        <f t="shared" si="3"/>
        <v>39.704998218800434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</row>
    <row r="29" spans="1:60" ht="15" hidden="1" customHeight="1" outlineLevel="1" x14ac:dyDescent="0.25">
      <c r="A29" s="135"/>
      <c r="B29" s="1"/>
      <c r="C29" s="132"/>
      <c r="D29" s="13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1:60" ht="15" hidden="1" customHeight="1" outlineLevel="1" x14ac:dyDescent="0.25">
      <c r="A30" s="135">
        <f>C30*1000000/$C$16</f>
        <v>73.393455508394453</v>
      </c>
      <c r="B30" s="136" t="s">
        <v>433</v>
      </c>
      <c r="C30" s="137">
        <f>SUMIF($D$15:$BG$15,1,D30:BG30)</f>
        <v>87.605825292006244</v>
      </c>
      <c r="D30" s="138">
        <v>2.3278877503388147</v>
      </c>
      <c r="E30" s="8">
        <v>2.3388288227654068</v>
      </c>
      <c r="F30" s="8">
        <v>2.3498213182324039</v>
      </c>
      <c r="G30" s="8">
        <v>2.3608654784280962</v>
      </c>
      <c r="H30" s="8">
        <v>2.3719615461767081</v>
      </c>
      <c r="I30" s="8">
        <v>2.3831097654437383</v>
      </c>
      <c r="J30" s="8">
        <v>2.3943103813413238</v>
      </c>
      <c r="K30" s="8">
        <v>2.4055636401336278</v>
      </c>
      <c r="L30" s="8">
        <v>2.4168697892422557</v>
      </c>
      <c r="M30" s="8">
        <v>2.4282290772516943</v>
      </c>
      <c r="N30" s="8">
        <v>2.4396417539147772</v>
      </c>
      <c r="O30" s="8">
        <v>2.4511080701581767</v>
      </c>
      <c r="P30" s="8">
        <v>2.4626282780879198</v>
      </c>
      <c r="Q30" s="8">
        <v>2.4742026309949328</v>
      </c>
      <c r="R30" s="8">
        <v>2.4858313833606087</v>
      </c>
      <c r="S30" s="8">
        <v>2.4626282780879198</v>
      </c>
      <c r="T30" s="8">
        <v>2.4742026309949328</v>
      </c>
      <c r="U30" s="8">
        <v>2.4858313833606087</v>
      </c>
      <c r="V30" s="8">
        <v>2.4975147908624034</v>
      </c>
      <c r="W30" s="8">
        <v>2.5092531103794564</v>
      </c>
      <c r="X30" s="8">
        <v>2.5210465999982397</v>
      </c>
      <c r="Y30" s="8">
        <v>2.5328955190182314</v>
      </c>
      <c r="Z30" s="8">
        <v>2.5448001279576169</v>
      </c>
      <c r="AA30" s="8">
        <v>2.5567606885590175</v>
      </c>
      <c r="AB30" s="8">
        <v>2.5687774637952447</v>
      </c>
      <c r="AC30" s="8">
        <v>2.5808507178750824</v>
      </c>
      <c r="AD30" s="8">
        <v>2.592980716249095</v>
      </c>
      <c r="AE30" s="8">
        <v>2.6051677256154657</v>
      </c>
      <c r="AF30" s="8">
        <v>2.6174120139258581</v>
      </c>
      <c r="AG30" s="8">
        <v>2.6297138503913096</v>
      </c>
      <c r="AH30" s="8">
        <v>2.6420735054881486</v>
      </c>
      <c r="AI30" s="8">
        <v>2.6544912509639427</v>
      </c>
      <c r="AJ30" s="8">
        <v>2.6669673598434729</v>
      </c>
      <c r="AK30" s="8">
        <v>2.6795021064347369</v>
      </c>
      <c r="AL30" s="8">
        <v>2.69209576633498</v>
      </c>
      <c r="AM30" s="8">
        <v>2.7047486164367545</v>
      </c>
      <c r="AN30" s="8">
        <v>2.7174609349340071</v>
      </c>
      <c r="AO30" s="8">
        <v>2.7302330013281968</v>
      </c>
      <c r="AP30" s="8">
        <v>2.7430650964344392</v>
      </c>
      <c r="AQ30" s="8">
        <v>2.7559575023876808</v>
      </c>
      <c r="AR30" s="8">
        <v>2.7689105026489025</v>
      </c>
      <c r="AS30" s="8">
        <v>2.7819243820113519</v>
      </c>
      <c r="AT30" s="8">
        <v>2.7949994266068052</v>
      </c>
      <c r="AU30" s="8">
        <v>2.8081359239118568</v>
      </c>
      <c r="AV30" s="8">
        <v>2.8213341627542423</v>
      </c>
      <c r="AW30" s="8">
        <v>2.8345944333191873</v>
      </c>
      <c r="AX30" s="8">
        <v>2.8479170271557872</v>
      </c>
      <c r="AY30" s="8">
        <v>2.8613022371834194</v>
      </c>
      <c r="AZ30" s="8">
        <v>2.8747503576981814</v>
      </c>
      <c r="BA30" s="8">
        <v>2.8882616843793625</v>
      </c>
      <c r="BB30" s="8">
        <v>2.9018365142959452</v>
      </c>
      <c r="BC30" s="8">
        <v>2.9154751459131361</v>
      </c>
      <c r="BD30" s="8">
        <v>2.9291778790989276</v>
      </c>
      <c r="BE30" s="8">
        <v>2.9429450151306922</v>
      </c>
      <c r="BF30" s="8">
        <v>2.956776856701806</v>
      </c>
      <c r="BG30" s="8">
        <v>2.9706737079283041</v>
      </c>
      <c r="BH30" s="8">
        <v>0</v>
      </c>
    </row>
    <row r="31" spans="1:60" ht="15" hidden="1" customHeight="1" outlineLevel="1" x14ac:dyDescent="0.25">
      <c r="A31" s="135">
        <f>C31*1000000/$C$16</f>
        <v>62.852367104738384</v>
      </c>
      <c r="B31" s="139" t="s">
        <v>42</v>
      </c>
      <c r="C31" s="132">
        <f>SUMIF($D$15:$BG$15,1,D31:BG31)</f>
        <v>75.023494310565184</v>
      </c>
      <c r="D31" s="138">
        <f t="shared" ref="D31:AJ31" si="4">NPV($C$8,D30:D30)</f>
        <v>2.1237662087201001</v>
      </c>
      <c r="E31" s="8">
        <f t="shared" si="4"/>
        <v>2.1337479099010843</v>
      </c>
      <c r="F31" s="8">
        <f t="shared" si="4"/>
        <v>2.1437765250776191</v>
      </c>
      <c r="G31" s="8">
        <f t="shared" si="4"/>
        <v>2.1538522747454838</v>
      </c>
      <c r="H31" s="8">
        <f t="shared" si="4"/>
        <v>2.1639753804367872</v>
      </c>
      <c r="I31" s="8">
        <f t="shared" si="4"/>
        <v>2.1741460647248401</v>
      </c>
      <c r="J31" s="8">
        <f t="shared" si="4"/>
        <v>2.1843645512290468</v>
      </c>
      <c r="K31" s="8">
        <f t="shared" si="4"/>
        <v>2.194631064619823</v>
      </c>
      <c r="L31" s="8">
        <f t="shared" si="4"/>
        <v>2.2049458306235361</v>
      </c>
      <c r="M31" s="8">
        <f t="shared" si="4"/>
        <v>2.2153090760274665</v>
      </c>
      <c r="N31" s="8">
        <f t="shared" si="4"/>
        <v>2.2257210286847955</v>
      </c>
      <c r="O31" s="8">
        <f t="shared" si="4"/>
        <v>2.2361819175196143</v>
      </c>
      <c r="P31" s="8">
        <f t="shared" si="4"/>
        <v>2.2466919725319561</v>
      </c>
      <c r="Q31" s="8">
        <f t="shared" si="4"/>
        <v>2.2572514248028561</v>
      </c>
      <c r="R31" s="8">
        <f t="shared" si="4"/>
        <v>2.2678605064994293</v>
      </c>
      <c r="S31" s="8">
        <f t="shared" si="4"/>
        <v>2.2466919725319561</v>
      </c>
      <c r="T31" s="8">
        <f t="shared" si="4"/>
        <v>2.2572514248028561</v>
      </c>
      <c r="U31" s="8">
        <f t="shared" si="4"/>
        <v>2.2678605064994293</v>
      </c>
      <c r="V31" s="8">
        <f t="shared" si="4"/>
        <v>2.2785194508799762</v>
      </c>
      <c r="W31" s="8">
        <f t="shared" si="4"/>
        <v>2.2892284922991122</v>
      </c>
      <c r="X31" s="8">
        <f t="shared" si="4"/>
        <v>2.2999878662129176</v>
      </c>
      <c r="Y31" s="8">
        <f t="shared" si="4"/>
        <v>2.3107978091841184</v>
      </c>
      <c r="Z31" s="8">
        <f t="shared" si="4"/>
        <v>2.3216585588872838</v>
      </c>
      <c r="AA31" s="8">
        <f t="shared" si="4"/>
        <v>2.3325703541140537</v>
      </c>
      <c r="AB31" s="8">
        <f t="shared" si="4"/>
        <v>2.3435334347783896</v>
      </c>
      <c r="AC31" s="8">
        <f t="shared" si="4"/>
        <v>2.3545480419218481</v>
      </c>
      <c r="AD31" s="8">
        <f t="shared" si="4"/>
        <v>2.3656144177188803</v>
      </c>
      <c r="AE31" s="8">
        <f t="shared" si="4"/>
        <v>2.3767328054821593</v>
      </c>
      <c r="AF31" s="8">
        <f t="shared" si="4"/>
        <v>2.3879034496679252</v>
      </c>
      <c r="AG31" s="8">
        <f t="shared" si="4"/>
        <v>2.3991265958813641</v>
      </c>
      <c r="AH31" s="8">
        <f t="shared" si="4"/>
        <v>2.4104024908820065</v>
      </c>
      <c r="AI31" s="8">
        <f t="shared" si="4"/>
        <v>2.4217313825891518</v>
      </c>
      <c r="AJ31" s="8">
        <f t="shared" si="4"/>
        <v>2.4331135200873204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</row>
    <row r="32" spans="1:60" ht="15" hidden="1" customHeight="1" outlineLevel="1" x14ac:dyDescent="0.25">
      <c r="A32" s="135"/>
      <c r="B32" s="1"/>
      <c r="C32" s="132"/>
      <c r="D32" s="13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</row>
    <row r="33" spans="1:60" ht="15" hidden="1" customHeight="1" outlineLevel="1" x14ac:dyDescent="0.25">
      <c r="A33" s="135">
        <f>C33*1000000/$C$16</f>
        <v>429.48683483941915</v>
      </c>
      <c r="B33" s="136" t="s">
        <v>43</v>
      </c>
      <c r="C33" s="137">
        <f>SUMIF($D$15:$BG$15,1,D33:BG33)</f>
        <v>512.65536358150393</v>
      </c>
      <c r="D33" s="138">
        <v>5.5846330852450805</v>
      </c>
      <c r="E33" s="8">
        <v>-7.705240292935521</v>
      </c>
      <c r="F33" s="8">
        <v>-2.0706102409985689</v>
      </c>
      <c r="G33" s="8">
        <v>13.422915030167214</v>
      </c>
      <c r="H33" s="8">
        <v>13.615083352275132</v>
      </c>
      <c r="I33" s="8">
        <v>13.808154865496963</v>
      </c>
      <c r="J33" s="8">
        <v>14.002133814830923</v>
      </c>
      <c r="K33" s="8">
        <v>14.197024465226772</v>
      </c>
      <c r="L33" s="8">
        <v>14.392831101679466</v>
      </c>
      <c r="M33" s="8">
        <v>14.589558029323495</v>
      </c>
      <c r="N33" s="8">
        <v>14.787209573527445</v>
      </c>
      <c r="O33" s="8">
        <v>14.985790079989162</v>
      </c>
      <c r="P33" s="8">
        <v>15.185303914831241</v>
      </c>
      <c r="Q33" s="8">
        <v>15.385755464697088</v>
      </c>
      <c r="R33" s="8">
        <v>15.587149136847298</v>
      </c>
      <c r="S33" s="8">
        <v>15.185303914831241</v>
      </c>
      <c r="T33" s="8">
        <v>15.385755464697088</v>
      </c>
      <c r="U33" s="8">
        <v>15.587149136847298</v>
      </c>
      <c r="V33" s="8">
        <v>15.78948935925661</v>
      </c>
      <c r="W33" s="8">
        <v>15.992780580711244</v>
      </c>
      <c r="X33" s="8">
        <v>16.197027270906727</v>
      </c>
      <c r="Y33" s="8">
        <v>16.402233920546127</v>
      </c>
      <c r="Z33" s="8">
        <v>16.608405041438818</v>
      </c>
      <c r="AA33" s="8">
        <v>16.815545166599716</v>
      </c>
      <c r="AB33" s="8">
        <v>17.023658850348863</v>
      </c>
      <c r="AC33" s="8">
        <v>17.232750668411644</v>
      </c>
      <c r="AD33" s="8">
        <v>17.442825218019319</v>
      </c>
      <c r="AE33" s="8">
        <v>17.653887118010136</v>
      </c>
      <c r="AF33" s="8">
        <v>17.865941008930921</v>
      </c>
      <c r="AG33" s="8">
        <v>18.078991553139037</v>
      </c>
      <c r="AH33" s="8">
        <v>18.293043434904927</v>
      </c>
      <c r="AI33" s="8">
        <v>18.508101360515102</v>
      </c>
      <c r="AJ33" s="8">
        <v>18.724170058375659</v>
      </c>
      <c r="AK33" s="8">
        <v>18.941254279116169</v>
      </c>
      <c r="AL33" s="8">
        <v>19.159358795694143</v>
      </c>
      <c r="AM33" s="8">
        <v>19.37848840350004</v>
      </c>
      <c r="AN33" s="8">
        <v>19.598647920462628</v>
      </c>
      <c r="AO33" s="8">
        <v>19.819842187154936</v>
      </c>
      <c r="AP33" s="8">
        <v>20.042076066900709</v>
      </c>
      <c r="AQ33" s="8">
        <v>20.265354445881268</v>
      </c>
      <c r="AR33" s="8">
        <v>20.489682233243041</v>
      </c>
      <c r="AS33" s="8">
        <v>20.715064361205425</v>
      </c>
      <c r="AT33" s="8">
        <v>20.941505785169216</v>
      </c>
      <c r="AU33" s="8">
        <v>21.169011483825646</v>
      </c>
      <c r="AV33" s="8">
        <v>21.397586459265757</v>
      </c>
      <c r="AW33" s="8">
        <v>21.627235737090441</v>
      </c>
      <c r="AX33" s="8">
        <v>21.8579643665209</v>
      </c>
      <c r="AY33" s="8">
        <v>22.08977742050968</v>
      </c>
      <c r="AZ33" s="8">
        <v>22.322679995852216</v>
      </c>
      <c r="BA33" s="8">
        <v>22.556677213298858</v>
      </c>
      <c r="BB33" s="8">
        <v>22.791774217667491</v>
      </c>
      <c r="BC33" s="8">
        <v>23.027976177956671</v>
      </c>
      <c r="BD33" s="8">
        <v>23.265288287459203</v>
      </c>
      <c r="BE33" s="8">
        <v>23.503715763876389</v>
      </c>
      <c r="BF33" s="8">
        <v>23.743263849432754</v>
      </c>
      <c r="BG33" s="8">
        <v>23.983937810991211</v>
      </c>
      <c r="BH33" s="8">
        <v>0</v>
      </c>
    </row>
    <row r="34" spans="1:60" ht="15" hidden="1" customHeight="1" outlineLevel="1" x14ac:dyDescent="0.25">
      <c r="A34" s="135">
        <f>C34*1000000/$C$16</f>
        <v>362.70650708596594</v>
      </c>
      <c r="B34" s="139" t="s">
        <v>44</v>
      </c>
      <c r="C34" s="132">
        <f>SUMIF($D$15:$BG$15,1,D34:BG34)</f>
        <v>432.94327364668953</v>
      </c>
      <c r="D34" s="138">
        <f t="shared" ref="D34:AJ34" si="5">NPV($C$8,D33:D33)</f>
        <v>5.0949428437077939</v>
      </c>
      <c r="E34" s="8">
        <f t="shared" si="5"/>
        <v>-7.0296039668679429</v>
      </c>
      <c r="F34" s="8">
        <f t="shared" si="5"/>
        <v>-1.8890481556176864</v>
      </c>
      <c r="G34" s="8">
        <f t="shared" si="5"/>
        <v>12.245922665060277</v>
      </c>
      <c r="H34" s="8">
        <f t="shared" si="5"/>
        <v>12.421240649709596</v>
      </c>
      <c r="I34" s="8">
        <f t="shared" si="5"/>
        <v>12.59738262888677</v>
      </c>
      <c r="J34" s="8">
        <f t="shared" si="5"/>
        <v>12.774352475366067</v>
      </c>
      <c r="K34" s="8">
        <f t="shared" si="5"/>
        <v>12.952154080123831</v>
      </c>
      <c r="L34" s="8">
        <f t="shared" si="5"/>
        <v>13.130791352423945</v>
      </c>
      <c r="M34" s="8">
        <f t="shared" si="5"/>
        <v>13.310268219903875</v>
      </c>
      <c r="N34" s="8">
        <f t="shared" si="5"/>
        <v>13.490588628660955</v>
      </c>
      <c r="O34" s="8">
        <f t="shared" si="5"/>
        <v>13.671756543339203</v>
      </c>
      <c r="P34" s="8">
        <f t="shared" si="5"/>
        <v>13.85377594721643</v>
      </c>
      <c r="Q34" s="8">
        <f t="shared" si="5"/>
        <v>14.036650842291889</v>
      </c>
      <c r="R34" s="8">
        <f t="shared" si="5"/>
        <v>14.220385249374198</v>
      </c>
      <c r="S34" s="8">
        <f t="shared" si="5"/>
        <v>13.85377594721643</v>
      </c>
      <c r="T34" s="8">
        <f t="shared" si="5"/>
        <v>14.036650842291889</v>
      </c>
      <c r="U34" s="8">
        <f t="shared" si="5"/>
        <v>14.220385249374198</v>
      </c>
      <c r="V34" s="8">
        <f t="shared" si="5"/>
        <v>14.404983208169789</v>
      </c>
      <c r="W34" s="8">
        <f t="shared" si="5"/>
        <v>14.590448777371718</v>
      </c>
      <c r="X34" s="8">
        <f t="shared" si="5"/>
        <v>14.776786034748907</v>
      </c>
      <c r="Y34" s="8">
        <f t="shared" si="5"/>
        <v>14.963999077235767</v>
      </c>
      <c r="Z34" s="8">
        <f t="shared" si="5"/>
        <v>15.152092021022304</v>
      </c>
      <c r="AA34" s="8">
        <f t="shared" si="5"/>
        <v>15.341069001644646</v>
      </c>
      <c r="AB34" s="8">
        <f t="shared" si="5"/>
        <v>15.530934174075906</v>
      </c>
      <c r="AC34" s="8">
        <f t="shared" si="5"/>
        <v>15.721691712817607</v>
      </c>
      <c r="AD34" s="8">
        <f t="shared" si="5"/>
        <v>15.913345811991393</v>
      </c>
      <c r="AE34" s="8">
        <f t="shared" si="5"/>
        <v>16.10590068543128</v>
      </c>
      <c r="AF34" s="8">
        <f t="shared" si="5"/>
        <v>16.299360566776347</v>
      </c>
      <c r="AG34" s="8">
        <f t="shared" si="5"/>
        <v>16.493729709563738</v>
      </c>
      <c r="AH34" s="8">
        <f t="shared" si="5"/>
        <v>16.689012387322229</v>
      </c>
      <c r="AI34" s="8">
        <f t="shared" si="5"/>
        <v>16.885212893666168</v>
      </c>
      <c r="AJ34" s="8">
        <f t="shared" si="5"/>
        <v>17.082335542389938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</row>
    <row r="35" spans="1:60" ht="15" hidden="1" customHeight="1" outlineLevel="1" x14ac:dyDescent="0.25">
      <c r="A35" s="135"/>
      <c r="B35" s="1"/>
      <c r="C35" s="140"/>
      <c r="D35" s="13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</row>
    <row r="36" spans="1:60" ht="15" hidden="1" customHeight="1" outlineLevel="1" x14ac:dyDescent="0.25">
      <c r="A36" s="135">
        <f>C36*1000000/$C$16</f>
        <v>148.81009179623629</v>
      </c>
      <c r="B36" s="141" t="s">
        <v>45</v>
      </c>
      <c r="C36" s="137">
        <f>SUMIF($D$15:$BG$15,1,D36:BG36)</f>
        <v>177.62661279924896</v>
      </c>
      <c r="D36" s="138">
        <f>IF(D33&gt;0,D33*0.34,0)</f>
        <v>1.8987752489833276</v>
      </c>
      <c r="E36" s="8">
        <f t="shared" ref="E36:BG36" si="6">IF(E33&gt;0,E33*0.34,0)</f>
        <v>0</v>
      </c>
      <c r="F36" s="8">
        <f t="shared" si="6"/>
        <v>0</v>
      </c>
      <c r="G36" s="8">
        <f t="shared" si="6"/>
        <v>4.5637911102568536</v>
      </c>
      <c r="H36" s="8">
        <f t="shared" si="6"/>
        <v>4.629128339773545</v>
      </c>
      <c r="I36" s="8">
        <f t="shared" si="6"/>
        <v>4.6947726542689674</v>
      </c>
      <c r="J36" s="8">
        <f t="shared" si="6"/>
        <v>4.7607254970425146</v>
      </c>
      <c r="K36" s="8">
        <f t="shared" si="6"/>
        <v>4.8269883181771025</v>
      </c>
      <c r="L36" s="8">
        <f t="shared" si="6"/>
        <v>4.8935625745710185</v>
      </c>
      <c r="M36" s="8">
        <f t="shared" si="6"/>
        <v>4.960449729969989</v>
      </c>
      <c r="N36" s="8">
        <f t="shared" si="6"/>
        <v>5.0276512549993315</v>
      </c>
      <c r="O36" s="8">
        <f t="shared" si="6"/>
        <v>5.0951686271963155</v>
      </c>
      <c r="P36" s="8">
        <f>IF(P33&gt;0,P33*0.34,0)</f>
        <v>5.1630033310426224</v>
      </c>
      <c r="Q36" s="8">
        <f>IF(Q33&gt;0,Q33*0.34,0)</f>
        <v>5.2311568579970098</v>
      </c>
      <c r="R36" s="8">
        <f>IF(R33&gt;0,R33*0.34,0)</f>
        <v>5.2996307065280819</v>
      </c>
      <c r="S36" s="8">
        <f t="shared" si="6"/>
        <v>5.1630033310426224</v>
      </c>
      <c r="T36" s="8">
        <f t="shared" si="6"/>
        <v>5.2311568579970098</v>
      </c>
      <c r="U36" s="8">
        <f t="shared" si="6"/>
        <v>5.2996307065280819</v>
      </c>
      <c r="V36" s="8">
        <f t="shared" si="6"/>
        <v>5.3684263821472475</v>
      </c>
      <c r="W36" s="8">
        <f t="shared" si="6"/>
        <v>5.4375453974418235</v>
      </c>
      <c r="X36" s="8">
        <f t="shared" si="6"/>
        <v>5.5069892721082878</v>
      </c>
      <c r="Y36" s="8">
        <f t="shared" si="6"/>
        <v>5.5767595329856841</v>
      </c>
      <c r="Z36" s="8">
        <f t="shared" si="6"/>
        <v>5.6468577140891982</v>
      </c>
      <c r="AA36" s="8">
        <f t="shared" si="6"/>
        <v>5.7172853566439041</v>
      </c>
      <c r="AB36" s="8">
        <f t="shared" si="6"/>
        <v>5.7880440091186136</v>
      </c>
      <c r="AC36" s="8">
        <f t="shared" si="6"/>
        <v>5.8591352272599595</v>
      </c>
      <c r="AD36" s="8">
        <f t="shared" si="6"/>
        <v>5.9305605741265692</v>
      </c>
      <c r="AE36" s="8">
        <f t="shared" si="6"/>
        <v>6.0023216201234471</v>
      </c>
      <c r="AF36" s="8">
        <f t="shared" si="6"/>
        <v>6.0744199430365136</v>
      </c>
      <c r="AG36" s="8">
        <f t="shared" si="6"/>
        <v>6.146857128067273</v>
      </c>
      <c r="AH36" s="8">
        <f t="shared" si="6"/>
        <v>6.2196347678676753</v>
      </c>
      <c r="AI36" s="8">
        <f t="shared" si="6"/>
        <v>6.292754462575135</v>
      </c>
      <c r="AJ36" s="8">
        <f t="shared" si="6"/>
        <v>6.3662178198477246</v>
      </c>
      <c r="AK36" s="8">
        <f t="shared" si="6"/>
        <v>6.4400264548994981</v>
      </c>
      <c r="AL36" s="8">
        <f t="shared" si="6"/>
        <v>6.5141819905360085</v>
      </c>
      <c r="AM36" s="8">
        <f t="shared" si="6"/>
        <v>6.5886860571900137</v>
      </c>
      <c r="AN36" s="8">
        <f t="shared" si="6"/>
        <v>6.6635402929572942</v>
      </c>
      <c r="AO36" s="8">
        <f t="shared" si="6"/>
        <v>6.7387463436326787</v>
      </c>
      <c r="AP36" s="8">
        <f t="shared" si="6"/>
        <v>6.8143058627462416</v>
      </c>
      <c r="AQ36" s="8">
        <f t="shared" si="6"/>
        <v>6.8902205115996313</v>
      </c>
      <c r="AR36" s="8">
        <f t="shared" si="6"/>
        <v>6.9664919593026342</v>
      </c>
      <c r="AS36" s="8">
        <f t="shared" si="6"/>
        <v>7.043121882809845</v>
      </c>
      <c r="AT36" s="8">
        <f t="shared" si="6"/>
        <v>7.1201119669575341</v>
      </c>
      <c r="AU36" s="8">
        <f t="shared" si="6"/>
        <v>7.1974639045007196</v>
      </c>
      <c r="AV36" s="8">
        <f t="shared" si="6"/>
        <v>7.2751793961503575</v>
      </c>
      <c r="AW36" s="8">
        <f t="shared" si="6"/>
        <v>7.3532601506107502</v>
      </c>
      <c r="AX36" s="8">
        <f t="shared" si="6"/>
        <v>7.4317078846171061</v>
      </c>
      <c r="AY36" s="8">
        <f t="shared" si="6"/>
        <v>7.5105243229732919</v>
      </c>
      <c r="AZ36" s="8">
        <f t="shared" si="6"/>
        <v>7.5897111985897538</v>
      </c>
      <c r="BA36" s="8">
        <f t="shared" si="6"/>
        <v>7.6692702525216125</v>
      </c>
      <c r="BB36" s="8">
        <f t="shared" si="6"/>
        <v>7.7492032340069477</v>
      </c>
      <c r="BC36" s="8">
        <f t="shared" si="6"/>
        <v>7.8295119005052687</v>
      </c>
      <c r="BD36" s="8">
        <f t="shared" si="6"/>
        <v>7.9101980177361293</v>
      </c>
      <c r="BE36" s="8">
        <f t="shared" si="6"/>
        <v>7.9912633597179727</v>
      </c>
      <c r="BF36" s="8">
        <f t="shared" si="6"/>
        <v>8.0727097088071371</v>
      </c>
      <c r="BG36" s="8">
        <f t="shared" si="6"/>
        <v>8.1545388557370124</v>
      </c>
      <c r="BH36" s="8">
        <f>BH33*0.34</f>
        <v>0</v>
      </c>
    </row>
    <row r="37" spans="1:60" ht="15" hidden="1" customHeight="1" outlineLevel="1" x14ac:dyDescent="0.25">
      <c r="A37" s="135">
        <f>C37*1000000/$C$16</f>
        <v>125.8606146769086</v>
      </c>
      <c r="B37" s="139" t="s">
        <v>46</v>
      </c>
      <c r="C37" s="132">
        <f>SUMIF($D$15:$BG$15,1,D37:BG37)</f>
        <v>150.23305476151953</v>
      </c>
      <c r="D37" s="138">
        <f t="shared" ref="D37:AJ37" si="7">NPV($C$8,D36:D36)</f>
        <v>1.7322805668606502</v>
      </c>
      <c r="E37" s="8">
        <f t="shared" si="7"/>
        <v>0</v>
      </c>
      <c r="F37" s="8">
        <f t="shared" si="7"/>
        <v>0</v>
      </c>
      <c r="G37" s="8">
        <f t="shared" si="7"/>
        <v>4.1636137061204952</v>
      </c>
      <c r="H37" s="8">
        <f t="shared" si="7"/>
        <v>4.2232218209012622</v>
      </c>
      <c r="I37" s="8">
        <f t="shared" si="7"/>
        <v>4.2831100938215014</v>
      </c>
      <c r="J37" s="8">
        <f t="shared" si="7"/>
        <v>4.3432798416244633</v>
      </c>
      <c r="K37" s="8">
        <f t="shared" si="7"/>
        <v>4.403732387242103</v>
      </c>
      <c r="L37" s="8">
        <f t="shared" si="7"/>
        <v>4.4644690598241414</v>
      </c>
      <c r="M37" s="8">
        <f t="shared" si="7"/>
        <v>4.5254911947673184</v>
      </c>
      <c r="N37" s="8">
        <f t="shared" si="7"/>
        <v>4.5868001337447248</v>
      </c>
      <c r="O37" s="8">
        <f t="shared" si="7"/>
        <v>4.6483972247353291</v>
      </c>
      <c r="P37" s="8">
        <f t="shared" si="7"/>
        <v>4.7102838220535865</v>
      </c>
      <c r="Q37" s="8">
        <f t="shared" si="7"/>
        <v>4.7724612863792419</v>
      </c>
      <c r="R37" s="8">
        <f t="shared" si="7"/>
        <v>4.8349309847872277</v>
      </c>
      <c r="S37" s="8">
        <f t="shared" si="7"/>
        <v>4.7102838220535865</v>
      </c>
      <c r="T37" s="8">
        <f t="shared" si="7"/>
        <v>4.7724612863792419</v>
      </c>
      <c r="U37" s="8">
        <f t="shared" si="7"/>
        <v>4.8349309847872277</v>
      </c>
      <c r="V37" s="8">
        <f t="shared" si="7"/>
        <v>4.8976942907777286</v>
      </c>
      <c r="W37" s="8">
        <f t="shared" si="7"/>
        <v>4.9607525843063849</v>
      </c>
      <c r="X37" s="8">
        <f t="shared" si="7"/>
        <v>5.0241072518146286</v>
      </c>
      <c r="Y37" s="8">
        <f t="shared" si="7"/>
        <v>5.0877596862601617</v>
      </c>
      <c r="Z37" s="8">
        <f t="shared" si="7"/>
        <v>5.1517112871475828</v>
      </c>
      <c r="AA37" s="8">
        <f t="shared" si="7"/>
        <v>5.2159634605591805</v>
      </c>
      <c r="AB37" s="8">
        <f t="shared" si="7"/>
        <v>5.280517619185809</v>
      </c>
      <c r="AC37" s="8">
        <f t="shared" si="7"/>
        <v>5.3453751823579871</v>
      </c>
      <c r="AD37" s="8">
        <f t="shared" si="7"/>
        <v>5.4105375760770738</v>
      </c>
      <c r="AE37" s="8">
        <f t="shared" si="7"/>
        <v>5.4760062330466361</v>
      </c>
      <c r="AF37" s="8">
        <f t="shared" si="7"/>
        <v>5.5417825927039583</v>
      </c>
      <c r="AG37" s="8">
        <f t="shared" si="7"/>
        <v>5.6078681012516718</v>
      </c>
      <c r="AH37" s="8">
        <f t="shared" si="7"/>
        <v>5.6742642116895574</v>
      </c>
      <c r="AI37" s="8">
        <f t="shared" si="7"/>
        <v>5.740972383846497</v>
      </c>
      <c r="AJ37" s="8">
        <f t="shared" si="7"/>
        <v>5.807994084412579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</row>
    <row r="38" spans="1:60" ht="15" hidden="1" customHeight="1" outlineLevel="1" x14ac:dyDescent="0.25">
      <c r="A38" s="135"/>
      <c r="B38" s="1"/>
      <c r="C38" s="132"/>
      <c r="D38" s="13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</row>
    <row r="39" spans="1:60" ht="15" hidden="1" customHeight="1" outlineLevel="1" x14ac:dyDescent="0.25">
      <c r="A39" s="135">
        <f>C39*1000000/$C$16</f>
        <v>280.67674304318291</v>
      </c>
      <c r="B39" s="136" t="s">
        <v>47</v>
      </c>
      <c r="C39" s="137">
        <f>SUMIF($D$15:$BG$15,1,D39:BG39)</f>
        <v>335.02875078225503</v>
      </c>
      <c r="D39" s="138">
        <v>3.6858578362617531</v>
      </c>
      <c r="E39" s="8">
        <v>-7.705240292935521</v>
      </c>
      <c r="F39" s="8">
        <v>-2.0706102409985689</v>
      </c>
      <c r="G39" s="8">
        <v>8.8591239199103615</v>
      </c>
      <c r="H39" s="8">
        <v>8.9859550125015879</v>
      </c>
      <c r="I39" s="8">
        <v>9.1133822112279965</v>
      </c>
      <c r="J39" s="8">
        <v>9.2414083177884105</v>
      </c>
      <c r="K39" s="8">
        <v>9.3700361470496691</v>
      </c>
      <c r="L39" s="8">
        <v>9.4992685271084483</v>
      </c>
      <c r="M39" s="8">
        <v>9.6291082993535078</v>
      </c>
      <c r="N39" s="8">
        <v>9.7595583185281143</v>
      </c>
      <c r="O39" s="8">
        <v>9.890621452792848</v>
      </c>
      <c r="P39" s="8">
        <v>10.022300583788621</v>
      </c>
      <c r="Q39" s="8">
        <v>10.154598606700079</v>
      </c>
      <c r="R39" s="8">
        <v>10.287518430319217</v>
      </c>
      <c r="S39" s="8">
        <v>10.022300583788621</v>
      </c>
      <c r="T39" s="8">
        <v>10.154598606700079</v>
      </c>
      <c r="U39" s="8">
        <v>10.287518430319217</v>
      </c>
      <c r="V39" s="8">
        <v>10.421062977109363</v>
      </c>
      <c r="W39" s="8">
        <v>10.555235183269422</v>
      </c>
      <c r="X39" s="8">
        <v>10.69003799879844</v>
      </c>
      <c r="Y39" s="8">
        <v>10.825474387560444</v>
      </c>
      <c r="Z39" s="8">
        <v>10.961547327349621</v>
      </c>
      <c r="AA39" s="8">
        <v>11.098259809955813</v>
      </c>
      <c r="AB39" s="8">
        <v>11.23561484123025</v>
      </c>
      <c r="AC39" s="8">
        <v>11.373615441151685</v>
      </c>
      <c r="AD39" s="8">
        <v>11.512264643892751</v>
      </c>
      <c r="AE39" s="8">
        <v>11.65156549788669</v>
      </c>
      <c r="AF39" s="8">
        <v>11.791521065894409</v>
      </c>
      <c r="AG39" s="8">
        <v>11.932134425071766</v>
      </c>
      <c r="AH39" s="8">
        <v>12.073408667037253</v>
      </c>
      <c r="AI39" s="8">
        <v>12.215346897939968</v>
      </c>
      <c r="AJ39" s="8">
        <v>12.357952238527936</v>
      </c>
      <c r="AK39" s="8">
        <v>12.501227824216672</v>
      </c>
      <c r="AL39" s="8">
        <v>12.645176805158135</v>
      </c>
      <c r="AM39" s="8">
        <v>12.789802346310026</v>
      </c>
      <c r="AN39" s="8">
        <v>12.935107627505335</v>
      </c>
      <c r="AO39" s="8">
        <v>13.08109584352226</v>
      </c>
      <c r="AP39" s="8">
        <v>13.227770204154469</v>
      </c>
      <c r="AQ39" s="8">
        <v>13.375133934281637</v>
      </c>
      <c r="AR39" s="8">
        <v>13.523190273940408</v>
      </c>
      <c r="AS39" s="8">
        <v>13.671942478395581</v>
      </c>
      <c r="AT39" s="8">
        <v>13.821393818211684</v>
      </c>
      <c r="AU39" s="8">
        <v>13.971547579324927</v>
      </c>
      <c r="AV39" s="8">
        <v>14.1224070631154</v>
      </c>
      <c r="AW39" s="8">
        <v>14.273975586479692</v>
      </c>
      <c r="AX39" s="8">
        <v>14.426256481903794</v>
      </c>
      <c r="AY39" s="8">
        <v>14.579253097536389</v>
      </c>
      <c r="AZ39" s="8">
        <v>14.732968797262464</v>
      </c>
      <c r="BA39" s="8">
        <v>14.887406960777247</v>
      </c>
      <c r="BB39" s="8">
        <v>15.042570983660545</v>
      </c>
      <c r="BC39" s="8">
        <v>15.198464277451404</v>
      </c>
      <c r="BD39" s="8">
        <v>15.355090269723075</v>
      </c>
      <c r="BE39" s="8">
        <v>15.512452404158418</v>
      </c>
      <c r="BF39" s="8">
        <v>15.670554140625619</v>
      </c>
      <c r="BG39" s="8">
        <v>15.8293989552542</v>
      </c>
      <c r="BH39" s="8">
        <v>0</v>
      </c>
    </row>
    <row r="40" spans="1:60" ht="15" hidden="1" customHeight="1" outlineLevel="1" x14ac:dyDescent="0.25">
      <c r="A40" s="135">
        <f>C40*1000000/$C$16</f>
        <v>246.40069440728021</v>
      </c>
      <c r="B40" s="139" t="s">
        <v>48</v>
      </c>
      <c r="C40" s="132">
        <f>SUMIF($D$15:$BG$15,1,D40:BG40)</f>
        <v>294.11527276576135</v>
      </c>
      <c r="D40" s="138">
        <f t="shared" ref="D40:AK40" si="8">NPV($C$8,D39:D39)</f>
        <v>3.3626622768471441</v>
      </c>
      <c r="E40" s="8">
        <f t="shared" si="8"/>
        <v>-7.0296039668679429</v>
      </c>
      <c r="F40" s="8">
        <f t="shared" si="8"/>
        <v>-1.8890481556176864</v>
      </c>
      <c r="G40" s="8">
        <f t="shared" si="8"/>
        <v>8.0823089589397838</v>
      </c>
      <c r="H40" s="8">
        <f t="shared" si="8"/>
        <v>8.1980188288083333</v>
      </c>
      <c r="I40" s="8">
        <f t="shared" si="8"/>
        <v>8.3142725350652693</v>
      </c>
      <c r="J40" s="8">
        <f t="shared" si="8"/>
        <v>8.4310726337416053</v>
      </c>
      <c r="K40" s="8">
        <f t="shared" si="8"/>
        <v>8.5484216928817283</v>
      </c>
      <c r="L40" s="8">
        <f t="shared" si="8"/>
        <v>8.6663222925998049</v>
      </c>
      <c r="M40" s="8">
        <f t="shared" si="8"/>
        <v>8.7847770251365578</v>
      </c>
      <c r="N40" s="8">
        <f t="shared" si="8"/>
        <v>8.9037884949162311</v>
      </c>
      <c r="O40" s="8">
        <f t="shared" si="8"/>
        <v>9.023359318603875</v>
      </c>
      <c r="P40" s="8">
        <f t="shared" si="8"/>
        <v>9.1434921251628456</v>
      </c>
      <c r="Q40" s="8">
        <f t="shared" si="8"/>
        <v>9.2641895559126475</v>
      </c>
      <c r="R40" s="8">
        <f t="shared" si="8"/>
        <v>9.3854542645869703</v>
      </c>
      <c r="S40" s="8">
        <f t="shared" si="8"/>
        <v>9.1434921251628456</v>
      </c>
      <c r="T40" s="8">
        <f t="shared" si="8"/>
        <v>9.2641895559126475</v>
      </c>
      <c r="U40" s="8">
        <f t="shared" si="8"/>
        <v>9.3854542645869703</v>
      </c>
      <c r="V40" s="8">
        <f t="shared" si="8"/>
        <v>9.5072889173920618</v>
      </c>
      <c r="W40" s="8">
        <f t="shared" si="8"/>
        <v>9.6296961930653353</v>
      </c>
      <c r="X40" s="8">
        <f t="shared" si="8"/>
        <v>9.7526787829342787</v>
      </c>
      <c r="Y40" s="8">
        <f t="shared" si="8"/>
        <v>9.8762393909756074</v>
      </c>
      <c r="Z40" s="8">
        <f t="shared" si="8"/>
        <v>10.000380733874721</v>
      </c>
      <c r="AA40" s="8">
        <f t="shared" si="8"/>
        <v>10.125105541085468</v>
      </c>
      <c r="AB40" s="8">
        <f t="shared" si="8"/>
        <v>10.2504165548901</v>
      </c>
      <c r="AC40" s="8">
        <f t="shared" si="8"/>
        <v>10.37631653045962</v>
      </c>
      <c r="AD40" s="8">
        <f t="shared" si="8"/>
        <v>10.502808235914319</v>
      </c>
      <c r="AE40" s="8">
        <f t="shared" si="8"/>
        <v>10.629894452384645</v>
      </c>
      <c r="AF40" s="8">
        <f t="shared" si="8"/>
        <v>10.75757797407239</v>
      </c>
      <c r="AG40" s="8">
        <f t="shared" si="8"/>
        <v>10.885861608312069</v>
      </c>
      <c r="AH40" s="8">
        <f t="shared" si="8"/>
        <v>11.01474817563267</v>
      </c>
      <c r="AI40" s="8">
        <f t="shared" si="8"/>
        <v>11.144240509819671</v>
      </c>
      <c r="AJ40" s="8">
        <f t="shared" si="8"/>
        <v>11.274341457977359</v>
      </c>
      <c r="AK40" s="8">
        <f t="shared" si="8"/>
        <v>11.405053880591392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</row>
    <row r="41" spans="1:60" ht="15" hidden="1" customHeight="1" outlineLevel="1" x14ac:dyDescent="0.25">
      <c r="A41" s="105"/>
      <c r="B41" s="1"/>
      <c r="C41" s="132"/>
      <c r="D41" s="13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</row>
    <row r="42" spans="1:60" ht="15" hidden="1" customHeight="1" outlineLevel="1" x14ac:dyDescent="0.25">
      <c r="A42" s="135">
        <f>A24+A27+A30</f>
        <v>1271.0716551379091</v>
      </c>
      <c r="B42" s="104" t="s">
        <v>49</v>
      </c>
      <c r="C42" s="132"/>
      <c r="D42" s="138">
        <v>3.6858578362617531</v>
      </c>
      <c r="E42" s="8">
        <v>-4.0193824566737675</v>
      </c>
      <c r="F42" s="8">
        <v>-6.0899926976723364</v>
      </c>
      <c r="G42" s="8">
        <v>2.7691312222380251</v>
      </c>
      <c r="H42" s="8">
        <v>11.755086234739613</v>
      </c>
      <c r="I42" s="8">
        <v>20.868468445967608</v>
      </c>
      <c r="J42" s="8">
        <v>30.10987676375602</v>
      </c>
      <c r="K42" s="8">
        <v>39.479912910805687</v>
      </c>
      <c r="L42" s="8">
        <v>48.979181437914136</v>
      </c>
      <c r="M42" s="8">
        <v>58.60828973726764</v>
      </c>
      <c r="N42" s="8">
        <v>68.367848055795747</v>
      </c>
      <c r="O42" s="8">
        <v>78.25846950858859</v>
      </c>
      <c r="P42" s="8">
        <v>88.28077009237721</v>
      </c>
      <c r="Q42" s="8">
        <v>98.435368699077287</v>
      </c>
      <c r="R42" s="8">
        <v>108.7228871293965</v>
      </c>
      <c r="S42" s="8">
        <v>88.28077009237721</v>
      </c>
      <c r="T42" s="8">
        <v>98.435368699077287</v>
      </c>
      <c r="U42" s="8">
        <v>108.7228871293965</v>
      </c>
      <c r="V42" s="8">
        <v>119.14395010650586</v>
      </c>
      <c r="W42" s="8">
        <v>129.69918528977527</v>
      </c>
      <c r="X42" s="8">
        <v>140.3892232885737</v>
      </c>
      <c r="Y42" s="8">
        <v>151.21469767613414</v>
      </c>
      <c r="Z42" s="8">
        <v>162.17624500348376</v>
      </c>
      <c r="AA42" s="8">
        <v>173.27450481343956</v>
      </c>
      <c r="AB42" s="8">
        <v>184.51011965466981</v>
      </c>
      <c r="AC42" s="8">
        <v>195.88373509582149</v>
      </c>
      <c r="AD42" s="8">
        <v>207.39599973971426</v>
      </c>
      <c r="AE42" s="8">
        <v>219.04756523760094</v>
      </c>
      <c r="AF42" s="8">
        <v>230.83908630349535</v>
      </c>
      <c r="AG42" s="8">
        <v>242.77122072856713</v>
      </c>
      <c r="AH42" s="8">
        <v>254.84462939560439</v>
      </c>
      <c r="AI42" s="8">
        <v>267.05997629354437</v>
      </c>
      <c r="AJ42" s="8">
        <v>279.41792853207232</v>
      </c>
      <c r="AK42" s="8">
        <v>291.91915635628902</v>
      </c>
      <c r="AL42" s="8">
        <v>304.56433316144717</v>
      </c>
      <c r="AM42" s="8">
        <v>317.35413550775718</v>
      </c>
      <c r="AN42" s="8">
        <v>330.2892431352625</v>
      </c>
      <c r="AO42" s="8">
        <v>343.37033897878473</v>
      </c>
      <c r="AP42" s="8">
        <v>356.5981091829392</v>
      </c>
      <c r="AQ42" s="8">
        <v>369.97324311722082</v>
      </c>
      <c r="AR42" s="8">
        <v>383.49643339116125</v>
      </c>
      <c r="AS42" s="8">
        <v>397.16837586955683</v>
      </c>
      <c r="AT42" s="8">
        <v>410.9897696877685</v>
      </c>
      <c r="AU42" s="8">
        <v>424.96131726709342</v>
      </c>
      <c r="AV42" s="8">
        <v>439.08372433020884</v>
      </c>
      <c r="AW42" s="8">
        <v>453.35769991668855</v>
      </c>
      <c r="AX42" s="8">
        <v>467.78395639859235</v>
      </c>
      <c r="AY42" s="8">
        <v>482.36320949612872</v>
      </c>
      <c r="AZ42" s="8">
        <v>497.09617829339118</v>
      </c>
      <c r="BA42" s="8">
        <v>511.98358525416842</v>
      </c>
      <c r="BB42" s="8">
        <v>527.02615623782901</v>
      </c>
      <c r="BC42" s="8">
        <v>542.22462051528044</v>
      </c>
      <c r="BD42" s="8">
        <v>557.5797107850035</v>
      </c>
      <c r="BE42" s="8">
        <v>573.09216318916197</v>
      </c>
      <c r="BF42" s="8">
        <v>588.76271732978762</v>
      </c>
      <c r="BG42" s="8">
        <v>604.59211628504181</v>
      </c>
      <c r="BH42" s="8">
        <v>0</v>
      </c>
    </row>
    <row r="43" spans="1:60" ht="15" hidden="1" customHeight="1" outlineLevel="1" x14ac:dyDescent="0.25">
      <c r="A43" s="135">
        <f>A18+A21+A36</f>
        <v>990.39491209472624</v>
      </c>
      <c r="B43" s="104" t="s">
        <v>50</v>
      </c>
      <c r="C43" s="140">
        <v>35</v>
      </c>
      <c r="D43" s="127" t="s">
        <v>3</v>
      </c>
    </row>
    <row r="44" spans="1:60" ht="15" hidden="1" customHeight="1" outlineLevel="1" x14ac:dyDescent="0.25">
      <c r="A44" s="135">
        <f>A42-A43</f>
        <v>280.67674304318291</v>
      </c>
      <c r="B44" s="104" t="s">
        <v>30</v>
      </c>
      <c r="C44" s="1"/>
      <c r="F44" s="142"/>
      <c r="G44" s="142"/>
    </row>
    <row r="45" spans="1:60" ht="15" hidden="1" customHeight="1" outlineLevel="1" x14ac:dyDescent="0.25">
      <c r="A45" s="135"/>
      <c r="B45" s="104" t="s">
        <v>397</v>
      </c>
      <c r="C45" s="17">
        <v>160</v>
      </c>
      <c r="D45" s="1" t="s">
        <v>8</v>
      </c>
      <c r="F45" s="142"/>
      <c r="G45" s="142"/>
    </row>
    <row r="46" spans="1:60" ht="15" hidden="1" customHeight="1" outlineLevel="1" x14ac:dyDescent="0.25">
      <c r="B46" s="143" t="s">
        <v>51</v>
      </c>
      <c r="C46" s="137">
        <f>F46*$C$16/1000000</f>
        <v>1429.6041300410916</v>
      </c>
      <c r="D46" s="144" t="s">
        <v>52</v>
      </c>
      <c r="E46" s="144"/>
      <c r="F46" s="145">
        <f>A27</f>
        <v>1197.6781996295147</v>
      </c>
      <c r="G46" s="144" t="s">
        <v>8</v>
      </c>
      <c r="H46" s="144"/>
    </row>
    <row r="47" spans="1:60" ht="15" hidden="1" customHeight="1" outlineLevel="1" x14ac:dyDescent="0.25">
      <c r="B47" s="146" t="s">
        <v>53</v>
      </c>
      <c r="C47" s="147">
        <f>F47*$C$16/1000000</f>
        <v>0</v>
      </c>
      <c r="D47" s="148" t="s">
        <v>52</v>
      </c>
      <c r="E47" s="148"/>
      <c r="F47" s="149">
        <f>A24</f>
        <v>0</v>
      </c>
      <c r="G47" s="148" t="s">
        <v>8</v>
      </c>
      <c r="H47" s="148"/>
    </row>
    <row r="48" spans="1:60" ht="15" hidden="1" customHeight="1" outlineLevel="1" thickBot="1" x14ac:dyDescent="0.3">
      <c r="B48" s="143" t="s">
        <v>54</v>
      </c>
      <c r="C48" s="137">
        <f>F48*$C$16/1000000</f>
        <v>87.605825292006244</v>
      </c>
      <c r="D48" s="144" t="s">
        <v>52</v>
      </c>
      <c r="E48" s="144"/>
      <c r="F48" s="145">
        <f>A30</f>
        <v>73.393455508394453</v>
      </c>
      <c r="G48" s="144" t="s">
        <v>8</v>
      </c>
      <c r="H48" s="144"/>
    </row>
    <row r="49" spans="1:8" s="118" customFormat="1" ht="15" hidden="1" customHeight="1" outlineLevel="1" thickTop="1" x14ac:dyDescent="0.25">
      <c r="B49" s="150" t="s">
        <v>55</v>
      </c>
      <c r="C49" s="151">
        <f>C46+C47+C48</f>
        <v>1517.2099553330979</v>
      </c>
      <c r="D49" s="152" t="s">
        <v>52</v>
      </c>
      <c r="E49" s="152"/>
      <c r="F49" s="153">
        <f>F46+F47+F48</f>
        <v>1271.0716551379091</v>
      </c>
      <c r="G49" s="152" t="s">
        <v>8</v>
      </c>
      <c r="H49" s="152"/>
    </row>
    <row r="50" spans="1:8" ht="15" hidden="1" customHeight="1" outlineLevel="1" x14ac:dyDescent="0.25">
      <c r="B50" s="146" t="s">
        <v>56</v>
      </c>
      <c r="C50" s="147">
        <f>F50*$C$16/1000000</f>
        <v>1004.5545917515941</v>
      </c>
      <c r="D50" s="148" t="s">
        <v>52</v>
      </c>
      <c r="E50" s="148"/>
      <c r="F50" s="149">
        <f>A18+A21</f>
        <v>841.58482029848994</v>
      </c>
      <c r="G50" s="148" t="s">
        <v>8</v>
      </c>
      <c r="H50" s="148"/>
    </row>
    <row r="51" spans="1:8" ht="15" hidden="1" customHeight="1" outlineLevel="1" x14ac:dyDescent="0.25">
      <c r="B51" s="143" t="s">
        <v>57</v>
      </c>
      <c r="C51" s="154">
        <f>F51*$C$16/1000000</f>
        <v>177.62661279924896</v>
      </c>
      <c r="D51" s="144" t="s">
        <v>52</v>
      </c>
      <c r="E51" s="144"/>
      <c r="F51" s="155">
        <f>A36</f>
        <v>148.81009179623629</v>
      </c>
      <c r="G51" s="144" t="s">
        <v>8</v>
      </c>
      <c r="H51" s="144"/>
    </row>
    <row r="52" spans="1:8" s="127" customFormat="1" ht="15" hidden="1" customHeight="1" outlineLevel="1" thickBot="1" x14ac:dyDescent="0.3">
      <c r="B52" s="156"/>
      <c r="C52" s="157"/>
      <c r="D52" s="158"/>
      <c r="E52" s="158"/>
      <c r="F52" s="158"/>
      <c r="G52" s="158"/>
      <c r="H52" s="158"/>
    </row>
    <row r="53" spans="1:8" s="131" customFormat="1" ht="15" hidden="1" customHeight="1" outlineLevel="1" thickTop="1" x14ac:dyDescent="0.25">
      <c r="B53" s="159" t="s">
        <v>58</v>
      </c>
      <c r="C53" s="160">
        <f>C49-C50-C51</f>
        <v>335.02875078225486</v>
      </c>
      <c r="D53" s="161" t="s">
        <v>52</v>
      </c>
      <c r="E53" s="161"/>
      <c r="F53" s="162">
        <f>F49-F50-F51</f>
        <v>280.67674304318291</v>
      </c>
      <c r="G53" s="161" t="s">
        <v>8</v>
      </c>
      <c r="H53" s="161"/>
    </row>
    <row r="54" spans="1:8" ht="15" customHeight="1" thickTop="1" thickBot="1" x14ac:dyDescent="0.3">
      <c r="A54" s="135"/>
      <c r="C54" s="17"/>
      <c r="F54" s="142"/>
      <c r="G54" s="142"/>
    </row>
    <row r="55" spans="1:8" s="163" customFormat="1" ht="25.15" customHeight="1" collapsed="1" thickTop="1" thickBot="1" x14ac:dyDescent="0.3">
      <c r="B55" s="789" t="s">
        <v>59</v>
      </c>
      <c r="C55" s="790"/>
      <c r="D55" s="790"/>
      <c r="E55" s="790"/>
      <c r="F55" s="790"/>
      <c r="G55" s="790"/>
      <c r="H55" s="791"/>
    </row>
    <row r="56" spans="1:8" s="127" customFormat="1" ht="15" hidden="1" customHeight="1" outlineLevel="1" thickTop="1" x14ac:dyDescent="0.25">
      <c r="B56" s="164"/>
      <c r="C56" s="165"/>
      <c r="D56" s="166"/>
      <c r="E56" s="166"/>
      <c r="F56" s="167"/>
      <c r="G56" s="166"/>
      <c r="H56" s="18"/>
    </row>
    <row r="57" spans="1:8" s="131" customFormat="1" ht="15" hidden="1" customHeight="1" outlineLevel="1" x14ac:dyDescent="0.25">
      <c r="B57" s="168" t="s">
        <v>60</v>
      </c>
      <c r="C57" s="169">
        <f>C58*C59</f>
        <v>4790648.1824426781</v>
      </c>
      <c r="D57" s="170" t="s">
        <v>9</v>
      </c>
      <c r="E57" s="170"/>
      <c r="F57" s="171">
        <v>151.0391659491757</v>
      </c>
      <c r="G57" s="170" t="s">
        <v>8</v>
      </c>
      <c r="H57" s="19">
        <f>F57/$F$99</f>
        <v>0.16502839540265457</v>
      </c>
    </row>
    <row r="58" spans="1:8" s="127" customFormat="1" ht="15" hidden="1" customHeight="1" outlineLevel="1" x14ac:dyDescent="0.25">
      <c r="B58" s="172" t="s">
        <v>61</v>
      </c>
      <c r="C58" s="173">
        <v>25880.236824</v>
      </c>
      <c r="D58" s="166" t="s">
        <v>5</v>
      </c>
      <c r="E58" s="166"/>
      <c r="F58" s="167"/>
      <c r="G58" s="166"/>
      <c r="H58" s="18"/>
    </row>
    <row r="59" spans="1:8" s="127" customFormat="1" ht="15" hidden="1" customHeight="1" outlineLevel="1" x14ac:dyDescent="0.25">
      <c r="B59" s="174" t="s">
        <v>62</v>
      </c>
      <c r="C59" s="175">
        <v>185.10835951856814</v>
      </c>
      <c r="D59" s="176" t="s">
        <v>8</v>
      </c>
      <c r="E59" s="176"/>
      <c r="F59" s="177"/>
      <c r="G59" s="176"/>
      <c r="H59" s="20"/>
    </row>
    <row r="60" spans="1:8" s="127" customFormat="1" ht="15" hidden="1" customHeight="1" outlineLevel="1" x14ac:dyDescent="0.25">
      <c r="B60" s="178"/>
      <c r="C60" s="179"/>
      <c r="D60" s="180"/>
      <c r="E60" s="180"/>
      <c r="F60" s="181"/>
      <c r="G60" s="180"/>
      <c r="H60" s="21"/>
    </row>
    <row r="61" spans="1:8" s="131" customFormat="1" ht="15" hidden="1" customHeight="1" outlineLevel="1" x14ac:dyDescent="0.25">
      <c r="B61" s="143" t="s">
        <v>63</v>
      </c>
      <c r="C61" s="182">
        <f>IF(C68="Sim",(C62*C71+C63*C72+C64*C73+C65*C74+C66*C76+C67*C75)*C69*((1-C93)+(1-C70)*(1-C89)),0)</f>
        <v>2655392.0435663396</v>
      </c>
      <c r="D61" s="183" t="s">
        <v>9</v>
      </c>
      <c r="E61" s="183"/>
      <c r="F61" s="184">
        <v>83.718984207234897</v>
      </c>
      <c r="G61" s="183" t="s">
        <v>8</v>
      </c>
      <c r="H61" s="22">
        <f>F61/$F$99</f>
        <v>9.1473026493732151E-2</v>
      </c>
    </row>
    <row r="62" spans="1:8" s="127" customFormat="1" ht="15" hidden="1" customHeight="1" outlineLevel="1" x14ac:dyDescent="0.25">
      <c r="B62" s="185" t="s">
        <v>414</v>
      </c>
      <c r="C62" s="186">
        <v>1126.2160567302833</v>
      </c>
      <c r="D62" s="180" t="s">
        <v>5</v>
      </c>
      <c r="E62" s="180"/>
      <c r="F62" s="181"/>
      <c r="G62" s="180"/>
      <c r="H62" s="21"/>
    </row>
    <row r="63" spans="1:8" s="127" customFormat="1" ht="15" hidden="1" customHeight="1" outlineLevel="1" x14ac:dyDescent="0.25">
      <c r="B63" s="172" t="s">
        <v>415</v>
      </c>
      <c r="C63" s="173">
        <v>765.13915304576494</v>
      </c>
      <c r="D63" s="166" t="s">
        <v>5</v>
      </c>
      <c r="E63" s="166"/>
      <c r="F63" s="167"/>
      <c r="G63" s="166"/>
      <c r="H63" s="18"/>
    </row>
    <row r="64" spans="1:8" s="127" customFormat="1" ht="15" hidden="1" customHeight="1" outlineLevel="1" x14ac:dyDescent="0.25">
      <c r="B64" s="172" t="s">
        <v>416</v>
      </c>
      <c r="C64" s="173">
        <v>395.46518022590095</v>
      </c>
      <c r="D64" s="166" t="s">
        <v>5</v>
      </c>
      <c r="E64" s="166"/>
      <c r="F64" s="167"/>
      <c r="G64" s="166"/>
      <c r="H64" s="18"/>
    </row>
    <row r="65" spans="2:8" s="127" customFormat="1" ht="15" hidden="1" customHeight="1" outlineLevel="1" x14ac:dyDescent="0.25">
      <c r="B65" s="172" t="s">
        <v>417</v>
      </c>
      <c r="C65" s="173">
        <v>206.32965924829614</v>
      </c>
      <c r="D65" s="166" t="s">
        <v>5</v>
      </c>
      <c r="E65" s="166"/>
      <c r="F65" s="167"/>
      <c r="G65" s="166"/>
      <c r="H65" s="18"/>
    </row>
    <row r="66" spans="2:8" s="127" customFormat="1" ht="15" hidden="1" customHeight="1" outlineLevel="1" x14ac:dyDescent="0.25">
      <c r="B66" s="172" t="s">
        <v>418</v>
      </c>
      <c r="C66" s="173">
        <v>90.004172381314461</v>
      </c>
      <c r="D66" s="166" t="s">
        <v>5</v>
      </c>
      <c r="E66" s="166"/>
      <c r="F66" s="167"/>
      <c r="G66" s="166"/>
      <c r="H66" s="18"/>
    </row>
    <row r="67" spans="2:8" s="127" customFormat="1" ht="15" hidden="1" customHeight="1" outlineLevel="1" x14ac:dyDescent="0.25">
      <c r="B67" s="172" t="s">
        <v>419</v>
      </c>
      <c r="C67" s="173">
        <v>345.01599412837214</v>
      </c>
      <c r="D67" s="166" t="s">
        <v>5</v>
      </c>
      <c r="E67" s="166"/>
      <c r="F67" s="167"/>
      <c r="G67" s="166"/>
      <c r="H67" s="18"/>
    </row>
    <row r="68" spans="2:8" s="127" customFormat="1" ht="15" hidden="1" customHeight="1" outlineLevel="1" x14ac:dyDescent="0.25">
      <c r="B68" s="172" t="s">
        <v>420</v>
      </c>
      <c r="C68" s="173" t="s">
        <v>122</v>
      </c>
      <c r="D68" s="166" t="s">
        <v>64</v>
      </c>
      <c r="E68" s="166"/>
      <c r="F68" s="167"/>
      <c r="G68" s="166"/>
      <c r="H68" s="18"/>
    </row>
    <row r="69" spans="2:8" s="127" customFormat="1" ht="15" hidden="1" customHeight="1" outlineLevel="1" x14ac:dyDescent="0.25">
      <c r="B69" s="172" t="s">
        <v>203</v>
      </c>
      <c r="C69" s="23">
        <v>1</v>
      </c>
      <c r="D69" s="166" t="s">
        <v>1</v>
      </c>
      <c r="E69" s="166"/>
      <c r="F69" s="167"/>
      <c r="G69" s="166"/>
      <c r="H69" s="18"/>
    </row>
    <row r="70" spans="2:8" s="127" customFormat="1" ht="15" hidden="1" customHeight="1" outlineLevel="1" x14ac:dyDescent="0.25">
      <c r="B70" s="172" t="s">
        <v>421</v>
      </c>
      <c r="C70" s="23">
        <v>0.25</v>
      </c>
      <c r="D70" s="166" t="s">
        <v>1</v>
      </c>
      <c r="E70" s="166"/>
      <c r="F70" s="167"/>
      <c r="G70" s="166"/>
      <c r="H70" s="18"/>
    </row>
    <row r="71" spans="2:8" s="127" customFormat="1" ht="15" hidden="1" customHeight="1" outlineLevel="1" x14ac:dyDescent="0.25">
      <c r="B71" s="172" t="s">
        <v>422</v>
      </c>
      <c r="C71" s="173">
        <v>300</v>
      </c>
      <c r="D71" s="166" t="s">
        <v>8</v>
      </c>
      <c r="E71" s="166"/>
      <c r="F71" s="167"/>
      <c r="G71" s="166"/>
      <c r="H71" s="18"/>
    </row>
    <row r="72" spans="2:8" s="127" customFormat="1" ht="15" hidden="1" customHeight="1" outlineLevel="1" x14ac:dyDescent="0.25">
      <c r="B72" s="172" t="s">
        <v>423</v>
      </c>
      <c r="C72" s="173">
        <v>750</v>
      </c>
      <c r="D72" s="166" t="s">
        <v>8</v>
      </c>
      <c r="E72" s="166"/>
      <c r="F72" s="167"/>
      <c r="G72" s="166"/>
      <c r="H72" s="18"/>
    </row>
    <row r="73" spans="2:8" s="127" customFormat="1" ht="15" hidden="1" customHeight="1" outlineLevel="1" x14ac:dyDescent="0.25">
      <c r="B73" s="172" t="s">
        <v>424</v>
      </c>
      <c r="C73" s="173">
        <v>1250</v>
      </c>
      <c r="D73" s="166" t="s">
        <v>8</v>
      </c>
      <c r="E73" s="166"/>
      <c r="F73" s="167"/>
      <c r="G73" s="166"/>
      <c r="H73" s="18"/>
    </row>
    <row r="74" spans="2:8" s="127" customFormat="1" ht="15" hidden="1" customHeight="1" outlineLevel="1" x14ac:dyDescent="0.25">
      <c r="B74" s="172" t="s">
        <v>425</v>
      </c>
      <c r="C74" s="173">
        <v>50</v>
      </c>
      <c r="D74" s="166" t="s">
        <v>8</v>
      </c>
      <c r="E74" s="166"/>
      <c r="F74" s="167"/>
      <c r="G74" s="166"/>
      <c r="H74" s="18"/>
    </row>
    <row r="75" spans="2:8" s="127" customFormat="1" ht="15" hidden="1" customHeight="1" outlineLevel="1" x14ac:dyDescent="0.25">
      <c r="B75" s="172" t="s">
        <v>426</v>
      </c>
      <c r="C75" s="173">
        <v>570</v>
      </c>
      <c r="D75" s="166" t="s">
        <v>8</v>
      </c>
      <c r="E75" s="166"/>
      <c r="F75" s="167"/>
      <c r="G75" s="166"/>
      <c r="H75" s="18"/>
    </row>
    <row r="76" spans="2:8" s="127" customFormat="1" ht="15" hidden="1" customHeight="1" outlineLevel="1" x14ac:dyDescent="0.25">
      <c r="B76" s="172" t="s">
        <v>427</v>
      </c>
      <c r="C76" s="173">
        <v>900</v>
      </c>
      <c r="D76" s="166" t="s">
        <v>8</v>
      </c>
      <c r="E76" s="166"/>
      <c r="F76" s="167"/>
      <c r="G76" s="166"/>
      <c r="H76" s="18"/>
    </row>
    <row r="77" spans="2:8" s="127" customFormat="1" ht="15" hidden="1" customHeight="1" outlineLevel="1" x14ac:dyDescent="0.25">
      <c r="B77" s="164"/>
      <c r="C77" s="165"/>
      <c r="D77" s="166"/>
      <c r="E77" s="166"/>
      <c r="F77" s="167"/>
      <c r="G77" s="166"/>
      <c r="H77" s="18"/>
    </row>
    <row r="78" spans="2:8" ht="15" hidden="1" customHeight="1" outlineLevel="1" x14ac:dyDescent="0.25">
      <c r="B78" s="143" t="s">
        <v>65</v>
      </c>
      <c r="C78" s="182">
        <v>4170308.3246057313</v>
      </c>
      <c r="D78" s="144" t="s">
        <v>9</v>
      </c>
      <c r="E78" s="144"/>
      <c r="F78" s="155">
        <v>131.48114140541787</v>
      </c>
      <c r="G78" s="144" t="s">
        <v>8</v>
      </c>
      <c r="H78" s="24">
        <f>F78/$F$99</f>
        <v>0.14365890896899552</v>
      </c>
    </row>
    <row r="79" spans="2:8" ht="15" hidden="1" customHeight="1" outlineLevel="1" x14ac:dyDescent="0.25">
      <c r="B79" s="143" t="s">
        <v>66</v>
      </c>
      <c r="C79" s="182">
        <v>5838431.6544480231</v>
      </c>
      <c r="D79" s="144" t="s">
        <v>9</v>
      </c>
      <c r="E79" s="144"/>
      <c r="F79" s="155">
        <v>184.07359796758499</v>
      </c>
      <c r="G79" s="144" t="s">
        <v>8</v>
      </c>
      <c r="H79" s="24">
        <f>F79/$F$99</f>
        <v>0.20112247255659368</v>
      </c>
    </row>
    <row r="80" spans="2:8" s="127" customFormat="1" ht="15" hidden="1" customHeight="1" outlineLevel="1" x14ac:dyDescent="0.25">
      <c r="B80" s="164"/>
      <c r="C80" s="165"/>
      <c r="D80" s="166"/>
      <c r="E80" s="166"/>
      <c r="F80" s="167"/>
      <c r="G80" s="166"/>
      <c r="H80" s="18"/>
    </row>
    <row r="81" spans="2:8" ht="15" hidden="1" customHeight="1" outlineLevel="1" x14ac:dyDescent="0.25">
      <c r="B81" s="187" t="s">
        <v>67</v>
      </c>
      <c r="C81" s="188">
        <f>(C82*C83+C84*C85)*C86</f>
        <v>2350772.5406374219</v>
      </c>
      <c r="D81" s="189" t="s">
        <v>9</v>
      </c>
      <c r="E81" s="189"/>
      <c r="F81" s="190">
        <v>74.114965314163797</v>
      </c>
      <c r="G81" s="189" t="s">
        <v>8</v>
      </c>
      <c r="H81" s="25">
        <f>F81/$F$99</f>
        <v>8.0979484521488801E-2</v>
      </c>
    </row>
    <row r="82" spans="2:8" ht="15" hidden="1" customHeight="1" outlineLevel="1" x14ac:dyDescent="0.25">
      <c r="B82" s="191" t="s">
        <v>68</v>
      </c>
      <c r="C82" s="192">
        <v>31717.919999999998</v>
      </c>
      <c r="D82" s="127" t="s">
        <v>5</v>
      </c>
      <c r="E82" s="127"/>
      <c r="F82" s="193"/>
      <c r="G82" s="127"/>
      <c r="H82" s="26"/>
    </row>
    <row r="83" spans="2:8" ht="15" hidden="1" customHeight="1" outlineLevel="1" x14ac:dyDescent="0.25">
      <c r="B83" s="191" t="s">
        <v>69</v>
      </c>
      <c r="C83" s="192">
        <v>1396.7092707049733</v>
      </c>
      <c r="D83" s="127" t="s">
        <v>8</v>
      </c>
      <c r="E83" s="127"/>
      <c r="F83" s="193"/>
      <c r="G83" s="127"/>
      <c r="H83" s="26"/>
    </row>
    <row r="84" spans="2:8" ht="15" hidden="1" customHeight="1" outlineLevel="1" x14ac:dyDescent="0.25">
      <c r="B84" s="191" t="s">
        <v>70</v>
      </c>
      <c r="C84" s="192">
        <v>15756</v>
      </c>
      <c r="D84" s="127" t="s">
        <v>5</v>
      </c>
      <c r="E84" s="127"/>
      <c r="F84" s="193"/>
      <c r="G84" s="127"/>
      <c r="H84" s="26"/>
    </row>
    <row r="85" spans="2:8" ht="15" hidden="1" customHeight="1" outlineLevel="1" x14ac:dyDescent="0.25">
      <c r="B85" s="191" t="s">
        <v>71</v>
      </c>
      <c r="C85" s="192">
        <v>172.29867360178693</v>
      </c>
      <c r="D85" s="127" t="s">
        <v>8</v>
      </c>
      <c r="E85" s="127"/>
      <c r="F85" s="193"/>
      <c r="G85" s="127"/>
      <c r="H85" s="26"/>
    </row>
    <row r="86" spans="2:8" ht="15" hidden="1" customHeight="1" outlineLevel="1" x14ac:dyDescent="0.25">
      <c r="B86" s="194" t="s">
        <v>72</v>
      </c>
      <c r="C86" s="27">
        <v>0.05</v>
      </c>
      <c r="D86" s="195" t="s">
        <v>1</v>
      </c>
      <c r="E86" s="195"/>
      <c r="F86" s="196"/>
      <c r="G86" s="195"/>
      <c r="H86" s="28"/>
    </row>
    <row r="87" spans="2:8" s="127" customFormat="1" ht="15" hidden="1" customHeight="1" outlineLevel="1" x14ac:dyDescent="0.25">
      <c r="B87" s="164"/>
      <c r="C87" s="165"/>
      <c r="D87" s="166"/>
      <c r="E87" s="166"/>
      <c r="F87" s="167"/>
      <c r="G87" s="166"/>
      <c r="H87" s="18"/>
    </row>
    <row r="88" spans="2:8" ht="15" hidden="1" customHeight="1" outlineLevel="1" x14ac:dyDescent="0.25">
      <c r="B88" s="187" t="s">
        <v>73</v>
      </c>
      <c r="C88" s="188">
        <f>(C62*C71+C63*C72+C64*C73+C65*C74+C66*C76+C67*C75)*C89*C90</f>
        <v>50820.900355336649</v>
      </c>
      <c r="D88" s="189" t="s">
        <v>9</v>
      </c>
      <c r="E88" s="189"/>
      <c r="F88" s="190">
        <v>1.602277209707845</v>
      </c>
      <c r="G88" s="189" t="s">
        <v>8</v>
      </c>
      <c r="H88" s="25">
        <f>F88/$F$99</f>
        <v>1.7506799328943952E-3</v>
      </c>
    </row>
    <row r="89" spans="2:8" ht="15" hidden="1" customHeight="1" outlineLevel="1" x14ac:dyDescent="0.25">
      <c r="B89" s="194" t="s">
        <v>74</v>
      </c>
      <c r="C89" s="27">
        <v>0.12</v>
      </c>
      <c r="D89" s="195" t="s">
        <v>1</v>
      </c>
      <c r="E89" s="195"/>
      <c r="F89" s="196"/>
      <c r="G89" s="195"/>
      <c r="H89" s="28"/>
    </row>
    <row r="90" spans="2:8" ht="15" hidden="1" customHeight="1" outlineLevel="1" x14ac:dyDescent="0.25">
      <c r="B90" s="194" t="s">
        <v>421</v>
      </c>
      <c r="C90" s="27">
        <v>0.25</v>
      </c>
      <c r="D90" s="195" t="s">
        <v>1</v>
      </c>
      <c r="E90" s="195"/>
      <c r="F90" s="196"/>
      <c r="G90" s="195"/>
      <c r="H90" s="28"/>
    </row>
    <row r="91" spans="2:8" s="127" customFormat="1" ht="15" hidden="1" customHeight="1" outlineLevel="1" x14ac:dyDescent="0.25">
      <c r="B91" s="164"/>
      <c r="C91" s="165"/>
      <c r="D91" s="166"/>
      <c r="E91" s="166"/>
      <c r="F91" s="167"/>
      <c r="G91" s="166"/>
      <c r="H91" s="18"/>
    </row>
    <row r="92" spans="2:8" ht="15" hidden="1" customHeight="1" outlineLevel="1" x14ac:dyDescent="0.25">
      <c r="B92" s="187" t="s">
        <v>75</v>
      </c>
      <c r="C92" s="188">
        <v>9172862.0242903195</v>
      </c>
      <c r="D92" s="189" t="s">
        <v>9</v>
      </c>
      <c r="E92" s="197"/>
      <c r="F92" s="198">
        <v>289.20124725361308</v>
      </c>
      <c r="G92" s="197" t="s">
        <v>8</v>
      </c>
      <c r="H92" s="29">
        <f>F92/$F$99</f>
        <v>0.31598703212364104</v>
      </c>
    </row>
    <row r="93" spans="2:8" ht="15" hidden="1" customHeight="1" outlineLevel="1" x14ac:dyDescent="0.25">
      <c r="B93" s="194" t="s">
        <v>76</v>
      </c>
      <c r="C93" s="30">
        <v>9.2499999999999999E-2</v>
      </c>
      <c r="D93" s="195" t="s">
        <v>1</v>
      </c>
      <c r="E93" s="195"/>
      <c r="F93" s="196"/>
      <c r="G93" s="195"/>
      <c r="H93" s="28"/>
    </row>
    <row r="94" spans="2:8" ht="15" hidden="1" customHeight="1" outlineLevel="1" x14ac:dyDescent="0.25">
      <c r="B94" s="191" t="s">
        <v>68</v>
      </c>
      <c r="C94" s="192">
        <f>C82</f>
        <v>31717.919999999998</v>
      </c>
      <c r="D94" s="127" t="s">
        <v>5</v>
      </c>
      <c r="E94" s="127"/>
      <c r="F94" s="193"/>
      <c r="G94" s="127"/>
      <c r="H94" s="26"/>
    </row>
    <row r="95" spans="2:8" ht="15" hidden="1" customHeight="1" outlineLevel="1" x14ac:dyDescent="0.25">
      <c r="B95" s="191" t="s">
        <v>69</v>
      </c>
      <c r="C95" s="192">
        <f>C83</f>
        <v>1396.7092707049733</v>
      </c>
      <c r="D95" s="127" t="s">
        <v>8</v>
      </c>
      <c r="E95" s="127"/>
      <c r="F95" s="193"/>
      <c r="G95" s="127"/>
      <c r="H95" s="26"/>
    </row>
    <row r="96" spans="2:8" ht="15" hidden="1" customHeight="1" outlineLevel="1" x14ac:dyDescent="0.25">
      <c r="B96" s="191" t="s">
        <v>70</v>
      </c>
      <c r="C96" s="192">
        <f>C84</f>
        <v>15756</v>
      </c>
      <c r="D96" s="127" t="s">
        <v>5</v>
      </c>
      <c r="E96" s="127"/>
      <c r="F96" s="193"/>
      <c r="G96" s="127"/>
      <c r="H96" s="26"/>
    </row>
    <row r="97" spans="2:8" ht="15" hidden="1" customHeight="1" outlineLevel="1" x14ac:dyDescent="0.25">
      <c r="B97" s="191" t="s">
        <v>71</v>
      </c>
      <c r="C97" s="192">
        <f>C85</f>
        <v>172.29867360178693</v>
      </c>
      <c r="D97" s="127" t="s">
        <v>8</v>
      </c>
      <c r="E97" s="127"/>
      <c r="F97" s="193"/>
      <c r="G97" s="127"/>
      <c r="H97" s="26"/>
    </row>
    <row r="98" spans="2:8" s="127" customFormat="1" ht="15" hidden="1" customHeight="1" outlineLevel="1" thickBot="1" x14ac:dyDescent="0.3">
      <c r="B98" s="156"/>
      <c r="C98" s="157"/>
      <c r="D98" s="158"/>
      <c r="E98" s="158"/>
      <c r="F98" s="158"/>
      <c r="G98" s="158"/>
      <c r="H98" s="158"/>
    </row>
    <row r="99" spans="2:8" s="118" customFormat="1" ht="15" hidden="1" customHeight="1" outlineLevel="1" thickTop="1" x14ac:dyDescent="0.25">
      <c r="B99" s="199" t="s">
        <v>77</v>
      </c>
      <c r="C99" s="200">
        <f>C57+C61+C78+C79+C81+C88+C92</f>
        <v>29029235.670345847</v>
      </c>
      <c r="D99" s="201" t="s">
        <v>9</v>
      </c>
      <c r="E99" s="202"/>
      <c r="F99" s="203">
        <v>915.23137930689802</v>
      </c>
      <c r="G99" s="202" t="s">
        <v>8</v>
      </c>
      <c r="H99" s="31">
        <f>F99/$F$99</f>
        <v>1</v>
      </c>
    </row>
    <row r="100" spans="2:8" ht="15" customHeight="1" thickTop="1" thickBot="1" x14ac:dyDescent="0.3">
      <c r="D100" s="127"/>
      <c r="E100" s="127"/>
      <c r="F100" s="127"/>
      <c r="G100" s="127"/>
      <c r="H100" s="127"/>
    </row>
    <row r="101" spans="2:8" ht="25.15" customHeight="1" collapsed="1" thickTop="1" thickBot="1" x14ac:dyDescent="0.3">
      <c r="B101" s="789" t="s">
        <v>78</v>
      </c>
      <c r="C101" s="790"/>
      <c r="D101" s="790"/>
      <c r="E101" s="790"/>
      <c r="F101" s="790"/>
      <c r="G101" s="790"/>
      <c r="H101" s="791"/>
    </row>
    <row r="102" spans="2:8" ht="15" hidden="1" customHeight="1" outlineLevel="1" thickTop="1" x14ac:dyDescent="0.25">
      <c r="B102" s="122" t="s">
        <v>349</v>
      </c>
      <c r="C102" s="33">
        <v>96866</v>
      </c>
      <c r="D102" s="127" t="s">
        <v>350</v>
      </c>
      <c r="F102" s="5"/>
      <c r="G102" s="204"/>
    </row>
    <row r="103" spans="2:8" ht="15" hidden="1" customHeight="1" outlineLevel="1" x14ac:dyDescent="0.25">
      <c r="B103" s="32" t="s">
        <v>79</v>
      </c>
      <c r="C103" s="33">
        <v>31717.919999999998</v>
      </c>
      <c r="D103" s="34" t="s">
        <v>5</v>
      </c>
      <c r="E103" s="205"/>
      <c r="F103" s="205"/>
      <c r="G103" s="205"/>
      <c r="H103" s="205"/>
    </row>
    <row r="104" spans="2:8" ht="15" hidden="1" customHeight="1" outlineLevel="1" x14ac:dyDescent="0.25">
      <c r="B104" s="32" t="s">
        <v>79</v>
      </c>
      <c r="C104" s="33">
        <f>C103/312</f>
        <v>101.66</v>
      </c>
      <c r="D104" s="34" t="s">
        <v>29</v>
      </c>
      <c r="E104" s="205"/>
      <c r="F104" s="205"/>
      <c r="G104" s="205"/>
      <c r="H104" s="205"/>
    </row>
    <row r="105" spans="2:8" ht="15" hidden="1" customHeight="1" outlineLevel="1" x14ac:dyDescent="0.25">
      <c r="B105" s="35" t="s">
        <v>80</v>
      </c>
      <c r="C105" s="33">
        <v>34388.276541382686</v>
      </c>
      <c r="D105" s="34" t="s">
        <v>5</v>
      </c>
      <c r="E105" s="205"/>
      <c r="F105" s="205"/>
      <c r="G105" s="205"/>
      <c r="H105" s="205"/>
    </row>
    <row r="106" spans="2:8" ht="15" hidden="1" customHeight="1" outlineLevel="1" x14ac:dyDescent="0.25">
      <c r="B106" s="35" t="s">
        <v>81</v>
      </c>
      <c r="C106" s="33">
        <f>C105/312</f>
        <v>110.21883506853425</v>
      </c>
      <c r="D106" s="34" t="s">
        <v>29</v>
      </c>
      <c r="E106" s="205"/>
      <c r="F106" s="205"/>
      <c r="G106" s="205"/>
      <c r="H106" s="205"/>
    </row>
    <row r="107" spans="2:8" ht="15" hidden="1" customHeight="1" outlineLevel="1" x14ac:dyDescent="0.25">
      <c r="B107" s="35" t="s">
        <v>137</v>
      </c>
      <c r="C107" s="658">
        <v>0.48399999999999999</v>
      </c>
      <c r="D107" s="34" t="s">
        <v>1</v>
      </c>
      <c r="E107" s="205"/>
      <c r="F107" s="205"/>
      <c r="G107" s="205"/>
      <c r="H107" s="205"/>
    </row>
    <row r="108" spans="2:8" ht="15" hidden="1" customHeight="1" outlineLevel="1" x14ac:dyDescent="0.25">
      <c r="B108" s="36" t="s">
        <v>82</v>
      </c>
      <c r="C108" s="206">
        <v>3672.7063404246328</v>
      </c>
      <c r="D108" s="37" t="s">
        <v>20</v>
      </c>
      <c r="E108" s="205"/>
      <c r="F108" s="205"/>
      <c r="G108" s="205"/>
      <c r="H108" s="205"/>
    </row>
    <row r="109" spans="2:8" ht="15" hidden="1" customHeight="1" outlineLevel="1" x14ac:dyDescent="0.25">
      <c r="B109" s="36" t="s">
        <v>83</v>
      </c>
      <c r="C109" s="38">
        <v>450</v>
      </c>
      <c r="D109" s="39" t="s">
        <v>0</v>
      </c>
      <c r="E109" s="205"/>
      <c r="F109" s="205"/>
      <c r="G109" s="205"/>
      <c r="H109" s="205"/>
    </row>
    <row r="110" spans="2:8" ht="15" hidden="1" customHeight="1" outlineLevel="1" thickBot="1" x14ac:dyDescent="0.3">
      <c r="B110" s="104" t="s">
        <v>398</v>
      </c>
      <c r="C110" s="105">
        <f>C103*1000/C102/365</f>
        <v>0.8970991984690615</v>
      </c>
      <c r="D110" s="1" t="s">
        <v>399</v>
      </c>
    </row>
    <row r="111" spans="2:8" ht="15" hidden="1" customHeight="1" outlineLevel="1" thickTop="1" x14ac:dyDescent="0.25">
      <c r="B111" s="40" t="s">
        <v>84</v>
      </c>
      <c r="C111" s="207"/>
      <c r="D111" s="6"/>
      <c r="E111" s="6"/>
      <c r="F111" s="6"/>
      <c r="G111" s="6"/>
      <c r="H111" s="6"/>
    </row>
    <row r="112" spans="2:8" s="127" customFormat="1" ht="15" hidden="1" customHeight="1" outlineLevel="1" x14ac:dyDescent="0.25">
      <c r="B112" s="208"/>
      <c r="C112" s="209">
        <v>74.293102965787199</v>
      </c>
      <c r="D112" s="37" t="s">
        <v>22</v>
      </c>
      <c r="E112" s="210"/>
      <c r="F112" s="210"/>
      <c r="G112" s="210"/>
      <c r="H112" s="210"/>
    </row>
    <row r="113" spans="2:8" ht="15" hidden="1" customHeight="1" outlineLevel="1" x14ac:dyDescent="0.25">
      <c r="C113" s="137">
        <f>C112*312*$C$106/$C$104/1000</f>
        <v>25.130944028181275</v>
      </c>
      <c r="D113" s="41" t="s">
        <v>19</v>
      </c>
    </row>
    <row r="114" spans="2:8" ht="15" hidden="1" customHeight="1" outlineLevel="1" x14ac:dyDescent="0.25">
      <c r="B114" s="42" t="s">
        <v>85</v>
      </c>
      <c r="C114" s="211"/>
      <c r="D114" s="212"/>
      <c r="E114" s="212"/>
      <c r="F114" s="212"/>
      <c r="G114" s="212"/>
      <c r="H114" s="212"/>
    </row>
    <row r="115" spans="2:8" s="127" customFormat="1" ht="15" hidden="1" customHeight="1" outlineLevel="1" x14ac:dyDescent="0.25">
      <c r="B115" s="208"/>
      <c r="C115" s="209">
        <v>18.710523000000002</v>
      </c>
      <c r="D115" s="37" t="s">
        <v>22</v>
      </c>
      <c r="E115" s="210"/>
      <c r="F115" s="210"/>
      <c r="G115" s="210"/>
      <c r="H115" s="210"/>
    </row>
    <row r="116" spans="2:8" ht="15" hidden="1" customHeight="1" outlineLevel="1" x14ac:dyDescent="0.25">
      <c r="B116" s="213"/>
      <c r="C116" s="137">
        <f>C115*312*$C$106/$C$104/1000</f>
        <v>6.3291622974414841</v>
      </c>
      <c r="D116" s="43" t="s">
        <v>19</v>
      </c>
      <c r="E116" s="215"/>
      <c r="F116" s="215"/>
      <c r="G116" s="215"/>
      <c r="H116" s="215"/>
    </row>
    <row r="117" spans="2:8" ht="15" hidden="1" customHeight="1" outlineLevel="1" x14ac:dyDescent="0.25">
      <c r="B117" s="44" t="s">
        <v>86</v>
      </c>
      <c r="C117" s="192"/>
    </row>
    <row r="118" spans="2:8" s="127" customFormat="1" ht="15" hidden="1" customHeight="1" outlineLevel="1" x14ac:dyDescent="0.25">
      <c r="B118" s="208"/>
      <c r="C118" s="209">
        <v>8.6563740342128117</v>
      </c>
      <c r="D118" s="37" t="s">
        <v>22</v>
      </c>
      <c r="E118" s="210"/>
      <c r="F118" s="210"/>
      <c r="G118" s="210"/>
      <c r="H118" s="210"/>
    </row>
    <row r="119" spans="2:8" ht="15" hidden="1" customHeight="1" outlineLevel="1" thickBot="1" x14ac:dyDescent="0.3">
      <c r="B119" s="216"/>
      <c r="C119" s="659">
        <f>C118*312*$C$106/$C$104/1000</f>
        <v>2.9281702157599319</v>
      </c>
      <c r="D119" s="45" t="s">
        <v>19</v>
      </c>
      <c r="E119" s="218"/>
      <c r="F119" s="218"/>
      <c r="G119" s="218"/>
      <c r="H119" s="218"/>
    </row>
    <row r="120" spans="2:8" ht="15" hidden="1" customHeight="1" outlineLevel="1" thickTop="1" thickBot="1" x14ac:dyDescent="0.3">
      <c r="C120" s="130"/>
    </row>
    <row r="121" spans="2:8" ht="15" hidden="1" customHeight="1" outlineLevel="1" thickTop="1" x14ac:dyDescent="0.25">
      <c r="B121" s="810" t="s">
        <v>87</v>
      </c>
      <c r="C121" s="219"/>
      <c r="D121" s="6"/>
      <c r="E121" s="6"/>
      <c r="F121" s="6"/>
      <c r="G121" s="6"/>
      <c r="H121" s="6"/>
    </row>
    <row r="122" spans="2:8" ht="15" hidden="1" customHeight="1" outlineLevel="1" x14ac:dyDescent="0.25">
      <c r="B122" s="793"/>
      <c r="C122" s="220">
        <v>8.6563740342128117</v>
      </c>
      <c r="D122" s="37" t="s">
        <v>22</v>
      </c>
      <c r="E122" s="205"/>
      <c r="F122" s="205"/>
      <c r="G122" s="205"/>
      <c r="H122" s="205"/>
    </row>
    <row r="123" spans="2:8" ht="15" hidden="1" customHeight="1" outlineLevel="1" x14ac:dyDescent="0.25">
      <c r="B123" s="811"/>
      <c r="C123" s="137">
        <f>C122*312*$C$106/$C$104/1000</f>
        <v>2.9281702157599319</v>
      </c>
      <c r="D123" s="41" t="s">
        <v>19</v>
      </c>
    </row>
    <row r="124" spans="2:8" ht="15" hidden="1" customHeight="1" outlineLevel="1" x14ac:dyDescent="0.25">
      <c r="B124" s="792" t="s">
        <v>88</v>
      </c>
      <c r="C124" s="211"/>
      <c r="D124" s="212"/>
      <c r="E124" s="212"/>
      <c r="F124" s="212"/>
      <c r="G124" s="212"/>
      <c r="H124" s="212"/>
    </row>
    <row r="125" spans="2:8" ht="15" hidden="1" customHeight="1" outlineLevel="1" x14ac:dyDescent="0.25">
      <c r="B125" s="793"/>
      <c r="C125" s="220">
        <v>0</v>
      </c>
      <c r="D125" s="37" t="s">
        <v>22</v>
      </c>
      <c r="E125" s="205"/>
      <c r="F125" s="205"/>
      <c r="G125" s="205"/>
      <c r="H125" s="205"/>
    </row>
    <row r="126" spans="2:8" ht="15" hidden="1" customHeight="1" outlineLevel="1" x14ac:dyDescent="0.25">
      <c r="B126" s="811"/>
      <c r="C126" s="137">
        <f>C125*312*$C$106/$C$104/1000</f>
        <v>0</v>
      </c>
      <c r="D126" s="41" t="s">
        <v>19</v>
      </c>
    </row>
    <row r="127" spans="2:8" ht="15" hidden="1" customHeight="1" outlineLevel="1" x14ac:dyDescent="0.25">
      <c r="B127" s="792" t="s">
        <v>11</v>
      </c>
      <c r="C127" s="211"/>
      <c r="D127" s="212"/>
      <c r="E127" s="212"/>
      <c r="F127" s="212"/>
      <c r="G127" s="212"/>
      <c r="H127" s="212"/>
    </row>
    <row r="128" spans="2:8" ht="15" hidden="1" customHeight="1" outlineLevel="1" x14ac:dyDescent="0.25">
      <c r="B128" s="793"/>
      <c r="C128" s="220">
        <v>0</v>
      </c>
      <c r="D128" s="37" t="s">
        <v>22</v>
      </c>
      <c r="E128" s="205"/>
      <c r="F128" s="205"/>
      <c r="G128" s="205"/>
      <c r="H128" s="205"/>
    </row>
    <row r="129" spans="2:8" ht="15" hidden="1" customHeight="1" outlineLevel="1" x14ac:dyDescent="0.25">
      <c r="B129" s="811"/>
      <c r="C129" s="137">
        <f>C128*312*$C$106/$C$104/1000</f>
        <v>0</v>
      </c>
      <c r="D129" s="43" t="s">
        <v>19</v>
      </c>
      <c r="E129" s="215"/>
      <c r="F129" s="215"/>
      <c r="G129" s="215"/>
      <c r="H129" s="215"/>
    </row>
    <row r="130" spans="2:8" ht="15" hidden="1" customHeight="1" outlineLevel="1" x14ac:dyDescent="0.25">
      <c r="B130" s="792" t="s">
        <v>366</v>
      </c>
      <c r="C130" s="730">
        <v>634.06891385819074</v>
      </c>
      <c r="D130" s="127" t="s">
        <v>365</v>
      </c>
    </row>
    <row r="131" spans="2:8" ht="15" hidden="1" customHeight="1" outlineLevel="1" x14ac:dyDescent="0.25">
      <c r="B131" s="793"/>
      <c r="C131" s="731">
        <f>C130*C106</f>
        <v>69886.337038620579</v>
      </c>
      <c r="D131" s="37" t="s">
        <v>23</v>
      </c>
      <c r="E131" s="205"/>
      <c r="F131" s="205"/>
      <c r="G131" s="205"/>
      <c r="H131" s="205"/>
    </row>
    <row r="132" spans="2:8" ht="15" hidden="1" customHeight="1" outlineLevel="1" x14ac:dyDescent="0.25">
      <c r="B132" s="811"/>
      <c r="C132" s="214">
        <f>C130*C105/1000</f>
        <v>21804.537156049621</v>
      </c>
      <c r="D132" s="43" t="s">
        <v>20</v>
      </c>
      <c r="E132" s="215"/>
      <c r="F132" s="215"/>
      <c r="G132" s="215"/>
      <c r="H132" s="215"/>
    </row>
    <row r="133" spans="2:8" ht="15" hidden="1" customHeight="1" outlineLevel="1" x14ac:dyDescent="0.25">
      <c r="B133" s="792" t="s">
        <v>367</v>
      </c>
      <c r="C133" s="192">
        <v>0</v>
      </c>
      <c r="D133" s="127" t="s">
        <v>365</v>
      </c>
    </row>
    <row r="134" spans="2:8" ht="15" hidden="1" customHeight="1" outlineLevel="1" x14ac:dyDescent="0.25">
      <c r="B134" s="793"/>
      <c r="C134" s="660">
        <f>C133*C106*C107</f>
        <v>0</v>
      </c>
      <c r="D134" s="37" t="s">
        <v>23</v>
      </c>
      <c r="E134" s="205"/>
      <c r="F134" s="205"/>
      <c r="G134" s="205"/>
      <c r="H134" s="205"/>
    </row>
    <row r="135" spans="2:8" ht="15" hidden="1" customHeight="1" outlineLevel="1" x14ac:dyDescent="0.25">
      <c r="B135" s="811"/>
      <c r="C135" s="214">
        <f>C133*C105*C107/1000</f>
        <v>0</v>
      </c>
      <c r="D135" s="43" t="s">
        <v>20</v>
      </c>
      <c r="E135" s="215"/>
      <c r="F135" s="215"/>
      <c r="G135" s="215"/>
      <c r="H135" s="215"/>
    </row>
    <row r="136" spans="2:8" ht="15" hidden="1" customHeight="1" outlineLevel="1" x14ac:dyDescent="0.25">
      <c r="B136" s="792" t="s">
        <v>7</v>
      </c>
      <c r="C136" s="192">
        <v>0</v>
      </c>
      <c r="D136" s="37" t="s">
        <v>400</v>
      </c>
    </row>
    <row r="137" spans="2:8" ht="15" hidden="1" customHeight="1" outlineLevel="1" x14ac:dyDescent="0.25">
      <c r="B137" s="793"/>
      <c r="C137" s="660">
        <f>C136*C106*C107</f>
        <v>0</v>
      </c>
      <c r="D137" s="37" t="s">
        <v>401</v>
      </c>
      <c r="E137" s="205"/>
      <c r="F137" s="205"/>
      <c r="G137" s="205"/>
      <c r="H137" s="205"/>
    </row>
    <row r="138" spans="2:8" ht="15" hidden="1" customHeight="1" outlineLevel="1" x14ac:dyDescent="0.25">
      <c r="B138" s="793"/>
      <c r="C138" s="214">
        <f>C136*C105*C107</f>
        <v>0</v>
      </c>
      <c r="D138" s="37" t="s">
        <v>181</v>
      </c>
      <c r="E138" s="205"/>
      <c r="F138" s="205"/>
      <c r="G138" s="205"/>
      <c r="H138" s="205"/>
    </row>
    <row r="139" spans="2:8" ht="15" hidden="1" customHeight="1" outlineLevel="1" thickBot="1" x14ac:dyDescent="0.3">
      <c r="B139" s="46" t="s">
        <v>89</v>
      </c>
      <c r="C139" s="217">
        <f>(C138*90%)/1000</f>
        <v>0</v>
      </c>
      <c r="D139" s="45" t="s">
        <v>90</v>
      </c>
      <c r="E139" s="218"/>
      <c r="F139" s="218"/>
      <c r="G139" s="218"/>
      <c r="H139" s="218"/>
    </row>
    <row r="140" spans="2:8" ht="15" customHeight="1" thickTop="1" x14ac:dyDescent="0.25">
      <c r="B140" s="747" t="s">
        <v>403</v>
      </c>
      <c r="C140" s="748">
        <v>158</v>
      </c>
    </row>
    <row r="141" spans="2:8" x14ac:dyDescent="0.25">
      <c r="B141" s="747" t="s">
        <v>406</v>
      </c>
      <c r="C141" s="749">
        <v>25410.515177629579</v>
      </c>
    </row>
    <row r="142" spans="2:8" x14ac:dyDescent="0.25">
      <c r="B142" s="747" t="s">
        <v>410</v>
      </c>
      <c r="C142" s="749">
        <v>6610.6283322570471</v>
      </c>
    </row>
  </sheetData>
  <mergeCells count="13">
    <mergeCell ref="B55:H55"/>
    <mergeCell ref="B136:B138"/>
    <mergeCell ref="B101:H101"/>
    <mergeCell ref="B121:B123"/>
    <mergeCell ref="B124:B126"/>
    <mergeCell ref="B127:B129"/>
    <mergeCell ref="B130:B132"/>
    <mergeCell ref="B133:B135"/>
    <mergeCell ref="C2:H2"/>
    <mergeCell ref="B10:C11"/>
    <mergeCell ref="D10:H11"/>
    <mergeCell ref="B13:H13"/>
    <mergeCell ref="A15:A16"/>
  </mergeCells>
  <dataValidations count="1">
    <dataValidation type="list" allowBlank="1" showInputMessage="1" showErrorMessage="1" sqref="D10" xr:uid="{6C3CB87B-6EE1-492D-B0F6-DCC62F0ED28C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3176E-10FD-4318-A2D6-96910EB57053}">
  <sheetPr codeName="Planilha4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8.85546875" style="6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13" t="s">
        <v>13</v>
      </c>
      <c r="C3" s="813"/>
      <c r="D3" s="813"/>
      <c r="E3" s="813"/>
      <c r="F3" s="813"/>
      <c r="G3" s="813"/>
      <c r="H3" s="813"/>
      <c r="L3" s="814" t="s">
        <v>144</v>
      </c>
      <c r="M3" s="815"/>
      <c r="N3" s="263"/>
      <c r="O3" s="816" t="s">
        <v>154</v>
      </c>
      <c r="P3" s="816"/>
      <c r="Q3" s="816"/>
      <c r="R3" s="816"/>
      <c r="S3" s="816"/>
      <c r="T3" s="816"/>
      <c r="U3" s="816"/>
      <c r="V3" s="816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17" t="s">
        <v>91</v>
      </c>
      <c r="C5" s="817"/>
      <c r="D5" s="49"/>
      <c r="E5" s="49"/>
      <c r="F5" s="303"/>
      <c r="G5" s="49"/>
      <c r="H5" s="303"/>
      <c r="L5" s="818" t="s">
        <v>156</v>
      </c>
      <c r="M5" s="819"/>
      <c r="N5"/>
      <c r="O5" s="822" t="s">
        <v>143</v>
      </c>
      <c r="P5" s="823"/>
      <c r="Q5" s="823"/>
      <c r="R5" s="823"/>
      <c r="S5" s="823"/>
      <c r="T5" s="823"/>
      <c r="U5" s="823"/>
      <c r="V5" s="824"/>
    </row>
    <row r="6" spans="2:22" s="53" customFormat="1" ht="15" hidden="1" customHeight="1" outlineLevel="1" thickTop="1" thickBot="1" x14ac:dyDescent="0.3">
      <c r="B6" s="817"/>
      <c r="C6" s="817"/>
      <c r="D6" s="50"/>
      <c r="E6" s="52"/>
      <c r="F6" s="51" t="s">
        <v>10</v>
      </c>
      <c r="G6" s="52"/>
      <c r="H6" s="51" t="s">
        <v>10</v>
      </c>
      <c r="L6" s="820"/>
      <c r="M6" s="821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1491.675405776728</v>
      </c>
      <c r="N7" s="234"/>
      <c r="O7" s="237">
        <f>M7</f>
        <v>1491.675405776728</v>
      </c>
      <c r="P7" s="238"/>
      <c r="Q7" s="239">
        <f>M7</f>
        <v>1491.675405776728</v>
      </c>
      <c r="R7" s="239"/>
      <c r="S7" s="239"/>
      <c r="T7" s="239"/>
      <c r="U7" s="239"/>
      <c r="V7" s="240">
        <f>Q7</f>
        <v>1491.675405776728</v>
      </c>
    </row>
    <row r="8" spans="2:22" s="47" customFormat="1" ht="15" hidden="1" customHeight="1" outlineLevel="1" x14ac:dyDescent="0.25">
      <c r="C8" s="54"/>
      <c r="D8" s="41"/>
      <c r="E8" s="56"/>
      <c r="F8" s="269"/>
      <c r="G8" s="269"/>
      <c r="H8" s="269"/>
      <c r="I8" s="54"/>
      <c r="L8" s="686" t="s">
        <v>353</v>
      </c>
      <c r="M8" s="256">
        <f>'RESUMO GERAL Valoriz. RT´s'!I29+'RESUMO GERAL Valoriz. RT´s'!I30</f>
        <v>432.58</v>
      </c>
      <c r="N8" s="236"/>
      <c r="O8" s="241"/>
      <c r="P8" s="242"/>
      <c r="Q8" s="243">
        <f>Q7+M8</f>
        <v>1924.2554057767279</v>
      </c>
      <c r="R8" s="243">
        <f>M7</f>
        <v>1491.675405776728</v>
      </c>
      <c r="S8" s="243">
        <f>IF(R8&gt;=0,IF(M8&gt;=0,Q7,Q8),IF(M8&gt;=0,S7,Q8))</f>
        <v>1491.675405776728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25" t="s">
        <v>92</v>
      </c>
      <c r="C9" s="47" t="s">
        <v>4</v>
      </c>
      <c r="D9" s="41" t="s">
        <v>20</v>
      </c>
      <c r="E9" s="60"/>
      <c r="F9" s="57">
        <f>'C-Dados RT5 Simplif.'!C108</f>
        <v>3672.7063404246328</v>
      </c>
      <c r="G9" s="57"/>
      <c r="H9" s="57">
        <f>'Demanda Preço &amp; Quantidade'!C42</f>
        <v>500</v>
      </c>
      <c r="L9" s="686" t="s">
        <v>354</v>
      </c>
      <c r="M9" s="256">
        <f>'RESUMO GERAL Valoriz. RT´s'!I31</f>
        <v>0.71</v>
      </c>
      <c r="N9" s="236"/>
      <c r="O9" s="241"/>
      <c r="P9" s="242"/>
      <c r="Q9" s="243">
        <f>Q8+M9</f>
        <v>1924.9654057767279</v>
      </c>
      <c r="R9" s="243">
        <f>M8</f>
        <v>432.58</v>
      </c>
      <c r="S9" s="243">
        <f>IF(R9&gt;=0,IF(M9&gt;=0,Q8,Q9),IF(M9&gt;=0,S8,Q9))</f>
        <v>1924.2554057767279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25"/>
      <c r="C10" s="61" t="s">
        <v>27</v>
      </c>
      <c r="D10" s="41" t="s">
        <v>28</v>
      </c>
      <c r="E10" s="60"/>
      <c r="F10" s="365">
        <v>0</v>
      </c>
      <c r="G10" s="62"/>
      <c r="H10" s="365">
        <v>0</v>
      </c>
      <c r="L10" s="249" t="s">
        <v>352</v>
      </c>
      <c r="M10" s="257">
        <f>SUM(M7:M9)</f>
        <v>1924.9654057767279</v>
      </c>
      <c r="N10" s="234"/>
      <c r="O10" s="237">
        <f>M10</f>
        <v>1924.9654057767279</v>
      </c>
      <c r="P10" s="238"/>
      <c r="Q10" s="239">
        <f>M10</f>
        <v>1924.9654057767279</v>
      </c>
      <c r="R10" s="239"/>
      <c r="S10" s="239"/>
      <c r="T10" s="239"/>
      <c r="U10" s="239"/>
      <c r="V10" s="240">
        <f>Q10</f>
        <v>1924.9654057767279</v>
      </c>
    </row>
    <row r="11" spans="2:22" s="47" customFormat="1" ht="15" hidden="1" customHeight="1" outlineLevel="1" x14ac:dyDescent="0.25">
      <c r="B11" s="44"/>
      <c r="D11" s="41"/>
      <c r="E11" s="60"/>
      <c r="F11" s="64"/>
      <c r="G11" s="60"/>
      <c r="H11" s="60"/>
      <c r="L11" s="235" t="s">
        <v>157</v>
      </c>
      <c r="M11" s="256">
        <f>J33</f>
        <v>-25.283853935597026</v>
      </c>
      <c r="N11" s="236"/>
      <c r="O11" s="241"/>
      <c r="P11" s="242"/>
      <c r="Q11" s="243">
        <f>Q10+M11</f>
        <v>1899.6815518411308</v>
      </c>
      <c r="R11" s="243">
        <f t="shared" ref="R11:R22" si="0">M10</f>
        <v>1924.9654057767279</v>
      </c>
      <c r="S11" s="243">
        <f>IF(R11&gt;=0,IF(M11&gt;=0,Q10,Q11),IF(M11&gt;=0,S10,Q11))</f>
        <v>1899.6815518411308</v>
      </c>
      <c r="T11" s="243">
        <f>IF(M11&gt;=0,M11,0)</f>
        <v>0</v>
      </c>
      <c r="U11" s="243">
        <f t="shared" ref="U11:U22" si="1">IF(M11&lt;0,M11*-1,0)</f>
        <v>25.283853935597026</v>
      </c>
      <c r="V11" s="244">
        <f>SUM(T11:U11)</f>
        <v>25.283853935597026</v>
      </c>
    </row>
    <row r="12" spans="2:22" s="47" customFormat="1" ht="15" hidden="1" customHeight="1" outlineLevel="1" x14ac:dyDescent="0.25">
      <c r="B12" s="825" t="s">
        <v>93</v>
      </c>
      <c r="C12" s="47" t="s">
        <v>4</v>
      </c>
      <c r="D12" s="41" t="s">
        <v>20</v>
      </c>
      <c r="E12" s="60"/>
      <c r="F12" s="57">
        <f>'Demanda Preço &amp; Quantidade'!C81</f>
        <v>14529.9</v>
      </c>
      <c r="G12" s="57"/>
      <c r="H12" s="57">
        <f>'Demanda Preço &amp; Quantidade'!J52</f>
        <v>520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1899.6815518411308</v>
      </c>
      <c r="R12" s="243">
        <f t="shared" si="0"/>
        <v>-25.283853935597026</v>
      </c>
      <c r="S12" s="243">
        <f>IF(R12&gt;=0,IF(M12&gt;=0,Q11,Q12),IF(M12&gt;=0,S11,Q12))</f>
        <v>1899.6815518411308</v>
      </c>
      <c r="T12" s="243">
        <f>IF(M12&gt;=0,M12,0)</f>
        <v>0</v>
      </c>
      <c r="U12" s="243">
        <f t="shared" si="1"/>
        <v>0</v>
      </c>
      <c r="V12" s="244">
        <f>SUM(T12:U12)</f>
        <v>0</v>
      </c>
    </row>
    <row r="13" spans="2:22" s="47" customFormat="1" ht="15" hidden="1" customHeight="1" outlineLevel="1" x14ac:dyDescent="0.25">
      <c r="B13" s="825"/>
      <c r="C13" s="61" t="s">
        <v>27</v>
      </c>
      <c r="D13" s="41" t="s">
        <v>28</v>
      </c>
      <c r="E13" s="60"/>
      <c r="F13" s="365">
        <v>0</v>
      </c>
      <c r="G13" s="62"/>
      <c r="H13" s="365">
        <v>0</v>
      </c>
      <c r="L13" s="250" t="s">
        <v>155</v>
      </c>
      <c r="M13" s="257">
        <f>SUM(M10:M12)</f>
        <v>1899.6815518411308</v>
      </c>
      <c r="N13" s="234"/>
      <c r="O13" s="245">
        <f>M13</f>
        <v>1899.6815518411308</v>
      </c>
      <c r="P13" s="246"/>
      <c r="Q13" s="247">
        <f>Q12+M13-O13</f>
        <v>1899.6815518411308</v>
      </c>
      <c r="R13" s="247">
        <f t="shared" si="0"/>
        <v>0</v>
      </c>
      <c r="S13" s="247">
        <v>0</v>
      </c>
      <c r="T13" s="247">
        <v>0</v>
      </c>
      <c r="U13" s="247">
        <f t="shared" si="1"/>
        <v>0</v>
      </c>
      <c r="V13" s="248">
        <f>Q13</f>
        <v>1899.6815518411308</v>
      </c>
    </row>
    <row r="14" spans="2:22" s="47" customFormat="1" ht="15" hidden="1" customHeight="1" outlineLevel="1" x14ac:dyDescent="0.25">
      <c r="B14" s="44"/>
      <c r="D14" s="41"/>
      <c r="E14" s="66"/>
      <c r="F14" s="65"/>
      <c r="G14" s="66"/>
      <c r="H14" s="66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1899.6815518411308</v>
      </c>
      <c r="R14" s="243">
        <f t="shared" si="0"/>
        <v>1899.6815518411308</v>
      </c>
      <c r="S14" s="243">
        <f>IF(R14&gt;=0,IF(M14&gt;=0,Q13,Q14),IF(M14&gt;=0,S13,Q14))</f>
        <v>1899.6815518411308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25" t="s">
        <v>94</v>
      </c>
      <c r="C15" s="47" t="s">
        <v>4</v>
      </c>
      <c r="D15" s="41" t="s">
        <v>20</v>
      </c>
      <c r="E15" s="66"/>
      <c r="F15" s="57">
        <f>IF((F9+F12)&lt;F21,F21-F12-F9,0)</f>
        <v>3601.9308156249881</v>
      </c>
      <c r="G15" s="57"/>
      <c r="H15" s="57">
        <f>'Demanda Preço &amp; Quantidade'!C17</f>
        <v>549.4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1899.6815518411308</v>
      </c>
      <c r="R15" s="243">
        <f t="shared" si="0"/>
        <v>0</v>
      </c>
      <c r="S15" s="243">
        <f>IF(R15&gt;=0,IF(M15&gt;=0,Q14,Q15),IF(M15&gt;=0,S14,Q15))</f>
        <v>1899.6815518411308</v>
      </c>
      <c r="T15" s="243">
        <f>IF(M15&gt;=0,M15,0)</f>
        <v>0</v>
      </c>
      <c r="U15" s="243">
        <f t="shared" si="1"/>
        <v>0</v>
      </c>
      <c r="V15" s="244">
        <f>SUM(T15:U15)</f>
        <v>0</v>
      </c>
    </row>
    <row r="16" spans="2:22" s="47" customFormat="1" ht="15" hidden="1" customHeight="1" outlineLevel="1" x14ac:dyDescent="0.25">
      <c r="B16" s="825"/>
      <c r="C16" s="61" t="s">
        <v>27</v>
      </c>
      <c r="D16" s="41" t="s">
        <v>28</v>
      </c>
      <c r="E16" s="66"/>
      <c r="F16" s="365">
        <v>0</v>
      </c>
      <c r="G16" s="62"/>
      <c r="H16" s="365">
        <v>0</v>
      </c>
      <c r="L16" s="250" t="s">
        <v>152</v>
      </c>
      <c r="M16" s="258">
        <f>M13</f>
        <v>1899.6815518411308</v>
      </c>
      <c r="N16" s="234"/>
      <c r="O16" s="245">
        <f>M16</f>
        <v>1899.6815518411308</v>
      </c>
      <c r="P16" s="246"/>
      <c r="Q16" s="247">
        <f>Q15+M16-O16</f>
        <v>1899.6815518411308</v>
      </c>
      <c r="R16" s="247">
        <f t="shared" si="0"/>
        <v>0</v>
      </c>
      <c r="S16" s="247">
        <v>0</v>
      </c>
      <c r="T16" s="247">
        <v>0</v>
      </c>
      <c r="U16" s="247">
        <f t="shared" si="1"/>
        <v>0</v>
      </c>
      <c r="V16" s="248">
        <f>Q16</f>
        <v>1899.6815518411308</v>
      </c>
    </row>
    <row r="17" spans="2:22" s="47" customFormat="1" ht="15" hidden="1" customHeight="1" outlineLevel="1" x14ac:dyDescent="0.25">
      <c r="B17" s="825"/>
      <c r="C17" s="47" t="s">
        <v>12</v>
      </c>
      <c r="D17" s="41" t="s">
        <v>19</v>
      </c>
      <c r="E17" s="66"/>
      <c r="F17" s="365">
        <v>0</v>
      </c>
      <c r="G17" s="66"/>
      <c r="H17" s="365">
        <v>0</v>
      </c>
      <c r="L17" s="235" t="s">
        <v>161</v>
      </c>
      <c r="M17" s="256">
        <f>J39*C53</f>
        <v>-133.12599477579025</v>
      </c>
      <c r="N17" s="236"/>
      <c r="O17" s="241"/>
      <c r="P17" s="242"/>
      <c r="Q17" s="243">
        <f>Q16+M17</f>
        <v>1766.5555570653405</v>
      </c>
      <c r="R17" s="243">
        <f t="shared" si="0"/>
        <v>1899.6815518411308</v>
      </c>
      <c r="S17" s="243">
        <f>IF(R17&gt;=0,IF(M17&gt;=0,Q16,Q17),IF(M17&gt;=0,S16,Q17))</f>
        <v>1766.5555570653405</v>
      </c>
      <c r="T17" s="243">
        <f>IF(M17&gt;=0,M17,0)</f>
        <v>0</v>
      </c>
      <c r="U17" s="243">
        <f t="shared" si="1"/>
        <v>133.12599477579025</v>
      </c>
      <c r="V17" s="244">
        <f>SUM(T17:U17)</f>
        <v>133.12599477579025</v>
      </c>
    </row>
    <row r="18" spans="2:22" s="47" customFormat="1" ht="15" hidden="1" customHeight="1" outlineLevel="1" x14ac:dyDescent="0.25">
      <c r="B18" s="825"/>
      <c r="C18" s="47" t="s">
        <v>11</v>
      </c>
      <c r="D18" s="41" t="s">
        <v>19</v>
      </c>
      <c r="E18" s="66"/>
      <c r="F18" s="365">
        <v>0</v>
      </c>
      <c r="G18" s="66"/>
      <c r="H18" s="365">
        <v>0</v>
      </c>
      <c r="L18" s="235" t="s">
        <v>162</v>
      </c>
      <c r="M18" s="256">
        <f>J40*C53</f>
        <v>0</v>
      </c>
      <c r="N18" s="236"/>
      <c r="O18" s="241"/>
      <c r="P18" s="242"/>
      <c r="Q18" s="243">
        <f>Q17+M18</f>
        <v>1766.5555570653405</v>
      </c>
      <c r="R18" s="243">
        <f t="shared" si="0"/>
        <v>-133.12599477579025</v>
      </c>
      <c r="S18" s="243">
        <f>IF(R18&gt;=0,IF(M18&gt;=0,Q17,Q18),IF(M18&gt;=0,S17,Q18))</f>
        <v>1766.5555570653405</v>
      </c>
      <c r="T18" s="243">
        <f>IF(M18&gt;=0,M18,0)</f>
        <v>0</v>
      </c>
      <c r="U18" s="243">
        <f t="shared" si="1"/>
        <v>0</v>
      </c>
      <c r="V18" s="244">
        <f>SUM(T18:U18)</f>
        <v>0</v>
      </c>
    </row>
    <row r="19" spans="2:22" s="47" customFormat="1" ht="15" hidden="1" customHeight="1" outlineLevel="1" x14ac:dyDescent="0.25">
      <c r="B19" s="298"/>
      <c r="C19" s="318" t="s">
        <v>87</v>
      </c>
      <c r="D19" s="41" t="s">
        <v>19</v>
      </c>
      <c r="E19" s="66"/>
      <c r="F19" s="62">
        <f>F25</f>
        <v>2.9281702157599323</v>
      </c>
      <c r="G19" s="66"/>
      <c r="H19" s="57">
        <f>('Demanda Preço &amp; Quantidade'!C33*'C-Dados RT5 Simplif.'!C62+'Demanda Preço &amp; Quantidade'!C34*'C-Dados RT5 Simplif.'!C63+'Demanda Preço &amp; Quantidade'!C35*'C-Dados RT5 Simplif.'!C64+'Demanda Preço &amp; Quantidade'!C36*'C-Dados RT5 Simplif.'!C65+'Demanda Preço &amp; Quantidade'!C37*'C-Dados RT5 Simplif.'!C66+'Demanda Preço &amp; Quantidade'!C38*'C-Dados RT5 Simplif.'!C67)/(F19*1000)</f>
        <v>1591.7462460535971</v>
      </c>
      <c r="L19" s="235" t="s">
        <v>163</v>
      </c>
      <c r="M19" s="256">
        <f>J41*C53</f>
        <v>0</v>
      </c>
      <c r="N19" s="236"/>
      <c r="O19" s="241"/>
      <c r="P19" s="242"/>
      <c r="Q19" s="243">
        <f>Q18+M19</f>
        <v>1766.5555570653405</v>
      </c>
      <c r="R19" s="243">
        <f t="shared" si="0"/>
        <v>0</v>
      </c>
      <c r="S19" s="243">
        <f>IF(R19&gt;=0,IF(M19&gt;=0,Q18,Q19),IF(M19&gt;=0,S18,Q19))</f>
        <v>1766.5555570653405</v>
      </c>
      <c r="T19" s="243">
        <f>IF(M19&gt;=0,M19,0)</f>
        <v>0</v>
      </c>
      <c r="U19" s="243">
        <f t="shared" si="1"/>
        <v>0</v>
      </c>
      <c r="V19" s="244">
        <f>SUM(T19:U19)</f>
        <v>0</v>
      </c>
    </row>
    <row r="20" spans="2:22" s="47" customFormat="1" ht="15" hidden="1" customHeight="1" outlineLevel="1" x14ac:dyDescent="0.25">
      <c r="D20" s="41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1766.5555570653405</v>
      </c>
      <c r="R20" s="243">
        <f t="shared" si="0"/>
        <v>0</v>
      </c>
      <c r="S20" s="243">
        <f>IF(R20&gt;=0,IF(M20&gt;=0,Q19,Q20),IF(M20&gt;=0,S19,Q20))</f>
        <v>1766.5555570653405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25" t="s">
        <v>95</v>
      </c>
      <c r="C21" s="54" t="s">
        <v>24</v>
      </c>
      <c r="D21" s="41" t="s">
        <v>20</v>
      </c>
      <c r="F21" s="57">
        <f>'C-Dados RT5 Simplif.'!C105*'C-Dados RT5 Simplif.'!C130/1000</f>
        <v>21804.537156049621</v>
      </c>
      <c r="H21" s="69"/>
      <c r="L21" s="235" t="s">
        <v>165</v>
      </c>
      <c r="M21" s="256">
        <f>J43*C53</f>
        <v>-122.69285733386893</v>
      </c>
      <c r="N21" s="236"/>
      <c r="O21" s="241"/>
      <c r="P21" s="242"/>
      <c r="Q21" s="243">
        <f>Q20+M21</f>
        <v>1643.8626997314716</v>
      </c>
      <c r="R21" s="243">
        <f t="shared" si="0"/>
        <v>0</v>
      </c>
      <c r="S21" s="243">
        <f>IF(R21&gt;=0,IF(M21&gt;=0,Q20,Q21),IF(M21&gt;=0,S20,Q21))</f>
        <v>1643.8626997314716</v>
      </c>
      <c r="T21" s="243">
        <f>IF(M21&gt;=0,M21,0)</f>
        <v>0</v>
      </c>
      <c r="U21" s="243">
        <f t="shared" si="1"/>
        <v>122.69285733386893</v>
      </c>
      <c r="V21" s="244">
        <f>SUM(T21:U21)</f>
        <v>122.69285733386893</v>
      </c>
    </row>
    <row r="22" spans="2:22" ht="15" hidden="1" customHeight="1" outlineLevel="1" thickBot="1" x14ac:dyDescent="0.3">
      <c r="B22" s="825"/>
      <c r="C22" s="54" t="s">
        <v>25</v>
      </c>
      <c r="D22" s="41" t="s">
        <v>28</v>
      </c>
      <c r="F22" s="365">
        <v>0</v>
      </c>
      <c r="H22" s="69"/>
      <c r="L22" s="250" t="s">
        <v>153</v>
      </c>
      <c r="M22" s="259">
        <f>M16+M17+M18+M19+M20+M21</f>
        <v>1643.8626997314716</v>
      </c>
      <c r="N22" s="234"/>
      <c r="O22" s="251">
        <f>M22</f>
        <v>1643.8626997314716</v>
      </c>
      <c r="P22" s="252"/>
      <c r="Q22" s="253">
        <f>Q21+M22-O22</f>
        <v>1643.8626997314716</v>
      </c>
      <c r="R22" s="253">
        <f t="shared" si="0"/>
        <v>-122.69285733386893</v>
      </c>
      <c r="S22" s="253">
        <v>0</v>
      </c>
      <c r="T22" s="253">
        <v>0</v>
      </c>
      <c r="U22" s="253">
        <f t="shared" si="1"/>
        <v>0</v>
      </c>
      <c r="V22" s="254">
        <f>Q22</f>
        <v>1643.8626997314716</v>
      </c>
    </row>
    <row r="23" spans="2:22" ht="15" hidden="1" customHeight="1" outlineLevel="1" thickTop="1" x14ac:dyDescent="0.25">
      <c r="B23" s="825"/>
      <c r="C23" s="54" t="s">
        <v>26</v>
      </c>
      <c r="D23" s="41" t="s">
        <v>19</v>
      </c>
      <c r="F23" s="365">
        <v>0</v>
      </c>
      <c r="H23" s="70"/>
    </row>
    <row r="24" spans="2:22" ht="15" hidden="1" customHeight="1" outlineLevel="1" x14ac:dyDescent="0.25">
      <c r="B24" s="825"/>
      <c r="C24" s="54" t="s">
        <v>96</v>
      </c>
      <c r="D24" s="41" t="s">
        <v>19</v>
      </c>
      <c r="F24" s="365">
        <v>0</v>
      </c>
      <c r="H24" s="69"/>
    </row>
    <row r="25" spans="2:22" ht="15.75" hidden="1" outlineLevel="1" x14ac:dyDescent="0.25">
      <c r="B25" s="298"/>
      <c r="C25" s="54" t="s">
        <v>87</v>
      </c>
      <c r="D25" s="41" t="s">
        <v>19</v>
      </c>
      <c r="F25" s="62">
        <f>('C-Dados RT5 Simplif.'!C62+'C-Dados RT5 Simplif.'!C63+'C-Dados RT5 Simplif.'!C64+'C-Dados RT5 Simplif.'!C65+'C-Dados RT5 Simplif.'!C66+'C-Dados RT5 Simplif.'!C67)/1000</f>
        <v>2.9281702157599323</v>
      </c>
    </row>
    <row r="26" spans="2:22" hidden="1" outlineLevel="1" x14ac:dyDescent="0.25"/>
    <row r="27" spans="2:22" ht="15.75" thickTop="1" x14ac:dyDescent="0.25">
      <c r="F27" s="72"/>
    </row>
    <row r="28" spans="2:22" s="47" customFormat="1" ht="40.15" customHeight="1" collapsed="1" x14ac:dyDescent="0.25">
      <c r="B28" s="826" t="s">
        <v>97</v>
      </c>
      <c r="C28" s="826"/>
      <c r="D28" s="826"/>
      <c r="E28" s="826"/>
      <c r="F28" s="826"/>
      <c r="G28" s="826"/>
      <c r="H28" s="826"/>
      <c r="I28" s="826"/>
      <c r="J28" s="826"/>
      <c r="K28" s="61"/>
    </row>
    <row r="29" spans="2:22" s="47" customFormat="1" ht="4.9000000000000004" hidden="1" customHeight="1" outlineLevel="1" x14ac:dyDescent="0.25">
      <c r="D29" s="41"/>
    </row>
    <row r="30" spans="2:22" s="74" customFormat="1" ht="18.75" hidden="1" outlineLevel="1" x14ac:dyDescent="0.3">
      <c r="B30" s="812" t="s">
        <v>17</v>
      </c>
      <c r="C30" s="812"/>
      <c r="D30" s="73"/>
      <c r="F30" s="302"/>
      <c r="H30" s="302"/>
      <c r="J30" s="302"/>
    </row>
    <row r="31" spans="2:22" s="73" customFormat="1" ht="15.75" hidden="1" outlineLevel="1" x14ac:dyDescent="0.25">
      <c r="B31" s="812"/>
      <c r="C31" s="812"/>
      <c r="F31" s="75" t="s">
        <v>10</v>
      </c>
      <c r="H31" s="75" t="s">
        <v>10</v>
      </c>
      <c r="J31" s="75" t="s">
        <v>10</v>
      </c>
    </row>
    <row r="32" spans="2:22" ht="4.9000000000000004" hidden="1" customHeight="1" outlineLevel="1" x14ac:dyDescent="0.25"/>
    <row r="33" spans="2:11" hidden="1" outlineLevel="1" x14ac:dyDescent="0.25">
      <c r="B33" s="828" t="s">
        <v>14</v>
      </c>
      <c r="C33" s="61" t="s">
        <v>4</v>
      </c>
      <c r="D33" s="76" t="s">
        <v>20</v>
      </c>
      <c r="E33" s="66"/>
      <c r="F33" s="77">
        <f>'C-Dados RT5 Simplif.'!C108</f>
        <v>3672.7063404246328</v>
      </c>
      <c r="G33" s="66"/>
      <c r="H33" s="67">
        <f>H9</f>
        <v>500</v>
      </c>
      <c r="I33" s="78"/>
      <c r="J33" s="79">
        <f>-'RT5)Custos Valoriz E.Elétrica'!C20</f>
        <v>-25.283853935597026</v>
      </c>
      <c r="K33" s="78"/>
    </row>
    <row r="34" spans="2:11" hidden="1" outlineLevel="1" x14ac:dyDescent="0.25">
      <c r="B34" s="828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0</v>
      </c>
      <c r="I34" s="78"/>
      <c r="J34" s="79">
        <f>-($F$34)*$H$34*(1+'C-Dados RT5 Simplif.'!$C$93)/'C-Dados RT5 Simplif.'!$C$105</f>
        <v>0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28" t="s">
        <v>15</v>
      </c>
      <c r="C36" s="61" t="s">
        <v>4</v>
      </c>
      <c r="D36" s="76" t="s">
        <v>20</v>
      </c>
      <c r="E36" s="66"/>
      <c r="F36" s="68">
        <f t="shared" ref="F36:F43" si="2">F12</f>
        <v>14529.9</v>
      </c>
      <c r="G36" s="66"/>
      <c r="H36" s="67">
        <f>H12</f>
        <v>520</v>
      </c>
      <c r="I36" s="78"/>
      <c r="J36" s="79">
        <f>-'RT5)Custos Valoriz E.Elétrica'!C26</f>
        <v>0</v>
      </c>
      <c r="K36" s="78"/>
    </row>
    <row r="37" spans="2:11" hidden="1" outlineLevel="1" x14ac:dyDescent="0.25">
      <c r="B37" s="828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0</v>
      </c>
      <c r="I37" s="78"/>
      <c r="J37" s="79">
        <f>-F37*$H$37*(1+'C-Dados RT5 Simplif.'!$C$93)/'C-Dados RT5 Simplif.'!$C$105</f>
        <v>0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28" t="s">
        <v>16</v>
      </c>
      <c r="C39" s="61" t="s">
        <v>4</v>
      </c>
      <c r="D39" s="76" t="s">
        <v>20</v>
      </c>
      <c r="E39" s="66"/>
      <c r="F39" s="77">
        <f>F15</f>
        <v>3601.9308156249881</v>
      </c>
      <c r="G39" s="66"/>
      <c r="H39" s="67">
        <f>H15</f>
        <v>549.4</v>
      </c>
      <c r="I39" s="78"/>
      <c r="J39" s="79">
        <f>-'RT5)Custos Valoriz E.Elétrica'!C31</f>
        <v>-133.12599477579025</v>
      </c>
      <c r="K39" s="78"/>
    </row>
    <row r="40" spans="2:11" hidden="1" outlineLevel="1" x14ac:dyDescent="0.25">
      <c r="B40" s="828"/>
      <c r="C40" s="61" t="s">
        <v>27</v>
      </c>
      <c r="D40" s="80" t="s">
        <v>28</v>
      </c>
      <c r="E40" s="66"/>
      <c r="F40" s="231">
        <f>F16</f>
        <v>0</v>
      </c>
      <c r="G40" s="66"/>
      <c r="H40" s="82">
        <f>H16</f>
        <v>0</v>
      </c>
      <c r="I40" s="78"/>
      <c r="J40" s="79">
        <f>-($F$40)*$H$40*1000*(1+'C-Dados RT5 Simplif.'!$C$93)/'C-Dados RT5 Simplif.'!$C$105</f>
        <v>0</v>
      </c>
      <c r="K40" s="78"/>
    </row>
    <row r="41" spans="2:11" hidden="1" outlineLevel="1" x14ac:dyDescent="0.25">
      <c r="B41" s="828"/>
      <c r="C41" s="61" t="s">
        <v>12</v>
      </c>
      <c r="D41" s="88" t="s">
        <v>19</v>
      </c>
      <c r="E41" s="66"/>
      <c r="F41" s="81">
        <f t="shared" si="2"/>
        <v>0</v>
      </c>
      <c r="G41" s="66"/>
      <c r="H41" s="67">
        <f>H17</f>
        <v>0</v>
      </c>
      <c r="I41" s="78"/>
      <c r="J41" s="79">
        <f>-F41*$H$41*1000*(1+'C-Dados RT5 Simplif.'!$C$93)/'C-Dados RT5 Simplif.'!$C$105</f>
        <v>0</v>
      </c>
      <c r="K41" s="78"/>
    </row>
    <row r="42" spans="2:11" hidden="1" outlineLevel="1" x14ac:dyDescent="0.25">
      <c r="B42" s="828"/>
      <c r="C42" s="61" t="s">
        <v>11</v>
      </c>
      <c r="D42" s="80" t="s">
        <v>19</v>
      </c>
      <c r="E42" s="66"/>
      <c r="F42" s="81">
        <f t="shared" si="2"/>
        <v>0</v>
      </c>
      <c r="G42" s="66"/>
      <c r="H42" s="67">
        <f>H18</f>
        <v>0</v>
      </c>
      <c r="I42" s="78"/>
      <c r="J42" s="79">
        <f>-F42*$H$42*1000*(1+'C-Dados RT5 Simplif.'!$C$93)/'C-Dados RT5 Simplif.'!$C$105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2.9281702157599323</v>
      </c>
      <c r="G43" s="66"/>
      <c r="H43" s="67">
        <f>H19</f>
        <v>1591.7462460535971</v>
      </c>
      <c r="I43" s="78"/>
      <c r="J43" s="79">
        <f>IF('Demanda Preço &amp; Quantidade'!C30="Não",-(F43*H43)*1000*(1)*(1-'C-Dados RT5 Simplif.'!C93)*(1-'Demanda Preço &amp; Quantidade'!C32*'C-Dados RT5 Simplif.'!C89),-(F43*H43)*1000*(1-'Demanda Preço &amp; Quantidade'!C31)*(1-'C-Dados RT5 Simplif.'!C93)*(1-'Demanda Preço &amp; Quantidade'!C32*'C-Dados RT5 Simplif.'!C89))/'C-Dados RT5 Simplif.'!$C$105</f>
        <v>-122.69285733386893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6" customHeight="1" x14ac:dyDescent="0.25">
      <c r="B46" s="554" t="s">
        <v>98</v>
      </c>
      <c r="C46" s="555"/>
      <c r="D46" s="555"/>
      <c r="E46" s="555"/>
      <c r="F46" s="555"/>
      <c r="G46" s="555"/>
      <c r="H46" s="555"/>
      <c r="I46" s="89"/>
      <c r="J46" s="301"/>
      <c r="K46" s="89"/>
    </row>
    <row r="47" spans="2:11" s="73" customFormat="1" ht="15.6" customHeight="1" x14ac:dyDescent="0.25">
      <c r="B47" s="556"/>
      <c r="C47" s="557"/>
      <c r="D47" s="557"/>
      <c r="E47" s="557"/>
      <c r="F47" s="557"/>
      <c r="G47" s="557"/>
      <c r="H47" s="557"/>
      <c r="I47" s="49"/>
      <c r="J47" s="51" t="s">
        <v>10</v>
      </c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11" ht="25.15" customHeight="1" x14ac:dyDescent="0.25">
      <c r="B49" s="356" t="s">
        <v>99</v>
      </c>
      <c r="C49" s="357"/>
      <c r="E49" s="90"/>
      <c r="F49" s="48"/>
      <c r="H49" s="357"/>
      <c r="I49" s="89"/>
      <c r="J49" s="91">
        <f>SUM(J33:J37)+SUM(J39:J43)*C53</f>
        <v>-281.10270604525624</v>
      </c>
      <c r="K49" s="49"/>
    </row>
    <row r="50" spans="2:11" ht="4.9000000000000004" customHeight="1" x14ac:dyDescent="0.25">
      <c r="B50" s="48"/>
      <c r="C50" s="48"/>
      <c r="E50" s="48"/>
      <c r="F50" s="48"/>
      <c r="H50" s="48"/>
      <c r="I50" s="89"/>
      <c r="J50" s="91"/>
      <c r="K50" s="49"/>
    </row>
    <row r="51" spans="2:11" ht="25.15" customHeight="1" x14ac:dyDescent="0.25">
      <c r="B51" s="358" t="s">
        <v>100</v>
      </c>
      <c r="C51" s="359"/>
      <c r="E51" s="90"/>
      <c r="F51" s="48"/>
      <c r="H51" s="359"/>
      <c r="I51" s="92"/>
      <c r="J51" s="300">
        <f>'C-Dados RT5 Simplif.'!C6</f>
        <v>1491.675405776728</v>
      </c>
      <c r="K51" s="355"/>
    </row>
    <row r="52" spans="2:11" ht="4.9000000000000004" customHeight="1" x14ac:dyDescent="0.25">
      <c r="B52" s="48"/>
      <c r="C52" s="48"/>
      <c r="E52" s="48"/>
      <c r="F52" s="48"/>
      <c r="H52" s="48"/>
      <c r="I52" s="89"/>
      <c r="J52" s="94"/>
      <c r="K52" s="95"/>
    </row>
    <row r="53" spans="2:11" ht="25.15" customHeight="1" x14ac:dyDescent="0.25">
      <c r="B53" s="360" t="s">
        <v>101</v>
      </c>
      <c r="C53" s="580">
        <f>'Demanda Preço &amp; Quantidade'!D10</f>
        <v>1</v>
      </c>
      <c r="E53" s="90"/>
      <c r="F53" s="48"/>
      <c r="H53" s="362"/>
      <c r="I53" s="89"/>
      <c r="J53" s="827"/>
      <c r="K53" s="827"/>
    </row>
    <row r="54" spans="2:11" ht="4.9000000000000004" customHeight="1" x14ac:dyDescent="0.25">
      <c r="B54" s="48"/>
      <c r="C54" s="48"/>
      <c r="E54" s="48"/>
      <c r="F54" s="48"/>
      <c r="H54" s="93"/>
      <c r="I54" s="96"/>
      <c r="J54" s="97"/>
      <c r="K54" s="98"/>
    </row>
    <row r="55" spans="2:11" ht="25.15" customHeight="1" x14ac:dyDescent="0.25">
      <c r="B55" s="363" t="s">
        <v>102</v>
      </c>
      <c r="C55" s="364"/>
      <c r="E55" s="90"/>
      <c r="F55" s="48"/>
      <c r="H55" s="364"/>
      <c r="I55" s="49"/>
      <c r="J55" s="99">
        <f>$J$51+J49+M8+M9</f>
        <v>1643.8626997314718</v>
      </c>
      <c r="K55" s="100"/>
    </row>
    <row r="56" spans="2:11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11" ht="18.75" x14ac:dyDescent="0.3">
      <c r="E57" s="103"/>
      <c r="G57" s="103"/>
      <c r="H57" s="103"/>
      <c r="I57" s="103"/>
      <c r="J57" s="103"/>
      <c r="K57" s="103"/>
    </row>
    <row r="58" spans="2:11" customFormat="1" x14ac:dyDescent="0.25">
      <c r="B58" s="61"/>
      <c r="C58" s="61"/>
      <c r="D58" s="71"/>
      <c r="E58" s="61"/>
      <c r="F58" s="61"/>
      <c r="G58" s="61"/>
      <c r="H58" s="61"/>
      <c r="I58" s="61"/>
    </row>
    <row r="59" spans="2:11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</row>
    <row r="60" spans="2:11" s="233" customFormat="1" ht="15.75" x14ac:dyDescent="0.25"/>
    <row r="61" spans="2:11" customFormat="1" x14ac:dyDescent="0.25">
      <c r="B61" s="61"/>
      <c r="C61" s="61"/>
      <c r="D61" s="71"/>
      <c r="E61" s="61"/>
      <c r="F61" s="61"/>
      <c r="G61" s="61"/>
      <c r="H61" s="61"/>
      <c r="I61" s="61"/>
    </row>
    <row r="62" spans="2:11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11" s="233" customFormat="1" ht="15.75" x14ac:dyDescent="0.25"/>
    <row r="64" spans="2:11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sheetProtection formatRows="0" sort="0" autoFilter="0" pivotTables="0"/>
  <mergeCells count="16">
    <mergeCell ref="B33:B34"/>
    <mergeCell ref="B36:B37"/>
    <mergeCell ref="B39:B42"/>
    <mergeCell ref="J53:K53"/>
    <mergeCell ref="B9:B10"/>
    <mergeCell ref="B12:B13"/>
    <mergeCell ref="B15:B18"/>
    <mergeCell ref="B21:B24"/>
    <mergeCell ref="B28:J28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B22B-90B4-44F1-8A75-A692CC90487A}">
  <sheetPr codeName="Planilha43">
    <outlinePr summaryBelow="0"/>
  </sheetPr>
  <dimension ref="B1:Q37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9" customWidth="1"/>
    <col min="4" max="4" width="16.7109375" style="221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24" customFormat="1" ht="19.899999999999999" customHeight="1" collapsed="1" thickTop="1" thickBot="1" x14ac:dyDescent="0.3">
      <c r="B2" s="437" t="s">
        <v>368</v>
      </c>
      <c r="C2" s="435"/>
      <c r="D2" s="436"/>
    </row>
    <row r="3" spans="2:17" ht="4.9000000000000004" hidden="1" customHeight="1" outlineLevel="1" thickTop="1" thickBot="1" x14ac:dyDescent="0.3"/>
    <row r="4" spans="2:17" ht="15" hidden="1" customHeight="1" outlineLevel="1" thickTop="1" x14ac:dyDescent="0.25">
      <c r="B4" s="836" t="s">
        <v>105</v>
      </c>
      <c r="C4" s="446">
        <f>'C-Dados RT5 Simplif.'!C106</f>
        <v>110.21883506853425</v>
      </c>
      <c r="D4" s="440" t="s">
        <v>29</v>
      </c>
    </row>
    <row r="5" spans="2:17" ht="15" hidden="1" customHeight="1" outlineLevel="1" x14ac:dyDescent="0.25">
      <c r="B5" s="837"/>
      <c r="C5" s="447">
        <f>'C-Dados RT5 Simplif.'!C105</f>
        <v>34388.276541382686</v>
      </c>
      <c r="D5" s="441" t="s">
        <v>5</v>
      </c>
    </row>
    <row r="6" spans="2:17" ht="15" hidden="1" customHeight="1" outlineLevel="1" x14ac:dyDescent="0.25">
      <c r="B6" s="431" t="s">
        <v>137</v>
      </c>
      <c r="C6" s="448">
        <f>'C-Dados RT5 Simplif.'!C107</f>
        <v>0.48399999999999999</v>
      </c>
      <c r="D6" s="429" t="s">
        <v>1</v>
      </c>
    </row>
    <row r="7" spans="2:17" ht="15" hidden="1" customHeight="1" outlineLevel="1" thickBot="1" x14ac:dyDescent="0.3">
      <c r="B7" s="432" t="s">
        <v>18</v>
      </c>
      <c r="C7" s="449">
        <f>'C-Dados RT5 Simplif.'!C7</f>
        <v>35</v>
      </c>
      <c r="D7" s="442" t="s">
        <v>106</v>
      </c>
    </row>
    <row r="8" spans="2:17" ht="4.9000000000000004" hidden="1" customHeight="1" outlineLevel="1" thickTop="1" thickBot="1" x14ac:dyDescent="0.3"/>
    <row r="9" spans="2:17" ht="15" hidden="1" customHeight="1" outlineLevel="1" thickTop="1" x14ac:dyDescent="0.25">
      <c r="B9" s="438" t="s">
        <v>107</v>
      </c>
      <c r="C9" s="689">
        <v>0.2</v>
      </c>
      <c r="D9" s="443"/>
    </row>
    <row r="10" spans="2:17" ht="15" hidden="1" customHeight="1" outlineLevel="1" x14ac:dyDescent="0.25">
      <c r="B10" s="433" t="s">
        <v>108</v>
      </c>
      <c r="C10" s="688">
        <f>'C-Dados RT5 Simplif.'!C18*1000000/(C5)*C9</f>
        <v>643.79715513175211</v>
      </c>
      <c r="D10" s="444" t="s">
        <v>363</v>
      </c>
    </row>
    <row r="11" spans="2:17" ht="15" hidden="1" customHeight="1" outlineLevel="1" x14ac:dyDescent="0.25">
      <c r="B11" s="434" t="s">
        <v>110</v>
      </c>
      <c r="C11" s="690">
        <v>0.2</v>
      </c>
      <c r="D11" s="444"/>
    </row>
    <row r="12" spans="2:17" ht="15" hidden="1" customHeight="1" outlineLevel="1" x14ac:dyDescent="0.25">
      <c r="B12" s="433" t="s">
        <v>108</v>
      </c>
      <c r="C12" s="688">
        <f>'C-Dados RT5 Simplif.'!C21*1000000/(C7*C5)*C11</f>
        <v>148.53221730788687</v>
      </c>
      <c r="D12" s="444" t="s">
        <v>364</v>
      </c>
    </row>
    <row r="13" spans="2:17" ht="15" hidden="1" customHeight="1" outlineLevel="1" x14ac:dyDescent="0.25">
      <c r="B13" s="434" t="s">
        <v>111</v>
      </c>
      <c r="C13" s="451"/>
      <c r="D13" s="444"/>
    </row>
    <row r="14" spans="2:17" ht="15" hidden="1" customHeight="1" outlineLevel="1" thickBot="1" x14ac:dyDescent="0.3">
      <c r="B14" s="432" t="s">
        <v>112</v>
      </c>
      <c r="C14" s="668">
        <f>'C-Dados RT5 Simplif.'!C130</f>
        <v>634.06891385819074</v>
      </c>
      <c r="D14" s="442" t="s">
        <v>140</v>
      </c>
    </row>
    <row r="15" spans="2:17" s="2" customFormat="1" ht="15" customHeight="1" thickTop="1" x14ac:dyDescent="0.25">
      <c r="B15" s="526" t="s">
        <v>119</v>
      </c>
      <c r="C15" s="527">
        <f>(C10*C5+C12*C5*C7)*1000/(C14*C5*C7)</f>
        <v>263.26227022313174</v>
      </c>
      <c r="D15" s="528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439" t="s">
        <v>304</v>
      </c>
      <c r="C17" s="452">
        <f>'Demanda Preço &amp; Quantidade'!C42</f>
        <v>500</v>
      </c>
      <c r="D17" s="445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833" t="s">
        <v>342</v>
      </c>
      <c r="C18" s="487">
        <f>'5)Incineração - E Elétrica'!F9*(C17-C15)/1000000</f>
        <v>0.86946816116923742</v>
      </c>
      <c r="D18" s="387" t="s">
        <v>274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834"/>
      <c r="C19" s="487">
        <f>C18*C7</f>
        <v>30.43138564092331</v>
      </c>
      <c r="D19" s="387" t="s">
        <v>338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835"/>
      <c r="C20" s="524">
        <f>C18*1000000/C5</f>
        <v>25.283853935597026</v>
      </c>
      <c r="D20" s="519" t="s">
        <v>8</v>
      </c>
    </row>
    <row r="21" spans="2:17" ht="4.9000000000000004" customHeight="1" thickTop="1" x14ac:dyDescent="0.25"/>
    <row r="22" spans="2:17" s="2" customFormat="1" ht="15" customHeight="1" thickBot="1" x14ac:dyDescent="0.3">
      <c r="B22" s="439" t="str">
        <f>'Demanda Preço &amp; Quantidade'!B52</f>
        <v>Custo Público Referencial Energia Elétrica</v>
      </c>
      <c r="C22" s="452">
        <f>'Demanda Preço &amp; Quantidade'!C52</f>
        <v>520</v>
      </c>
      <c r="D22" s="445" t="s">
        <v>0</v>
      </c>
    </row>
    <row r="23" spans="2:17" s="2" customFormat="1" ht="15" customHeight="1" thickTop="1" thickBot="1" x14ac:dyDescent="0.3">
      <c r="B23" s="439" t="str">
        <f>'Demanda Preço &amp; Quantidade'!I52</f>
        <v>Preço Proposto p/ Energia Elétrica</v>
      </c>
      <c r="C23" s="452">
        <f>'Demanda Preço &amp; Quantidade'!J52</f>
        <v>520</v>
      </c>
      <c r="D23" s="445" t="s">
        <v>0</v>
      </c>
    </row>
    <row r="24" spans="2:17" s="2" customFormat="1" ht="15.75" thickTop="1" x14ac:dyDescent="0.25">
      <c r="B24" s="833" t="s">
        <v>303</v>
      </c>
      <c r="C24" s="737">
        <f>'5)Incineração - E Elétrica'!F12*((C22-C23))/1000000</f>
        <v>0</v>
      </c>
      <c r="D24" s="387" t="s">
        <v>274</v>
      </c>
    </row>
    <row r="25" spans="2:17" s="2" customFormat="1" x14ac:dyDescent="0.25">
      <c r="B25" s="834"/>
      <c r="C25" s="487">
        <f>C24*C7</f>
        <v>0</v>
      </c>
      <c r="D25" s="387" t="s">
        <v>338</v>
      </c>
    </row>
    <row r="26" spans="2:17" s="2" customFormat="1" ht="15.75" thickBot="1" x14ac:dyDescent="0.3">
      <c r="B26" s="835"/>
      <c r="C26" s="524">
        <f>C24*1000000/C5</f>
        <v>0</v>
      </c>
      <c r="D26" s="519" t="s">
        <v>8</v>
      </c>
    </row>
    <row r="27" spans="2:17" ht="4.9000000000000004" customHeight="1" thickTop="1" x14ac:dyDescent="0.25"/>
    <row r="28" spans="2:17" s="2" customFormat="1" ht="15" customHeight="1" thickBot="1" x14ac:dyDescent="0.3">
      <c r="B28" s="439" t="s">
        <v>340</v>
      </c>
      <c r="C28" s="452">
        <f>'5)Incineração - E Elétrica'!H15</f>
        <v>549.4</v>
      </c>
      <c r="D28" s="445" t="s">
        <v>0</v>
      </c>
    </row>
    <row r="29" spans="2:17" s="2" customFormat="1" ht="15.75" thickTop="1" x14ac:dyDescent="0.25">
      <c r="B29" s="833" t="s">
        <v>339</v>
      </c>
      <c r="C29" s="487">
        <f>'5)Incineração - E Elétrica'!F15*(C28*(1-'C-Dados RT5 Simplif.'!$C$93)-C15)/1000000+'5)Incineração - E Elétrica'!F12*(C23-C15)/1000000</f>
        <v>4.5779735231965413</v>
      </c>
      <c r="D29" s="387" t="s">
        <v>274</v>
      </c>
    </row>
    <row r="30" spans="2:17" s="2" customFormat="1" x14ac:dyDescent="0.25">
      <c r="B30" s="834"/>
      <c r="C30" s="487">
        <f>C29*C7</f>
        <v>160.22907331187895</v>
      </c>
      <c r="D30" s="387" t="s">
        <v>338</v>
      </c>
    </row>
    <row r="31" spans="2:17" s="2" customFormat="1" ht="15.75" thickBot="1" x14ac:dyDescent="0.3">
      <c r="B31" s="835"/>
      <c r="C31" s="524">
        <f>C29*1000000/C5</f>
        <v>133.12599477579025</v>
      </c>
      <c r="D31" s="519" t="s">
        <v>8</v>
      </c>
    </row>
    <row r="32" spans="2:17" ht="15" customHeight="1" thickTop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</sheetData>
  <mergeCells count="4">
    <mergeCell ref="B4:B5"/>
    <mergeCell ref="B18:B20"/>
    <mergeCell ref="B24:B26"/>
    <mergeCell ref="B29:B31"/>
  </mergeCell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8"/>
  <sheetViews>
    <sheetView workbookViewId="0"/>
  </sheetViews>
  <sheetFormatPr defaultColWidth="8.85546875" defaultRowHeight="15" x14ac:dyDescent="0.25"/>
  <cols>
    <col min="1" max="1" width="3.42578125" style="1" customWidth="1"/>
    <col min="2" max="2" width="5.28515625" style="1" customWidth="1"/>
    <col min="3" max="3" width="8.85546875" style="1"/>
    <col min="4" max="4" width="10.42578125" style="1" customWidth="1"/>
    <col min="5" max="5" width="12.140625" style="1" customWidth="1"/>
    <col min="6" max="6" width="10.28515625" style="1" customWidth="1"/>
    <col min="7" max="7" width="9.7109375" style="1" customWidth="1"/>
    <col min="8" max="10" width="8.85546875" style="1"/>
    <col min="11" max="11" width="12.7109375" style="1" bestFit="1" customWidth="1"/>
    <col min="12" max="12" width="9.5703125" style="9" customWidth="1"/>
    <col min="13" max="16384" width="8.85546875" style="1"/>
  </cols>
  <sheetData>
    <row r="1" spans="2:31" s="573" customFormat="1" ht="15.75" x14ac:dyDescent="0.25">
      <c r="B1" s="855" t="s">
        <v>317</v>
      </c>
      <c r="C1" s="855"/>
      <c r="D1" s="855"/>
      <c r="E1" s="855"/>
      <c r="F1" s="855"/>
      <c r="G1" s="855"/>
      <c r="H1" s="855"/>
      <c r="I1" s="855"/>
      <c r="J1" s="855"/>
      <c r="K1" s="855"/>
      <c r="L1" s="577"/>
      <c r="O1" s="857" t="s">
        <v>316</v>
      </c>
      <c r="P1" s="857"/>
      <c r="Q1" s="857"/>
      <c r="R1" s="857"/>
      <c r="S1" s="857"/>
      <c r="T1" s="857"/>
      <c r="U1" s="857"/>
      <c r="V1" s="857"/>
      <c r="W1" s="857"/>
      <c r="X1" s="857"/>
    </row>
    <row r="2" spans="2:31" ht="4.9000000000000004" customHeight="1" x14ac:dyDescent="0.25">
      <c r="B2" s="9"/>
      <c r="C2" s="9"/>
      <c r="D2" s="9"/>
      <c r="E2" s="9"/>
      <c r="F2" s="9"/>
      <c r="G2" s="9"/>
      <c r="H2" s="9"/>
      <c r="I2" s="9"/>
      <c r="J2" s="9"/>
      <c r="K2" s="9"/>
    </row>
    <row r="3" spans="2:31" ht="14.45" customHeight="1" x14ac:dyDescent="0.25">
      <c r="B3" s="1" t="s">
        <v>318</v>
      </c>
      <c r="W3" s="854" t="s">
        <v>320</v>
      </c>
      <c r="X3" s="854"/>
      <c r="Y3" s="572"/>
      <c r="Z3" s="572"/>
      <c r="AA3" s="572"/>
      <c r="AB3" s="572"/>
      <c r="AC3" s="572"/>
      <c r="AD3" s="572"/>
      <c r="AE3" s="572"/>
    </row>
    <row r="4" spans="2:31" x14ac:dyDescent="0.25">
      <c r="B4" s="1" t="s">
        <v>308</v>
      </c>
      <c r="W4" s="854"/>
      <c r="X4" s="854"/>
      <c r="Y4" s="572"/>
      <c r="Z4" s="572"/>
      <c r="AA4" s="572"/>
      <c r="AB4" s="572"/>
      <c r="AC4" s="572"/>
      <c r="AD4" s="572"/>
      <c r="AE4" s="572"/>
    </row>
    <row r="5" spans="2:31" x14ac:dyDescent="0.25">
      <c r="B5" s="852" t="s">
        <v>319</v>
      </c>
      <c r="C5" s="852"/>
      <c r="D5" s="852"/>
      <c r="E5" s="852"/>
      <c r="F5" s="852"/>
      <c r="G5" s="852"/>
      <c r="H5" s="852"/>
      <c r="I5" s="852"/>
      <c r="J5" s="852"/>
      <c r="K5" s="852"/>
      <c r="L5" s="852"/>
      <c r="M5" s="852"/>
      <c r="W5" s="854"/>
      <c r="X5" s="854"/>
    </row>
    <row r="6" spans="2:31" x14ac:dyDescent="0.25">
      <c r="B6" s="852"/>
      <c r="C6" s="852"/>
      <c r="D6" s="852"/>
      <c r="E6" s="852"/>
      <c r="F6" s="852"/>
      <c r="G6" s="852"/>
      <c r="H6" s="852"/>
      <c r="I6" s="852"/>
      <c r="J6" s="852"/>
      <c r="K6" s="852"/>
      <c r="L6" s="852"/>
      <c r="M6" s="852"/>
      <c r="W6" s="854"/>
      <c r="X6" s="854"/>
    </row>
    <row r="7" spans="2:31" x14ac:dyDescent="0.25">
      <c r="B7" s="1" t="s">
        <v>309</v>
      </c>
      <c r="W7" s="854"/>
      <c r="X7" s="854"/>
    </row>
    <row r="8" spans="2:31" ht="15" customHeight="1" x14ac:dyDescent="0.25">
      <c r="C8" s="1" t="s">
        <v>310</v>
      </c>
      <c r="W8" s="854"/>
      <c r="X8" s="854"/>
    </row>
    <row r="9" spans="2:31" x14ac:dyDescent="0.25">
      <c r="C9" s="852" t="s">
        <v>311</v>
      </c>
      <c r="D9" s="852"/>
      <c r="E9" s="852"/>
      <c r="F9" s="852"/>
      <c r="G9" s="852"/>
      <c r="H9" s="852"/>
      <c r="I9" s="852"/>
      <c r="J9" s="852"/>
      <c r="K9" s="852"/>
      <c r="L9" s="852"/>
      <c r="M9" s="852"/>
      <c r="N9" s="852"/>
      <c r="W9" s="854"/>
      <c r="X9" s="854"/>
    </row>
    <row r="10" spans="2:31" x14ac:dyDescent="0.25">
      <c r="C10" s="852"/>
      <c r="D10" s="852"/>
      <c r="E10" s="852"/>
      <c r="F10" s="852"/>
      <c r="G10" s="852"/>
      <c r="H10" s="852"/>
      <c r="I10" s="852"/>
      <c r="J10" s="852"/>
      <c r="K10" s="852"/>
      <c r="L10" s="852"/>
      <c r="M10" s="852"/>
      <c r="N10" s="852"/>
      <c r="W10" s="854"/>
      <c r="X10" s="854"/>
    </row>
    <row r="11" spans="2:31" x14ac:dyDescent="0.25">
      <c r="C11" s="852" t="s">
        <v>312</v>
      </c>
      <c r="D11" s="852"/>
      <c r="E11" s="852"/>
      <c r="F11" s="852"/>
      <c r="G11" s="852"/>
      <c r="H11" s="852"/>
      <c r="I11" s="852"/>
      <c r="J11" s="852"/>
      <c r="K11" s="852"/>
      <c r="L11" s="852"/>
      <c r="M11" s="852"/>
      <c r="W11" s="854"/>
      <c r="X11" s="854"/>
    </row>
    <row r="12" spans="2:31" x14ac:dyDescent="0.25">
      <c r="C12" s="852"/>
      <c r="D12" s="852"/>
      <c r="E12" s="852"/>
      <c r="F12" s="852"/>
      <c r="G12" s="852"/>
      <c r="H12" s="852"/>
      <c r="I12" s="852"/>
      <c r="J12" s="852"/>
      <c r="K12" s="852"/>
      <c r="L12" s="852"/>
      <c r="M12" s="852"/>
      <c r="W12" s="854"/>
      <c r="X12" s="854"/>
    </row>
    <row r="13" spans="2:31" x14ac:dyDescent="0.25">
      <c r="C13" s="852"/>
      <c r="D13" s="852"/>
      <c r="E13" s="852"/>
      <c r="F13" s="852"/>
      <c r="G13" s="852"/>
      <c r="H13" s="852"/>
      <c r="I13" s="852"/>
      <c r="J13" s="852"/>
      <c r="K13" s="852"/>
      <c r="L13" s="852"/>
      <c r="M13" s="852"/>
      <c r="W13" s="854"/>
      <c r="X13" s="854"/>
    </row>
    <row r="14" spans="2:31" x14ac:dyDescent="0.25">
      <c r="C14" s="1" t="s">
        <v>313</v>
      </c>
      <c r="W14" s="854"/>
      <c r="X14" s="854"/>
    </row>
    <row r="15" spans="2:31" ht="14.45" customHeight="1" x14ac:dyDescent="0.25">
      <c r="B15" s="852" t="s">
        <v>314</v>
      </c>
      <c r="C15" s="852"/>
      <c r="D15" s="852"/>
      <c r="E15" s="852"/>
      <c r="F15" s="852"/>
      <c r="G15" s="852"/>
      <c r="H15" s="852"/>
      <c r="I15" s="852"/>
      <c r="J15" s="852"/>
      <c r="K15" s="852"/>
      <c r="L15" s="852"/>
      <c r="M15" s="852"/>
      <c r="N15" s="852"/>
      <c r="O15" s="856"/>
      <c r="P15" s="856"/>
      <c r="Q15" s="856"/>
      <c r="R15" s="856"/>
      <c r="S15" s="856"/>
      <c r="T15" s="856"/>
      <c r="U15" s="856"/>
      <c r="V15" s="856"/>
      <c r="W15" s="856"/>
    </row>
    <row r="16" spans="2:31" ht="14.45" customHeight="1" x14ac:dyDescent="0.25">
      <c r="B16" s="852"/>
      <c r="C16" s="852"/>
      <c r="D16" s="852"/>
      <c r="E16" s="852"/>
      <c r="F16" s="852"/>
      <c r="G16" s="852"/>
      <c r="H16" s="852"/>
      <c r="I16" s="852"/>
      <c r="J16" s="852"/>
      <c r="K16" s="852"/>
      <c r="L16" s="852"/>
      <c r="M16" s="852"/>
      <c r="N16" s="852"/>
      <c r="O16" s="856"/>
      <c r="P16" s="856"/>
      <c r="Q16" s="856"/>
      <c r="R16" s="856"/>
      <c r="S16" s="856"/>
      <c r="T16" s="856"/>
      <c r="U16" s="856"/>
      <c r="V16" s="856"/>
      <c r="W16" s="856"/>
    </row>
    <row r="17" spans="2:15" x14ac:dyDescent="0.25">
      <c r="B17" s="852"/>
      <c r="C17" s="852"/>
      <c r="D17" s="852"/>
      <c r="E17" s="852"/>
      <c r="F17" s="852"/>
      <c r="G17" s="852"/>
      <c r="H17" s="852"/>
      <c r="I17" s="852"/>
      <c r="J17" s="852"/>
      <c r="K17" s="852"/>
      <c r="L17" s="852"/>
      <c r="M17" s="852"/>
      <c r="N17" s="852"/>
      <c r="O17" s="571"/>
    </row>
    <row r="18" spans="2:15" x14ac:dyDescent="0.25">
      <c r="B18" s="852"/>
      <c r="C18" s="852"/>
      <c r="D18" s="852"/>
      <c r="E18" s="852"/>
      <c r="F18" s="852"/>
      <c r="G18" s="852"/>
      <c r="H18" s="852"/>
      <c r="I18" s="852"/>
      <c r="J18" s="852"/>
      <c r="K18" s="852"/>
      <c r="L18" s="852"/>
      <c r="M18" s="852"/>
      <c r="N18" s="852"/>
      <c r="O18" s="571"/>
    </row>
    <row r="19" spans="2:15" x14ac:dyDescent="0.25">
      <c r="B19" s="852"/>
      <c r="C19" s="852"/>
      <c r="D19" s="852"/>
      <c r="E19" s="852"/>
      <c r="F19" s="852"/>
      <c r="G19" s="852"/>
      <c r="H19" s="852"/>
      <c r="I19" s="852"/>
      <c r="J19" s="852"/>
      <c r="K19" s="852"/>
      <c r="L19" s="852"/>
      <c r="M19" s="852"/>
      <c r="N19" s="852"/>
      <c r="O19" s="571"/>
    </row>
    <row r="20" spans="2:15" x14ac:dyDescent="0.25">
      <c r="B20" s="852"/>
      <c r="C20" s="852"/>
      <c r="D20" s="852"/>
      <c r="E20" s="852"/>
      <c r="F20" s="852"/>
      <c r="G20" s="852"/>
      <c r="H20" s="852"/>
      <c r="I20" s="852"/>
      <c r="J20" s="852"/>
      <c r="K20" s="852"/>
      <c r="L20" s="852"/>
      <c r="M20" s="852"/>
      <c r="N20" s="852"/>
    </row>
    <row r="21" spans="2:15" x14ac:dyDescent="0.25">
      <c r="B21" s="852" t="s">
        <v>315</v>
      </c>
      <c r="C21" s="852"/>
      <c r="D21" s="852"/>
      <c r="E21" s="852"/>
      <c r="F21" s="852"/>
      <c r="G21" s="852"/>
      <c r="H21" s="852"/>
      <c r="I21" s="852"/>
      <c r="J21" s="852"/>
      <c r="K21" s="852"/>
      <c r="L21" s="852"/>
      <c r="M21" s="852"/>
      <c r="N21" s="852"/>
    </row>
    <row r="22" spans="2:15" ht="14.45" customHeight="1" x14ac:dyDescent="0.25">
      <c r="B22" s="852"/>
      <c r="C22" s="852"/>
      <c r="D22" s="852"/>
      <c r="E22" s="852"/>
      <c r="F22" s="852"/>
      <c r="G22" s="852"/>
      <c r="H22" s="852"/>
      <c r="I22" s="852"/>
      <c r="J22" s="852"/>
      <c r="K22" s="852"/>
      <c r="L22" s="852"/>
      <c r="M22" s="852"/>
      <c r="N22" s="852"/>
    </row>
    <row r="23" spans="2:15" ht="64.900000000000006" customHeight="1" x14ac:dyDescent="0.25">
      <c r="C23" s="853" t="s">
        <v>307</v>
      </c>
      <c r="D23" s="853"/>
      <c r="E23" s="853"/>
      <c r="F23" s="853"/>
      <c r="G23" s="853"/>
      <c r="H23" s="853"/>
      <c r="I23" s="853"/>
      <c r="J23" s="853"/>
      <c r="K23" s="853"/>
      <c r="L23" s="853"/>
      <c r="M23" s="853"/>
      <c r="N23" s="853"/>
    </row>
    <row r="24" spans="2:15" x14ac:dyDescent="0.25">
      <c r="C24" s="571"/>
      <c r="D24" s="571"/>
      <c r="E24" s="571"/>
      <c r="F24" s="571"/>
      <c r="G24" s="571"/>
      <c r="H24" s="571"/>
      <c r="I24" s="571"/>
      <c r="J24" s="571"/>
      <c r="K24" s="571"/>
      <c r="L24" s="574"/>
      <c r="M24" s="571"/>
    </row>
    <row r="25" spans="2:15" x14ac:dyDescent="0.25">
      <c r="C25" s="571"/>
      <c r="D25" s="571"/>
      <c r="E25" s="571"/>
      <c r="F25" s="571"/>
      <c r="G25" s="571"/>
      <c r="H25" s="571"/>
      <c r="I25" s="571"/>
      <c r="J25" s="571"/>
      <c r="K25" s="571"/>
      <c r="L25" s="574"/>
      <c r="M25" s="571"/>
    </row>
    <row r="26" spans="2:15" s="2" customFormat="1" ht="30" customHeight="1" x14ac:dyDescent="0.25">
      <c r="C26" s="575"/>
      <c r="D26" s="576"/>
      <c r="E26" s="576"/>
      <c r="F26" s="655"/>
      <c r="G26" s="576"/>
      <c r="H26" s="576"/>
      <c r="I26" s="576"/>
      <c r="J26" s="576"/>
      <c r="K26" s="576"/>
      <c r="L26" s="576"/>
      <c r="M26" s="575"/>
    </row>
    <row r="27" spans="2:15" x14ac:dyDescent="0.25">
      <c r="D27" s="4"/>
      <c r="E27" s="9"/>
      <c r="F27" s="9"/>
      <c r="G27" s="9"/>
      <c r="H27" s="5"/>
      <c r="I27" s="5"/>
      <c r="J27" s="5"/>
      <c r="K27" s="221"/>
      <c r="L27" s="656"/>
      <c r="M27" s="657"/>
    </row>
    <row r="28" spans="2:15" x14ac:dyDescent="0.25">
      <c r="D28" s="4"/>
      <c r="E28" s="9"/>
      <c r="F28" s="9"/>
      <c r="G28" s="9"/>
      <c r="H28" s="5"/>
      <c r="I28" s="5"/>
      <c r="J28" s="5"/>
      <c r="K28" s="221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6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22</vt:i4>
      </vt:variant>
    </vt:vector>
  </HeadingPairs>
  <TitlesOfParts>
    <vt:vector size="22" baseType="lpstr">
      <vt:lpstr>Demanda Preço &amp; Quantidade</vt:lpstr>
      <vt:lpstr>RESUMO GERAL Valoriz. RT´s</vt:lpstr>
      <vt:lpstr>RT1C) Comercializ Gás Biomet</vt:lpstr>
      <vt:lpstr>C-Dados RT1 Simplif.</vt:lpstr>
      <vt:lpstr>RT1A)BIODIG Energia Elétrica</vt:lpstr>
      <vt:lpstr>RT1A) Custos Valoriz E.Elétrica</vt:lpstr>
      <vt:lpstr>RT1B)BIODIG Descarb Biomet</vt:lpstr>
      <vt:lpstr>RT1B) Descarb AutoCons</vt:lpstr>
      <vt:lpstr>RT1B) Descarb Util Públ</vt:lpstr>
      <vt:lpstr>RT1B) Comercializ Gás Biome</vt:lpstr>
      <vt:lpstr>RT1C)BIODIG Gas Natural</vt:lpstr>
      <vt:lpstr>C-Dados RT2 Simplif.</vt:lpstr>
      <vt:lpstr>2)Compostagem CDR Comp Org</vt:lpstr>
      <vt:lpstr>C-Dados RT3 Simplif.</vt:lpstr>
      <vt:lpstr>3)Biosecagem Prod BioCDR</vt:lpstr>
      <vt:lpstr>C-Dados RT4 Simplif.</vt:lpstr>
      <vt:lpstr>4)Incineração - E Elétrica</vt:lpstr>
      <vt:lpstr>RT4)Custos Valoriz E.Elétrica</vt:lpstr>
      <vt:lpstr>C-Dados RT5 Simplif.</vt:lpstr>
      <vt:lpstr>5)Incineração - E Elétrica</vt:lpstr>
      <vt:lpstr>RT5)Custos Valoriz E.Elétrica</vt:lpstr>
      <vt:lpstr>Drafts Instruções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Alaim de Paula</cp:lastModifiedBy>
  <dcterms:created xsi:type="dcterms:W3CDTF">2021-07-27T11:42:28Z</dcterms:created>
  <dcterms:modified xsi:type="dcterms:W3CDTF">2024-06-13T13:07:17Z</dcterms:modified>
</cp:coreProperties>
</file>